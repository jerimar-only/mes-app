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ph" sheetId="1" r:id="rId5"/>
    <sheet state="visible" name="SUMMARY" sheetId="2" r:id="rId6"/>
    <sheet state="visible" name="2014" sheetId="3" r:id="rId7"/>
    <sheet state="visible" name="2015" sheetId="4" r:id="rId8"/>
    <sheet state="visible" name="2016" sheetId="5" r:id="rId9"/>
    <sheet state="visible" name="2017" sheetId="6" r:id="rId10"/>
    <sheet state="visible" name="2018" sheetId="7" r:id="rId11"/>
    <sheet state="visible" name="2019" sheetId="8" r:id="rId12"/>
    <sheet state="visible" name="2020" sheetId="9" r:id="rId13"/>
    <sheet state="visible" name="2021" sheetId="10" r:id="rId14"/>
    <sheet state="visible" name="2022" sheetId="11" r:id="rId15"/>
    <sheet state="visible" name="2023" sheetId="12" r:id="rId16"/>
    <sheet state="visible" name="2024" sheetId="13" r:id="rId17"/>
    <sheet state="visible" name="2025" sheetId="14" r:id="rId18"/>
    <sheet state="visible" name="2026" sheetId="15" r:id="rId19"/>
  </sheets>
  <definedNames>
    <definedName hidden="1" localSheetId="1" name="_xlnm._FilterDatabase">SUMMARY!$A$4:$F$82</definedName>
  </definedNames>
  <calcPr/>
</workbook>
</file>

<file path=xl/sharedStrings.xml><?xml version="1.0" encoding="utf-8"?>
<sst xmlns="http://schemas.openxmlformats.org/spreadsheetml/2006/main" count="10907" uniqueCount="6574">
  <si>
    <t xml:space="preserve">CONSOLIDATED APPREHENDED, SEIZED AND CONFISCATED FOREST PRODUCTS </t>
  </si>
  <si>
    <t>SUMMARY OF APPREHENDED, SEIZED AND CONFISCATED FOREST PRODUCTS</t>
  </si>
  <si>
    <t>PROVINCE OF CAGAYAN — BY YEAR AND CENRO</t>
  </si>
  <si>
    <t>PROVINCE OF CAGAYAN</t>
  </si>
  <si>
    <t>CALENDAR YEAR 2015</t>
  </si>
  <si>
    <t>Year</t>
  </si>
  <si>
    <t>CENRO</t>
  </si>
  <si>
    <t>No. of Incidents</t>
  </si>
  <si>
    <t>Volume (cu.m.)</t>
  </si>
  <si>
    <t>Volume (bd.ft.)</t>
  </si>
  <si>
    <t>Estimated Value (PHP)</t>
  </si>
  <si>
    <t>NO. OF CONVEYANCE</t>
  </si>
  <si>
    <t>Calendar Year 2014</t>
  </si>
  <si>
    <t>ESTIMATED VALUE</t>
  </si>
  <si>
    <t>NO. OF EQUIPMENTS</t>
  </si>
  <si>
    <t xml:space="preserve">                                </t>
  </si>
  <si>
    <t>Date &amp; Place of apprehension/ seizure &amp; confiscation</t>
  </si>
  <si>
    <t>Circumstances of apprehension/ seizure &amp; confiscation (e.g. no permit, or accompanying documents, etc.)</t>
  </si>
  <si>
    <t>Description of Forest Products</t>
  </si>
  <si>
    <t>Cenro Aparri</t>
  </si>
  <si>
    <t>Place Stockpiled and Custodian with complete address</t>
  </si>
  <si>
    <t>Other agencies involved in the apprehension/ seizure &amp; confiscation (Names of personnel, LGUs, etc.)</t>
  </si>
  <si>
    <t>Other remarks (condition, status of criminal complaint if any, etc.)</t>
  </si>
  <si>
    <t>Quantity (# of pcs.) and form (lumber, logs, flitches, split/unsplit rattan, etc.)</t>
  </si>
  <si>
    <t>VOLUME (CU.M.)</t>
  </si>
  <si>
    <t>VOLUME (bd.ft.)</t>
  </si>
  <si>
    <t>Estimated Market Value (PhP)</t>
  </si>
  <si>
    <t>CENRO APARRI</t>
  </si>
  <si>
    <t>No.</t>
  </si>
  <si>
    <t>Jan. 16, 2015/ Burubur, Magapit, Lal-lo, Cag.</t>
  </si>
  <si>
    <t>CENRO TUGUEGARAO</t>
  </si>
  <si>
    <t>No permit/transport documents (WRD-139)</t>
  </si>
  <si>
    <t>8 pcs. Narra flitches</t>
  </si>
  <si>
    <t>Cenro Alcala</t>
  </si>
  <si>
    <t>January 17, 2014/ Danna, Manga, Peñablanca, Cag.</t>
  </si>
  <si>
    <t>No claimant</t>
  </si>
  <si>
    <t>3 pcs. Narra flitches</t>
  </si>
  <si>
    <t>CENRO Aparri compound/Edgar T. Martin</t>
  </si>
  <si>
    <t>77th IB, 5th ID Bravo Coy Phil. Army</t>
  </si>
  <si>
    <t>Both forest products and the conveyance were ordered confiscated in favor of the government. The case filed against Darwin Calabiao was dismissed while the two (2) accused pleaded guilty for a lower offense, per Order dated March 9, 2015 of Presiding Judge Conrado T. Tabacco, TRC Branch 9, Aparri, Cag. Confiscated in favor of the government dated July 31, 2019. With Order of Finality received on Sept. 04, 2024</t>
  </si>
  <si>
    <t>CENRO compound</t>
  </si>
  <si>
    <t>February 7, 2015/Felipe Tuzon, Camalaniugan, Cagayan</t>
  </si>
  <si>
    <t>No permit (Froilan Fernando, Lope Esquiero, Junior Fernando, Bryan Padi, Jerwin Motay</t>
  </si>
  <si>
    <t>18 pcs. Apitong poles</t>
  </si>
  <si>
    <t>Confiscated in favor of the government dated April 3, 2014</t>
  </si>
  <si>
    <t>Cenro Solana</t>
  </si>
  <si>
    <t>PNP Camalaniugan, cag.</t>
  </si>
  <si>
    <t>Confiscated in favor of the government dated August 13, 2015. The case was filed against the 5 accused at the Office of the Provincial Prosecutor, Aparri, Cagayan on February 17, 2015 under NPS Docket No. II-02a-INV-158-00033.Order of finality date received January 8, 2025, date of promulgation August 13, 2015 with Docket no. R2-F-1105</t>
  </si>
  <si>
    <t>January 25, 2014/ Lalongan, Sisim, Peñablanca, Cagayan</t>
  </si>
  <si>
    <t>203 CHW lumber</t>
  </si>
  <si>
    <t>February 16, 2015/ Luga, Sta. Teresita, Cag.</t>
  </si>
  <si>
    <t>No permit/transport documents (Isuzu Elf with no Plate N0.)</t>
  </si>
  <si>
    <t>Cenro Sanchez Mira</t>
  </si>
  <si>
    <t>111 ppcs. Red Lawan lumber</t>
  </si>
  <si>
    <t xml:space="preserve">Confiscated in favor of the gov't. per order of the RED dated March 17, 2014. A total of 650.66 bd.ft./1.53 cu.m. was donated to the Provincial Capitol. </t>
  </si>
  <si>
    <t>February 5, 2014/ Pinacanauan River, Camasi, Peñablanca, Cag.</t>
  </si>
  <si>
    <t>60 pcs. CHW lumber</t>
  </si>
  <si>
    <t>Cenro Sub Office</t>
  </si>
  <si>
    <t>Camasi Brgy. Hall, Peñablanca, Cag./ Chairwoman Zenaida Leones</t>
  </si>
  <si>
    <t>BLGU Camasi, Peñablanca, Cag. Headed by Chairwoman Zenaida Leones</t>
  </si>
  <si>
    <t>Confiscated in favor of the government dated June 10, 2014</t>
  </si>
  <si>
    <t>February 13, 2014/ Don Domingo, Balzain, Tuguegarao City</t>
  </si>
  <si>
    <t>80 Sacks of charcoal</t>
  </si>
  <si>
    <t>Confiscated in favor of the government dated May 7, 2014. The 20 sacks of charcoal was donated at the Feeding Center of San Esteban, Iguig, Cag.</t>
  </si>
  <si>
    <t>February 19, 2014/ Pinacanauan River, Barangay Lapi, Peñablanca, Cag.</t>
  </si>
  <si>
    <t>14 pcs. Narra lumber</t>
  </si>
  <si>
    <t>26th CCAAC Patrol Base Company, Luga, Sta. Teresita, Cag.</t>
  </si>
  <si>
    <t>For reolution</t>
  </si>
  <si>
    <t>Confiscated in favor of the government dated April 30, 2014</t>
  </si>
  <si>
    <t>February 23, 2014/ San Roque, Peñablanca, Cag.</t>
  </si>
  <si>
    <t>4 pcs. CHW lumber</t>
  </si>
  <si>
    <t>Brgy. Hall San Roque, Peñablanca, Cag./ Brgy. Captain Benjamin Tumbali</t>
  </si>
  <si>
    <t>February 24, 2015/ Alagia, Lal-lo, Cagayan</t>
  </si>
  <si>
    <t>Barangay Officials of  San Roque, Peñablanca, Cag. Headed by Brgy Captain Benjamin Tumbali</t>
  </si>
  <si>
    <t>75 pieces Gmelina lumber and 5 flitches</t>
  </si>
  <si>
    <t>Confiscated in favor of the government dated May 23, 2014</t>
  </si>
  <si>
    <t>March 7, 2014/ Libag, Tuguegarao City</t>
  </si>
  <si>
    <t>No permit/ transport documents (ZGJ-637)</t>
  </si>
  <si>
    <t>17th IB Charlie Company, PA Alannay based at Lasam, Cagayan</t>
  </si>
  <si>
    <t>Under administrative adjudication proceedings</t>
  </si>
  <si>
    <t>95 pcs. CHW lumber</t>
  </si>
  <si>
    <t>February 26, 2015/ Catayauan, Lal-lo, Cag.</t>
  </si>
  <si>
    <t>No permit/transport documents (BVP-267)</t>
  </si>
  <si>
    <t>13 pcs. Narra lumber</t>
  </si>
  <si>
    <t>PNP Lal-lo, Cagayan</t>
  </si>
  <si>
    <t>Confiscated in favor of the government datedFebruary 21, 2015. With Order of Finality received on Sept. 11, 2024</t>
  </si>
  <si>
    <t>March 3, 2015/ Macanaya, Aparri, Cagayan</t>
  </si>
  <si>
    <t>No permit/transport documents (BVP-264)</t>
  </si>
  <si>
    <t>25 sacks charcoal</t>
  </si>
  <si>
    <t>Maritime Police Precint, Macanaya Wharf Aparri, Cag.</t>
  </si>
  <si>
    <t>Confiscated in favor of the government per order of the RED dated June 10, 2016. The Motion for Reconsideration is denied per order dated February 8, 2017. With Order of Finality received on Aug. 27, 2024</t>
  </si>
  <si>
    <t>March 13, 2015/ Dumasag, Rapuli, Sta. Ana, Cagayan</t>
  </si>
  <si>
    <t>7 pcs. Red Lauan lumber</t>
  </si>
  <si>
    <t>Composite-Monitoring Center, Casambalangan, Sta. Ana, Cag.</t>
  </si>
  <si>
    <t>CEZA</t>
  </si>
  <si>
    <t>April 5, 2015/ Ziminila, Camalaniugan, Cag.</t>
  </si>
  <si>
    <t>7 sacks charcoal</t>
  </si>
  <si>
    <t>CENRO Aparri compound</t>
  </si>
  <si>
    <t>Confiscated in favor of the government per order of the RED dated June 10, 2015. With Order of Finality received on Dec. 09, 2024 promulgated on June 16, 2015 with Docket No. R2-F-1096</t>
  </si>
  <si>
    <t>April 23, 2015/ Abulug National Rural and Vocational High School, Langcay, Abulug, Cagayan</t>
  </si>
  <si>
    <t>10 Narra flitches, 1 Office Table, &amp; 4 Tool Cabinets</t>
  </si>
  <si>
    <t>With Order of Finality received on Dec. 03, 2024 promulgated on Aug. 12, 2015 with Docket No. R2-F-1101</t>
  </si>
  <si>
    <t>April 29, 2015/ San Vicente, Sta. Ana, Cagayan</t>
  </si>
  <si>
    <t xml:space="preserve"> (Motorized Banca)</t>
  </si>
  <si>
    <t>Both conveyance and the forest products was ordered confiscated in favor of the government dated August 12, 2015</t>
  </si>
  <si>
    <t>20 pcs. Red Lauan/ Narra lumber</t>
  </si>
  <si>
    <t>March 11, 2014/ Capatan, Tuguegarao City</t>
  </si>
  <si>
    <t>8 Sacks of charcoal</t>
  </si>
  <si>
    <t>Philippine Navy, NBCO/ Camilo Osias</t>
  </si>
  <si>
    <t>Philippine Navy, NBCO</t>
  </si>
  <si>
    <t>May 1, 2015/ Bulala, Camalaniugan, Cagayan</t>
  </si>
  <si>
    <t>tricycle Kulong-kulong</t>
  </si>
  <si>
    <t>Confiscated in favor of the government dated May 20, 2014</t>
  </si>
  <si>
    <t xml:space="preserve">60 pcs. Red Lauan lumber </t>
  </si>
  <si>
    <t>March 12, 2014/ NAPOCOR Peñablanca, Cag.</t>
  </si>
  <si>
    <t>15 Sacks of charcoal</t>
  </si>
  <si>
    <t>March 13, 2014/ Dodan, Peñablanca, Cag.</t>
  </si>
  <si>
    <t>5 Sacks of charcoal</t>
  </si>
  <si>
    <t>-</t>
  </si>
  <si>
    <t>April 17, 2014/ Nanarian, Peñablanca, Cag.</t>
  </si>
  <si>
    <t>12 CHW lumber</t>
  </si>
  <si>
    <t>June 23, 2015/ Bulala, Camalaniugan, Cagayan</t>
  </si>
  <si>
    <t>Kulong-kulong w/ Plate No. BA-75835</t>
  </si>
  <si>
    <t>Confiscated in favor of the government dated June 3, 2014</t>
  </si>
  <si>
    <t>April 26, 2014/ Sisim Peñablanca, Cag.</t>
  </si>
  <si>
    <t>18 pcs. White Lauan lumber</t>
  </si>
  <si>
    <t>1 pc. Tindalo  Lbr.</t>
  </si>
  <si>
    <t>Confiscated in favor of the government per order of the RD dated May 12, 2016</t>
  </si>
  <si>
    <t>June 23, 2015/So. Salwang, Kapanikian, Sta. Ana, Cagayan</t>
  </si>
  <si>
    <t>34 pcs. Apitong and Red Lauan lumber/flitches</t>
  </si>
  <si>
    <t>LGU MENRO, Sta. Ana and PNP Sta. Ana</t>
  </si>
  <si>
    <t>Confiscated in favor of the government per order of the RD dated November 26, 2015. With Order of Finality received on Dec. 09, 2024 promulgated on Nov. 26, 2015 with Docket No. R2-F-1117</t>
  </si>
  <si>
    <t>June 24, 2015/ So. Salwang, Barangay Kapanikian, Sta. Ana, Cag.</t>
  </si>
  <si>
    <t>19 pieces Red Lauan lumber</t>
  </si>
  <si>
    <t>PNP Sta. Ana</t>
  </si>
  <si>
    <t>Confiscated in favor of the government per order of the RD dated November 26, 2015. With Order of Finality received on Dec. 09, 2024 promulgated on Nov. 26, 2015 with Docket No. R2-F-1116</t>
  </si>
  <si>
    <t>Confiscated in favor of the gov't. dated June 3, 2014</t>
  </si>
  <si>
    <t>July 3, 2015/ Katiwayan, Rapuli, Sta. Ana, Cagayan</t>
  </si>
  <si>
    <t>28 pcs. Red Lauan lumber/ flitches</t>
  </si>
  <si>
    <t>PNP-RMG Casambalangan</t>
  </si>
  <si>
    <t>Confiscated in favor of the government per order of the RED dated August 12, 2015. With Order of Finality received on Dec. 03, 2024 promulgated on Aug. 12, 2015 with Docket No. R2-F-1099</t>
  </si>
  <si>
    <t>3 pcs. Narra lbr.</t>
  </si>
  <si>
    <t>July 8, 2015/ Samuk-Samik, Centro, Sta. Ana, Cagayan</t>
  </si>
  <si>
    <t>44 pieces Red Lauan lumber</t>
  </si>
  <si>
    <t>July 20, 2014/ Dodan, Peñablanca, Cagayan</t>
  </si>
  <si>
    <t>MENRO Designate, Florence Obiano</t>
  </si>
  <si>
    <t>LGU MENRO and PNP Sta. Ana</t>
  </si>
  <si>
    <t>Confiscated in favor of the government per order of the RED dated August 19, 2015. With Order of Finality received on Dec. 03, 2024 promulgated on Aug. 19, 2015 with Docket No. R2-F-1109</t>
  </si>
  <si>
    <t>July 17, 2015/ Salwang, Kapanikian, Sta. Ana, Cagayan</t>
  </si>
  <si>
    <t>37 pcs. Red Lauan</t>
  </si>
  <si>
    <t>7 pcs. Tuai lumber</t>
  </si>
  <si>
    <t>Confiscated in favor of the government dated January 8, 2016. Ordered final and executory dated March 1, 2021</t>
  </si>
  <si>
    <t>July 27, 2015/ Salwang, Kapanikian, Sta. Ana, Cagayan</t>
  </si>
  <si>
    <t>153 pcs. Red Lauan</t>
  </si>
  <si>
    <t>Confiscated in favor of the government dated January 12, 2016. Ordered final and executory dated March 1, 2021</t>
  </si>
  <si>
    <t>July 9, 2015/ Sta. Clara, Sta. Ana, Cagayan</t>
  </si>
  <si>
    <t>No permit to cut (Charlie Legaspi)</t>
  </si>
  <si>
    <t>Under administrative adjudication proceedings. With Order of Finality received on Dec. 09, 2024 promulgated on Oct. 16, 2014 with Docket No. R2-F-1036</t>
  </si>
  <si>
    <t>185 pcs. Narra and Red Lauan timber</t>
  </si>
  <si>
    <t>August 3, 2014/ Quibal, Peñablanca, Cag.</t>
  </si>
  <si>
    <t>30 pcs. CHW lumber</t>
  </si>
  <si>
    <t>No permit to cut (Ernesto Cadiz)</t>
  </si>
  <si>
    <t>180 pcs. Red and White Lauan timber</t>
  </si>
  <si>
    <t>Confiscated in favor of the government per order dated Dec. 10, 2014</t>
  </si>
  <si>
    <t>Bical, Peñablanca, Cag.</t>
  </si>
  <si>
    <t>20 sacks of charcoal</t>
  </si>
  <si>
    <t>July 28, 2015/ Camiguin, Calayan, Cagayan</t>
  </si>
  <si>
    <t>5 pcs. Narra lumber</t>
  </si>
  <si>
    <t>PCG District Office, Minanga, Aparri, Cag./ Lt. Senior Grade Edgardo Aguilar</t>
  </si>
  <si>
    <t>Barangay Officials of Bical, Peñablanca, Cag.</t>
  </si>
  <si>
    <t>PCG District Office</t>
  </si>
  <si>
    <t>Confiscated in favor of the government dated February 4, 2016. Ordered final and executory dated March 15, 2021</t>
  </si>
  <si>
    <t>August 5, 2014/ Baliuag, Peñablanca, Cag.</t>
  </si>
  <si>
    <t>50 Sacks of charcoal</t>
  </si>
  <si>
    <t>Barangay Officials of Baliuag, Penablanca, Cag.</t>
  </si>
  <si>
    <t>August 1, 2015/San Vicente, Sta. Ana, Cagayan</t>
  </si>
  <si>
    <t>Confiscated in favor of the government per order dated Sept. 30, 2014</t>
  </si>
  <si>
    <t>Motorized Banca</t>
  </si>
  <si>
    <t>August 16, 2014/ Quibal, Peñablanca, Cag.</t>
  </si>
  <si>
    <t>33 CHW lumber</t>
  </si>
  <si>
    <t>32 pcs. White Lauan lumber</t>
  </si>
  <si>
    <t>September 11, 2014/ Dodan, Peñablanca, Cag.</t>
  </si>
  <si>
    <t>32 CHW lumber</t>
  </si>
  <si>
    <t>PN, NBCO, San Vicente, Sta. Ana, Cag./ Lt. Coomander Renato Ringor</t>
  </si>
  <si>
    <t>Philippine Navy</t>
  </si>
  <si>
    <t>Confiscated in favor of the government dated November 4, 2015</t>
  </si>
  <si>
    <t>Confiscated in favor of the government per order dated Dec. 10, 2014. Order final and executory dated March 28, 2021</t>
  </si>
  <si>
    <t>August 3, 2015/ Pateng, Gonzaga, Cagayan</t>
  </si>
  <si>
    <t>September 25, 2014/ San Roque, Peñablanca, Cag.</t>
  </si>
  <si>
    <t>PUV   BVE-373</t>
  </si>
  <si>
    <t>46 pcs. CHW lumber</t>
  </si>
  <si>
    <t>Police Provincial Office</t>
  </si>
  <si>
    <t>Confiscated in favor of the government per order dated Jan. 10, 2015</t>
  </si>
  <si>
    <t>22 pcs. Red Lauan lumber</t>
  </si>
  <si>
    <t>September 29, 2014/ Capatan, Tuguegarao City</t>
  </si>
  <si>
    <t>8 pcs. Gmelina and 4 pcs. Tuai flitches</t>
  </si>
  <si>
    <t>LGU MENRO Gonzaga and PNP Gonzaga</t>
  </si>
  <si>
    <t>For resolution. With Order of Finality received on Aug. 27, 2024</t>
  </si>
  <si>
    <t>August 14, 2015/ San Vicente, Sta. Ana, Cagayan</t>
  </si>
  <si>
    <t>8 pcs. Gatasan lumber</t>
  </si>
  <si>
    <t>SUB-TOTAL</t>
  </si>
  <si>
    <t>For resolution</t>
  </si>
  <si>
    <t>Aug. 17, 2015/ San Vicente, Strait, Sta. Ana, Cag.</t>
  </si>
  <si>
    <t>No permit/transport documents (Motorized Banca)</t>
  </si>
  <si>
    <t>44 pcs. Red Lauan lumber</t>
  </si>
  <si>
    <t>September 7, 2015/ Fusina, Lal-lo, Cagayan</t>
  </si>
  <si>
    <t>Handtractor/ Kuliglig</t>
  </si>
  <si>
    <t>6 pcs. Narra lumber</t>
  </si>
  <si>
    <t>BLGU Fusina Lal-lo, Cag.</t>
  </si>
  <si>
    <t>January 6, 2014/ Siwangag Cove, Palaui, San Vicente, Sta. Ana, Cag.</t>
  </si>
  <si>
    <t>No claimant (chainsaw/ handrill)</t>
  </si>
  <si>
    <t>September 13, 2015/ Dungeg, Sta. Ana, Cagayan</t>
  </si>
  <si>
    <t xml:space="preserve">1 pc. Molave lumber &amp; post </t>
  </si>
  <si>
    <t>50 pcs. Red Lauan lumber</t>
  </si>
  <si>
    <t>Naval Based/ Camilo Osias/ ENS Julius DN Villacarlos, PN</t>
  </si>
  <si>
    <t>September 15, 2015/ Dungeg, Sta. Ana, Cag.</t>
  </si>
  <si>
    <t>23 pcs. Red Lauan lumber</t>
  </si>
  <si>
    <t>January 5, 2014/ Casambalangan, Sta. Ana, cag.</t>
  </si>
  <si>
    <t>CTU-567</t>
  </si>
  <si>
    <t>431 pcs. Old lumbers/ posts</t>
  </si>
  <si>
    <t>September 17, 2015/ Cumao, Gattaran, Cagayan</t>
  </si>
  <si>
    <t>6 pcs. CHW flitches</t>
  </si>
  <si>
    <t>PNP Regional Mobile Group</t>
  </si>
  <si>
    <t>The conveyance was released temporarily by posting a Cash Bond amounting to amounting to 60,000.00. Confiscated in favor of the government per undated order of the RED</t>
  </si>
  <si>
    <t>Under administrative adjudication proceedings. Ewith Order of Finality received on Dec. 09, 2024 promulgated on Oct. 26, 2015 with Docket No. R2-F-114</t>
  </si>
  <si>
    <t>September 23, 2015/ Paranum, Lal-lo, Cagayan</t>
  </si>
  <si>
    <t>23 pcs. Narra lumber</t>
  </si>
  <si>
    <t>February 13, 2014/ Macanaya, Aparri, Cag.</t>
  </si>
  <si>
    <t>PNP Lal-lo</t>
  </si>
  <si>
    <t>BVT-300</t>
  </si>
  <si>
    <t>19 pcs. sacks charcoal</t>
  </si>
  <si>
    <t>The 19 sacks of charcoal was ordered confiscated in favor of the government while the conveyance was ordered to return in favor of the owner per order dated March 10, 2017.</t>
  </si>
  <si>
    <t>February 14, 2014/ Agusi, Camalaniugan, Cag.</t>
  </si>
  <si>
    <t>(Kuliglig)</t>
  </si>
  <si>
    <t>22 sacks of charcoal</t>
  </si>
  <si>
    <t>Both conveyance anf forest products ordered confiscated in favor of the government dated June 6, 2014. With Order of Finality received on August 27, 2024</t>
  </si>
  <si>
    <t>37 sacks of charcoal</t>
  </si>
  <si>
    <t>Both conveyance anf forest products ordered confiscated in favor of the government dated June 6, 2014</t>
  </si>
  <si>
    <t>February 3, 2015/ Dodan, Peñablanca, Cag.</t>
  </si>
  <si>
    <t>February 14, 2014/ Tallungan, Aparri, cag.</t>
  </si>
  <si>
    <t>(KB-509F428968)</t>
  </si>
  <si>
    <t>48 pcs. CHW lumber</t>
  </si>
  <si>
    <t>16 sacks charcoal</t>
  </si>
  <si>
    <t>PENRO, Sub-Office, Carig, Tuguegarao City</t>
  </si>
  <si>
    <t>Confiscated in favor of the government per order of the RED dated March 31, 2015. Ordered final and executory dated February 22, 2021</t>
  </si>
  <si>
    <t>June 11, 2015/ Atulayan Norte, Tuguegarao City</t>
  </si>
  <si>
    <t>Mini-dump truck no plate</t>
  </si>
  <si>
    <t>23 pcs. Narra lumber/8 Gmelina flitches</t>
  </si>
  <si>
    <t>The vehicle was ordered released in favor of the owner while the forest products confiscated in favor of the government per order dated June 26, 2014</t>
  </si>
  <si>
    <t>Confiscated in favor of the government dated April 1, 2016</t>
  </si>
  <si>
    <t>February 19, 2014/ Sta. Clara, Sta. Ana, Cag.</t>
  </si>
  <si>
    <t>June 27, 2015/ Quibal, Peñablanca, Cag.</t>
  </si>
  <si>
    <t>442 pcs. CHW lumbers</t>
  </si>
  <si>
    <t>PNP, LGU, CEZA, Pahilippine Navy</t>
  </si>
  <si>
    <t>Donated to Provincial Gov't. of Cagayan for the repair/ renovation of their office buildings</t>
  </si>
  <si>
    <t>February 27, 2014/ Dumasag, Casambalangan, Sta. Ana, Cag.</t>
  </si>
  <si>
    <t xml:space="preserve">Kulong-kulong no Plate </t>
  </si>
  <si>
    <t>2 pcs. CHW lumber</t>
  </si>
  <si>
    <t>7 pcs. CHW flitches</t>
  </si>
  <si>
    <t>LGU Sta. Ana, Cag./ MENRO Florencio Obiano</t>
  </si>
  <si>
    <t>March 8, 2014/ Sta. Clara, Gonzaga, cag.</t>
  </si>
  <si>
    <t>No permit/ transport documents (QH-1439)</t>
  </si>
  <si>
    <t>37 pcs. CHW lumber</t>
  </si>
  <si>
    <t>77th IB Philippine Army headed by SSGT Rodolfo Cusapao</t>
  </si>
  <si>
    <t>No permit/ transport documents (TMX-155 No. Plate No.)</t>
  </si>
  <si>
    <t>29 pcs. CHW lumber</t>
  </si>
  <si>
    <t>78th IB Philippine Army headed by SSGT Rodolfo Cusapao</t>
  </si>
  <si>
    <t>March 9, 2014/ Aridowen, Sta. Teresita, Cag.</t>
  </si>
  <si>
    <t>19 pcs. CHW lumber/logs</t>
  </si>
  <si>
    <t>Confiscated in favor of the government per order of the RED dated January 12, 2016. With Order of Finality received on Sept. 06, 2024</t>
  </si>
  <si>
    <t>August 7, 2015/ Maharlika Highway, Carig, Tuguegarao City</t>
  </si>
  <si>
    <t>Mini-dump truck  UPE 226</t>
  </si>
  <si>
    <t>Confiscated in favor of the government per order dated May 23, 2014</t>
  </si>
  <si>
    <t>March 12, 2014/ So. Mammit, Lal-lo, Cagayan</t>
  </si>
  <si>
    <t>10 pcs. CHW flitches</t>
  </si>
  <si>
    <t>Confiscated in favor of the government dated October 27, 2017. With Order of Finality received on Sept. 11, 2024</t>
  </si>
  <si>
    <t>PNP 1st Maneuver Platoon</t>
  </si>
  <si>
    <t>Confiscated in favor of the government per order dated August 20, 2014. Donated to DENR Mechanized Nursery at Lannig, Solana, Cag. Ordered final and executory dated April 23, 2021</t>
  </si>
  <si>
    <t>March 12, 2014/ Malannao, Lal-lo, Cag.</t>
  </si>
  <si>
    <t>5 pcs. Narra flitches</t>
  </si>
  <si>
    <t>Confiscated in favor of the government per Order of the RD dated June 11, 2015. With Order of Finality received on Dec. 03, 2024 promulgated on June 11, 2015 with Docket No. R2-F-1095</t>
  </si>
  <si>
    <t>March 16, 2014/ Pattao, Buguey, Cagayan</t>
  </si>
  <si>
    <t>No permit/ transport documents (THK-377)</t>
  </si>
  <si>
    <t>304 pcs. CHW lumber</t>
  </si>
  <si>
    <t>PNP, Maritime Group, Barangay Officials</t>
  </si>
  <si>
    <t>Confiscated in favor of the government per order of the RED dated May 23, 2014. Donated to DENR Mechanized Nursery at Lannig, Solana, Cag.</t>
  </si>
  <si>
    <t>March 20, 2014/ San Vicente, Sta. Ana, Cag.</t>
  </si>
  <si>
    <t>No permit/transport documents (motorized banca)</t>
  </si>
  <si>
    <t>33 pcs. CHW lbr.</t>
  </si>
  <si>
    <t>Naval Based/ Camilo Osias</t>
  </si>
  <si>
    <t>Maritime Group</t>
  </si>
  <si>
    <t>Foresolution</t>
  </si>
  <si>
    <t>March 22, 2014/ Sittio Paguiao, Baraccaoit, Gattaran, Cagayan</t>
  </si>
  <si>
    <t>Wolden Tolentino, Rey Mark Farinas, Van Bryan Ong Joefel Palino</t>
  </si>
  <si>
    <t>66 pcs. CHW and Flitches</t>
  </si>
  <si>
    <t>PNP Station compund, Gattaran, Cagayan under PO3 Desmond Garcia</t>
  </si>
  <si>
    <t>PNP Gattaran, Cag.</t>
  </si>
  <si>
    <t>March 27, 2014/ Katiwayan, Rapuli, Sta. Ana, Cag.</t>
  </si>
  <si>
    <t>MLGU compound, Sta. Ana, Cag./ Florencio Obiano and Danilo Rugrug</t>
  </si>
  <si>
    <t>PNREO</t>
  </si>
  <si>
    <t>March 30, 2014/ Tapel, Gonzaga, Cag.</t>
  </si>
  <si>
    <t>No permit/ transport documents (BL-3329)</t>
  </si>
  <si>
    <t>Philippine National Police based at Gonzaga, Cag.</t>
  </si>
  <si>
    <t>Both conveyance and the forest products ordered confiscated in favor of the government dated Dec. 10, 2014. With Order of Finality received on Sept. 11, 2024</t>
  </si>
  <si>
    <t>April 3, 2014/ Inter-Agency, Casambalangan, Sta. Ana, Cag.</t>
  </si>
  <si>
    <t>No permit/ transport documents (Van-024405)</t>
  </si>
  <si>
    <t>76 pcs. Narra lumber</t>
  </si>
  <si>
    <t>CEZA Personnel headed by Mr. Jose Ramboanga</t>
  </si>
  <si>
    <t>Both conveyance and the forest products ordered confiscated in favor of the government dated March 31, 2015. With Order of Finality received on Aug. 27, 2024</t>
  </si>
  <si>
    <t>April 11, 2014/ San Vicente, Sta. Ana, Cagayan</t>
  </si>
  <si>
    <t>No permit/ transport documents (Motorized banca, chainsaw )</t>
  </si>
  <si>
    <t xml:space="preserve"> 13 pcs. Narra Lumber</t>
  </si>
  <si>
    <t>CENRO SOLANA</t>
  </si>
  <si>
    <t>Philippine Navy compound/ Renato Ringor, PN, NBCO, San Vicente, Sta.Ana, Cagayan</t>
  </si>
  <si>
    <t>Philippine Navy commander Renato Ringor,PN,NBCO, San Vicente, Sta.Ana, Cagayan</t>
  </si>
  <si>
    <t>February 5, 2015/ Gumarueng, Piat, Cag.</t>
  </si>
  <si>
    <t>April 13, 2014/ Abagao, Camalanuigan, Cagayan</t>
  </si>
  <si>
    <t>No permit/ transport documents KZ-6872)</t>
  </si>
  <si>
    <t>RGW-946</t>
  </si>
  <si>
    <t>129 pcs. CHW lumber</t>
  </si>
  <si>
    <t>April 16, 2014/ Palaui, San Vicente, Sta. Ana, Cagayan</t>
  </si>
  <si>
    <t xml:space="preserve"> 16 pcs. CHW Lumber</t>
  </si>
  <si>
    <t>Sta. Ana Municipal Hall under MENRO Florence D. Obiano</t>
  </si>
  <si>
    <t xml:space="preserve">Philippine Maritime Group, Philippine Coast Guard and CEZA </t>
  </si>
  <si>
    <t>April 17, 2014/ Dugo, Camalanuigan, Cagayan</t>
  </si>
  <si>
    <t>No permit/ transport documents (CKH-985)</t>
  </si>
  <si>
    <t xml:space="preserve">50 sacks of charcoal </t>
  </si>
  <si>
    <t>Cenro Tuguegarao</t>
  </si>
  <si>
    <t>CENRO Compound, Lannig, Solana, Cag.</t>
  </si>
  <si>
    <t xml:space="preserve">PNP members of PNP Station, Piat, Cag. </t>
  </si>
  <si>
    <t>Confiscated in favor of the government dated November 18, 2015</t>
  </si>
  <si>
    <t>May 10, 2015/ Sta. Barbara, Piat, Cagayan</t>
  </si>
  <si>
    <t>BCN-705</t>
  </si>
  <si>
    <t>7 pcs. Gmelina lumber</t>
  </si>
  <si>
    <t>Both conveyance and forest products ordered confiscated in favor of the government dated June 10, 2014. With Order of Finality receieved on Sept. 16, 2024</t>
  </si>
  <si>
    <t>May 3, 2014/ Centro, Camalanuigan, Cagayan</t>
  </si>
  <si>
    <t>PNP Piat, Cagayan</t>
  </si>
  <si>
    <t>June 3, 2015/ Minuguian, Gagabutan West, Rizal, Cagayan</t>
  </si>
  <si>
    <t>No permit/ transport documents (WDZ-277)</t>
  </si>
  <si>
    <t>No permit to cut</t>
  </si>
  <si>
    <t>20 pcs. CHW lumber</t>
  </si>
  <si>
    <t>Rizal PNP Station PSI Eugenio Catubag, Jr.</t>
  </si>
  <si>
    <t xml:space="preserve"> 70 pcs. CHW lumber</t>
  </si>
  <si>
    <t>June 7, 2015/ Niug Norte, Sto. Niño, Cagayan</t>
  </si>
  <si>
    <t>No permit (Ramil Cauilan Aka Patti)</t>
  </si>
  <si>
    <t>11 pcs. CHW flitches</t>
  </si>
  <si>
    <t>CENRO Compound</t>
  </si>
  <si>
    <t>Both conveyance and forest products ordered confiscated in favor of the government dated Dec. 10, 2014. With Order of Finality received on Sept. 06, 2024</t>
  </si>
  <si>
    <t>June 8, 2015/ San Luis, Tuao, Cagayan</t>
  </si>
  <si>
    <t>June 2, 2014/ Macanaya, Aparri, Cag.</t>
  </si>
  <si>
    <t>No permit (Bandsaw)</t>
  </si>
  <si>
    <t>No permit/ transport documents (WFA-787)</t>
  </si>
  <si>
    <t>2,451 pcs. Gmelina lumber and logs</t>
  </si>
  <si>
    <t>PSI Ponciano M. Taliping, Jr. COP, Tuao, PNP Station</t>
  </si>
  <si>
    <t>PNP Tuao</t>
  </si>
  <si>
    <t>July 1, 2015/ Catarauan, Piat, Cagayan</t>
  </si>
  <si>
    <t>10 pcs. Gmelina logs</t>
  </si>
  <si>
    <t>99 pcs. CHW lumber</t>
  </si>
  <si>
    <t>PNP Maritime Special Reaction Team</t>
  </si>
  <si>
    <t>1. 62 cu.m. donated to DENR Mechanized Nursery at Lannig, Solana, Cag.</t>
  </si>
  <si>
    <t>July 8, 2015/ Sitio Abbut, Bagumbayan, Tuao, Cagayan</t>
  </si>
  <si>
    <t>June 18, 2014/ Limbus, Rapuli, Sta. Ana, Cag.</t>
  </si>
  <si>
    <t>20 pcs. Red Lauan lumber</t>
  </si>
  <si>
    <t>Donated to Parish Priest of Sta. Ana, Cag.</t>
  </si>
  <si>
    <t>June 20, 2014/ San Vicente, Sta. Ana, Cag.</t>
  </si>
  <si>
    <t>PNP Tuao compound</t>
  </si>
  <si>
    <t>July 15, 2015/ Aquib, Piat, Cag.</t>
  </si>
  <si>
    <t>19 pcs. Narra flitches</t>
  </si>
  <si>
    <t>No permit/ transport documents (Motorized Banca)</t>
  </si>
  <si>
    <t>14 pcs.  Palosapis and 1 Antipolo Lumber</t>
  </si>
  <si>
    <t>Philippine Navy compound/ Commander Renato Ringor, PN</t>
  </si>
  <si>
    <t>PNP Piat</t>
  </si>
  <si>
    <t>Philippine Navy headed by Commander Renato Ringor,PN,NBCO, San Vicente, Sta.Ana, Cagayan</t>
  </si>
  <si>
    <t xml:space="preserve"> SUB TOTAL</t>
  </si>
  <si>
    <t>June 23, 2014/ San Vicente, Sta. Ana, Cagayan</t>
  </si>
  <si>
    <t>173 pcs. Red Lauan Lumber</t>
  </si>
  <si>
    <t>June 26, 2014/ San Vicente, Sta. Ana, Cagayan</t>
  </si>
  <si>
    <t>14 pcs. Red Lauan lumber</t>
  </si>
  <si>
    <t>July 1, 2014/ San Vicente, Sta. Ana, Cagayan</t>
  </si>
  <si>
    <t>9 pcs. Narra lumber</t>
  </si>
  <si>
    <t>For resoltion</t>
  </si>
  <si>
    <t>July 15, 2014/ Aridaoen, Sta. Teresita, Cag.</t>
  </si>
  <si>
    <t>5 pcs. Tanguile and White Lauan</t>
  </si>
  <si>
    <t>Philippine Army</t>
  </si>
  <si>
    <t xml:space="preserve">Donated to DENR Mechanized Forest Nursery </t>
  </si>
  <si>
    <t>July 21, 2014/ Centro 9, Aparri, Cag.</t>
  </si>
  <si>
    <t>15 pcs. Red Lauan lumber</t>
  </si>
  <si>
    <t>Regional Maritime Unit 2 compound, Minanga, Aparri, Cag.</t>
  </si>
  <si>
    <t>Regional Maritime Unit 2, Minanga, Aparri, Cag.</t>
  </si>
  <si>
    <t>July 26, 2014/ San Vicente, Sta. Ana, Cagayan</t>
  </si>
  <si>
    <t>CENRO ALCALA</t>
  </si>
  <si>
    <t>3 pcs. Narra lumber</t>
  </si>
  <si>
    <t xml:space="preserve">Philippine Navy at NBCO, San Vicente Strait, Sta. Ana, Cag. </t>
  </si>
  <si>
    <t xml:space="preserve">Elements of Philippine Navy, NBCO, San Vicente Strait, Sta. Ana, Cag. </t>
  </si>
  <si>
    <t>February 2, 2015/ So. Daligadig, Sta. Margarita, Cag.</t>
  </si>
  <si>
    <t>August 3, 2014/ Sta. Clara, Sta. Ana, Cag.</t>
  </si>
  <si>
    <t>149 pcs. Red Lauan lumber</t>
  </si>
  <si>
    <t>PNP compound/ PSI Jose Cabaddu</t>
  </si>
  <si>
    <t>PNP Sta. Ana, Cag.</t>
  </si>
  <si>
    <t>54 pcs. CHW lumber/ flitches</t>
  </si>
  <si>
    <t>August 7, 2014/ Aguab, Palaui, San Vicente, Sta. Ana, Cag.</t>
  </si>
  <si>
    <t>147 pcs. Narra</t>
  </si>
  <si>
    <t>CENRO compound, Baybayog, Alcala, Cag.</t>
  </si>
  <si>
    <t>MENRO Baggao, Cagayan</t>
  </si>
  <si>
    <t>Confiscated in favor of the government per order of the RD dated June 4, 2015. With Order of Finality received on Dec. 03, 2024 promulgated on June 04, 2015 with Docket No. R2-F-1090</t>
  </si>
  <si>
    <t>February 6, 2015/ So. Daligadig, Sta. Margarita, Baggao, Cag.</t>
  </si>
  <si>
    <t>34 pcs. CHW lumber</t>
  </si>
  <si>
    <t>Regional Office 02, Carig, Tuguegarao City</t>
  </si>
  <si>
    <t>PAMB Members (Task Force Sagip Kalikasan, PNP, LGU, Philippine Navy and CEZA)</t>
  </si>
  <si>
    <t>100 pcs. Tanguile and White Lauan</t>
  </si>
  <si>
    <t>Confiscated in favor of the government per order of the RD dated June 4, 2015. With Order of Finality received on Dec. 03, 2024 promulgated on June 04, 2015 with Docket No. R2-F-1091</t>
  </si>
  <si>
    <t>February 23, 2015/ So. Daligadig, Sta. Margarita, Baggao, Cagayan</t>
  </si>
  <si>
    <t>2 pcs. Palosapis</t>
  </si>
  <si>
    <t>CENRO compound, Baybayog, Alcala, cag.</t>
  </si>
  <si>
    <t>77th IB Philippine Army</t>
  </si>
  <si>
    <t>18 pcs. Kamagong</t>
  </si>
  <si>
    <t>Confiscated in favor of the government per order of the RD dated June 4, 2015</t>
  </si>
  <si>
    <t>August 25, 2015/ Annayatan, San Jose, Baggao, Cagayan</t>
  </si>
  <si>
    <t>WAG-222</t>
  </si>
  <si>
    <t>3 pcs. Bolong- eta flitches</t>
  </si>
  <si>
    <t>August 7, 2014 at San Vicente, Sta. Ana, Cagayan</t>
  </si>
  <si>
    <t>PNP San Jose, Baggao, Cag.</t>
  </si>
  <si>
    <t xml:space="preserve">Confiscated in favor of the government dated July 5, 2015. </t>
  </si>
  <si>
    <t>November 9, 2015/ So. Daligadig, Sta. Margarita, Baggao, Cag</t>
  </si>
  <si>
    <t>66 pcs. CHW lumber</t>
  </si>
  <si>
    <t>November 20, 2015/ So. Birao, Hacienda Intal, Baggao, Cag.</t>
  </si>
  <si>
    <t xml:space="preserve"> chainsaw</t>
  </si>
  <si>
    <t>10 pcs. Red Lauan lumber</t>
  </si>
  <si>
    <t>Philippine Navy based at Sta. Ana, Cag.</t>
  </si>
  <si>
    <t xml:space="preserve">CONSOLIDATED APPREHENDED, SEIZED AND CONFISCATED FOREST PRODUCTS, CONVEYANCES AND EQUIPMENT </t>
  </si>
  <si>
    <t>PENR Office/ Romeo Galang, property custodian</t>
  </si>
  <si>
    <t>Confiscated in favor fo the government per order dated May 4, 2016</t>
  </si>
  <si>
    <t>August 12, 2014/ Rapuli, Sta. Ana, Cag.</t>
  </si>
  <si>
    <t>SUB TOTAL</t>
  </si>
  <si>
    <t>54 pcs. Red Lauan lumber</t>
  </si>
  <si>
    <t>CALENDAR YEAR 2016</t>
  </si>
  <si>
    <t>August 22, 2014</t>
  </si>
  <si>
    <t>/ Burubur, Lal-lo, Cagayan</t>
  </si>
  <si>
    <t>77th IB, PA  based at Piggatan, Alcala, Cagayan</t>
  </si>
  <si>
    <t>3 pcs. Dau</t>
  </si>
  <si>
    <t>BEV-942</t>
  </si>
  <si>
    <t>77th IB, PA compound at Piggatan, Alcala, Cagayan</t>
  </si>
  <si>
    <t>September 20, 2014/ Nassiping, Gattaran, Cag.</t>
  </si>
  <si>
    <t>No permit/ transport documents (WRW-167)</t>
  </si>
  <si>
    <t>6 pcs. Narra flitches</t>
  </si>
  <si>
    <t>Gattaran PNP Station.</t>
  </si>
  <si>
    <t>October 17, 2014/ Rapuli, Sta. Ana, Cag.</t>
  </si>
  <si>
    <t>13 pcs. White Lauan</t>
  </si>
  <si>
    <t>MENRO Sta. Ana, Cag.</t>
  </si>
  <si>
    <t>October 21, 2014/ Samuk-samuk, Centro, Sta. Ana, Cag.</t>
  </si>
  <si>
    <t>40 pcs. white Lauan lumber</t>
  </si>
  <si>
    <t>October 24, 2014/ Nangalisan, Sta. Clara, Gonzaga, Cag.</t>
  </si>
  <si>
    <t>46 pcs. Mangachapui, Guijo &amp; Whilte Lauan lbr.</t>
  </si>
  <si>
    <t>DENR Bunkhouse, Palawig, Sta. Ana, Cag.</t>
  </si>
  <si>
    <t>Brgy. Officials &amp; Brgy. Tanod, LGU MENRO</t>
  </si>
  <si>
    <t>October 29, 2014/ Flourishing, Gonzaga, Cagayan</t>
  </si>
  <si>
    <t>CENRO SANCHEZ MIRA</t>
  </si>
  <si>
    <t>No permit/ transport documents (Starex Van 020401)</t>
  </si>
  <si>
    <t>31 pcs. Narra lumber</t>
  </si>
  <si>
    <t>Brgy. Flourishing, Gonzaga, Cag.</t>
  </si>
  <si>
    <t>PNP Gonzaga, Cag.</t>
  </si>
  <si>
    <t>Dec. 9, 2014/ Alucao, Sta. Teresita, Cag.</t>
  </si>
  <si>
    <t>No permit/ transport documents (Fiera XHD-233)</t>
  </si>
  <si>
    <t>2 PCS. CHW lbr.</t>
  </si>
  <si>
    <t>March 23, 2015/ So. Cuseteng, Barangay Bangan, Sanchez Mira, Cag.</t>
  </si>
  <si>
    <t>59 pcs. CHW lumber</t>
  </si>
  <si>
    <t>F ebruary 1, 2016/Guising, Gattaran, Cag.</t>
  </si>
  <si>
    <t>No permit to transport (UUL 360)</t>
  </si>
  <si>
    <t>218 pcs. Red and White Lauan lumber</t>
  </si>
  <si>
    <t>BLGU Guising Gattaran and PNP Gattaran</t>
  </si>
  <si>
    <t>Criminal case was filed in court against Nestor Pajudpud &amp; Gerald Garcia docketed under NPS-II-02a-INV-16D-00099 on April 11, 2016. With Order of Finality received on sept. 11, 2024</t>
  </si>
  <si>
    <t>February 20, 2016/ Pateng, Gonzaga, Cagayan</t>
  </si>
  <si>
    <t>No permit to transport (020405)</t>
  </si>
  <si>
    <t>11 kamagong lumber</t>
  </si>
  <si>
    <t>sub-total</t>
  </si>
  <si>
    <t>PNP Sanchez Mira, Cag.</t>
  </si>
  <si>
    <t>Confiscated in favor of the government per order of the RD dated May 28, 2015. With Order of Finality received on Dec. 13, 2024 promulgated on Aug. 05, 2015 with Docket No. R2-F-1098</t>
  </si>
  <si>
    <t>April 23, 2015/ Rural Vocational High School, Langay, Abulug, Cag.</t>
  </si>
  <si>
    <t>1 Narra Office table and Narra tool cabinet</t>
  </si>
  <si>
    <t>RVHS Compound</t>
  </si>
  <si>
    <t>Confiscated in favor of the government per order of the RD dated August 12, 2015</t>
  </si>
  <si>
    <t>PNP Gonzaga</t>
  </si>
  <si>
    <t>The accused (Rodel Samortin) pleaded guilty for a lower offense 6 months to 2 years imprisonment and a fine of ₱500.00.The forest products and conveyance were ordered confiscated in favor of the government per order dated June 7, 2016 issued by Presiding Judge Conrado Tabaco of RTC Branch 9, Aparri, Cag. With Order of Finality received on Sept. 04, 2024</t>
  </si>
  <si>
    <t>June 4, 2015/ So. Federico, Gattu, Pamplona, Cag.</t>
  </si>
  <si>
    <t>96 pcs. CHW lumber</t>
  </si>
  <si>
    <t>12 Narra lumber</t>
  </si>
  <si>
    <t>DENR Apayao, PNP Pamplona and PNP Apayao</t>
  </si>
  <si>
    <t>Confiscated in favor of the government per order of the RD dated August 12, 2015. With Order of Finality received on Dec. 03, 2024 promulgated on Aug. 12, 2015 with Docket No. R2-F-1107</t>
  </si>
  <si>
    <t>February 20, 2016/ Brgy. Palawig, Sta. Ana, Cag.</t>
  </si>
  <si>
    <t>August 13, 2015/ Claveria, Cagayan</t>
  </si>
  <si>
    <t>UPU 833</t>
  </si>
  <si>
    <t>No permit to transport (BC-40918)</t>
  </si>
  <si>
    <t>17 pcs. Red Lauan Lumber</t>
  </si>
  <si>
    <t>123 pcs. CHW lumber</t>
  </si>
  <si>
    <t>PNP Sta. Ana, Cagayan</t>
  </si>
  <si>
    <t>February 20, 2016/ Brgy. Centro, Sta. Ana, Cag.</t>
  </si>
  <si>
    <t>No permit to transport (Kulong-kulong)</t>
  </si>
  <si>
    <t>13 pcs. Red Lauan Lumber</t>
  </si>
  <si>
    <t>No permit to transport ( Center Car)</t>
  </si>
  <si>
    <t>PNP Claveria and 2nd Maneuver Platoon PPSC</t>
  </si>
  <si>
    <t>March 10, 2016/ Centro West, Allacapan, Cagayan</t>
  </si>
  <si>
    <t>No permit to transport (TCC-198)</t>
  </si>
  <si>
    <t xml:space="preserve">18 pcs. Gmelina lumbers </t>
  </si>
  <si>
    <t>PNP Allacapan</t>
  </si>
  <si>
    <t>Criminal Case was filed at OPP Ballesteros, Cag. Against Jaylord Salcedo on March 14, 2016. With Order of Finality received on Aug. 27, 2024</t>
  </si>
  <si>
    <t xml:space="preserve">January 7, 2014/ Piggatan, Alcala, cag. </t>
  </si>
  <si>
    <t>No permit/ transport documents (NJH-999)</t>
  </si>
  <si>
    <t>493 pcs. CHW lumbers</t>
  </si>
  <si>
    <t>35 CHW lumber</t>
  </si>
  <si>
    <t>Compound of 21st IB, Philippine Army based at Masin, Alcala, Cag.</t>
  </si>
  <si>
    <t>21st IB, PA at Masin, Alcala, Cag.</t>
  </si>
  <si>
    <t>Both conveyance and forest products was ordered confiscated in favor of the government dated April 11, 2014. With Order of Finality received on Dec. 03, 2024 promulgated on April 11, 2014 with Docket No. R2-F-961</t>
  </si>
  <si>
    <t>May 16, 2016/ Nangaramuan, Sta. Ana, Cag.</t>
  </si>
  <si>
    <t>February 3, 2014/ Piggatan, Alcala, Cag.</t>
  </si>
  <si>
    <t>No permit/ transport documents XHY-479)</t>
  </si>
  <si>
    <t>588 pcs. CHW lumber</t>
  </si>
  <si>
    <t>Compound of 21st IB, Philippine Army based at Masin, Alcala, Cag./ Lt. Col. Niceforo Diaz</t>
  </si>
  <si>
    <t xml:space="preserve">Both conveyance and forest products was ordered confiscated in favor of the government dated April 30, 2014. For donation to PA </t>
  </si>
  <si>
    <t>GRAND TOTAL</t>
  </si>
  <si>
    <t>Teddy Umbay</t>
  </si>
  <si>
    <t>February 20, 2014/ Piggatan, Alcala, Cag.</t>
  </si>
  <si>
    <t>No permit/ transport documents (UBC-461)</t>
  </si>
  <si>
    <t>890 pcs. CHW lumber</t>
  </si>
  <si>
    <t>145 Red Lauan lumber</t>
  </si>
  <si>
    <t>Nangaramuan, San Vicente, Sta. Ana/Kagawad Eduardo Palor</t>
  </si>
  <si>
    <t>21st IB, Philippine Army, Masin, Alcala, Cag.</t>
  </si>
  <si>
    <t>Both conveyance and its load of forest products was ordered confiscated in favor of the government dated Sept. 5, 2014. With Order of Finality received on Sept. 16, 2024</t>
  </si>
  <si>
    <t>Criminal case was filed against Teddy Umbay at OPP Aparri on June 6, 2016 docketed under NPS-II-02a-INV-16F-00071</t>
  </si>
  <si>
    <t>March 16, 2014/ Brgy. Estafania, Amulung, Cagayan</t>
  </si>
  <si>
    <t>16 pcs. CHW lumbers</t>
  </si>
  <si>
    <t>June 15, 2016/ So. Lubac, San Vicente, Sta. Ana, Cag.</t>
  </si>
  <si>
    <t>58 CHW lumber</t>
  </si>
  <si>
    <t>Confiscated in favor of the government dated November 2, 2017</t>
  </si>
  <si>
    <t>June 25, 2016/ Bukig, Aparri, Cagayan</t>
  </si>
  <si>
    <t>No permit to transport (RGY-413)</t>
  </si>
  <si>
    <t>PNP Amulung</t>
  </si>
  <si>
    <t>211 pcs. Red &amp; White Lauan lumber</t>
  </si>
  <si>
    <t>PNP Bangag, Aparri</t>
  </si>
  <si>
    <t>April 17, 2014/ So Daligadig,Sta Margarita,Baggao, Cagayan</t>
  </si>
  <si>
    <t>Criminal Case was filed against the 5 suspects Reynaldo Ramos, et.al. at PPO Aparri, Cag. On June 26, 2016 under Criminal Case No. II-13254</t>
  </si>
  <si>
    <t>14 pcs. CHW lumbers</t>
  </si>
  <si>
    <t>June 29, 2016/ Lubac, San Vicente, Sta. Ana, Cag.</t>
  </si>
  <si>
    <t>40 White Lauan lumber</t>
  </si>
  <si>
    <t>May 14, 2014/ Checkpoint of PA based at Piggatan, Alcala, Cag.</t>
  </si>
  <si>
    <t>No permit/ transport documents (UUM-753)</t>
  </si>
  <si>
    <t>PNP Maritime Sta. Ana</t>
  </si>
  <si>
    <t>Confiscated in favor of the government dated October 27, 2017. Odered final and executory dated November 9, 2020</t>
  </si>
  <si>
    <t>July 5, 2016/Magapit, Lal-lo, Cag.</t>
  </si>
  <si>
    <t>38 White Lauan lumber</t>
  </si>
  <si>
    <t>6 small table, 1 Narra round table, 9 highback chair and 2 stool</t>
  </si>
  <si>
    <t>July 8, 2014/ So. Daligadig, Sta. Margarita, Baggao, Cag.</t>
  </si>
  <si>
    <t>MENRO LAL-LO</t>
  </si>
  <si>
    <t>121 pcs. Red Lauan lumber</t>
  </si>
  <si>
    <t>Confiscated in favor of the government per ordered dated August 20, 2014</t>
  </si>
  <si>
    <t>July 6, 2016/ So. Salwang, Kapanikian, Sta. Ana, Cag.</t>
  </si>
  <si>
    <t>18 Red Lauan lumber</t>
  </si>
  <si>
    <t>August 17, 2024/ So. Hot Spring, Zone 7, Asinga Via, Baggao, Cagayan</t>
  </si>
  <si>
    <t>Abandoned</t>
  </si>
  <si>
    <t>12 pcs. Red Lauan</t>
  </si>
  <si>
    <t>Order of Confiscation received Jan. 16, 2025 with Docket No. R2-ED-2024-222 promulgated on Nov. 22, 2024</t>
  </si>
  <si>
    <t>August 22, 2014/ Burubur, Lal-lo, Cagayan</t>
  </si>
  <si>
    <t>No permit/ transport documents (BEV-942)</t>
  </si>
  <si>
    <t>October 10, 2014/ Maharlika Highway, Baybayog, Alcala, Cag.</t>
  </si>
  <si>
    <t>No permit/ transport documents (ZJB-456)</t>
  </si>
  <si>
    <t>Confiscated in favor of the government dated September 24, 2017. Odered final and executory dated October 21, 2020</t>
  </si>
  <si>
    <t>July 10, 2016/ Centro East, Allacapan, Cag.</t>
  </si>
  <si>
    <t>No permit to transport (owner type jeep W/ Plate No. BCJ-516) unregistered/ Berting Gelano</t>
  </si>
  <si>
    <t>6 Narra flitches</t>
  </si>
  <si>
    <t>Criminal case was filed against Berting Galano at RTC Ballesteros, Cag. Filed by PNP Allacapan. Confiscated in favor of the government dated October 15, 2020. Ordered final and executory dated April 12, 2022</t>
  </si>
  <si>
    <t>July 12, 2016/ Mammit, San Mariano, Lal-lo, Cag.</t>
  </si>
  <si>
    <t>No claimant (1 unit STIHL-Chainsaw</t>
  </si>
  <si>
    <t>59 CHW lumber</t>
  </si>
  <si>
    <t>77th IB, PA</t>
  </si>
  <si>
    <t>The conveyance was ordered returned to the owner while the forest products was confiscated in favor of the gov't. per order dated Sept. 8, 2016</t>
  </si>
  <si>
    <t>Ordered final and executory dated Dec. 2020</t>
  </si>
  <si>
    <t>July 12, 2016/Palawig, Sta. Ana, Cag.</t>
  </si>
  <si>
    <t>No permit to transport (TMX 155) / Nestor Batacan, Joel Miranda &amp; Toniline Alog</t>
  </si>
  <si>
    <t>26 Red Lauan lumber</t>
  </si>
  <si>
    <t>Criminal Case filed against Nestor Batacan et.al. at PPO Aparri docketed under NPS No. II-02a-INQ-16G-00129 and Crim. Case No. 13273</t>
  </si>
  <si>
    <t>July 13, 2016/ Sta. Clara, Sta. Ana, Cag.</t>
  </si>
  <si>
    <t>20 Red Lauan &amp; Tuai lumber</t>
  </si>
  <si>
    <t>Confiscated in favor of the government dated November 2, 2017. Ordered final and executory dated October 26, 2020</t>
  </si>
  <si>
    <t>September 3, 2016/ Visitacion, Sta. Ana, Cagayan</t>
  </si>
  <si>
    <t>Lani Laud Villacillo</t>
  </si>
  <si>
    <t>57 Narra &amp; CHW lumber &amp; semi-finished products</t>
  </si>
  <si>
    <t xml:space="preserve"> Apprehended through Search Warrant issued by Hon. Judge Canrado Tabaco on Sept. 2, 2016. A criminal case was filed against Lannie Villacillo under NPS No. II-02a-INV-16I-00278</t>
  </si>
  <si>
    <t>199 pcs. Premium and CHW lumber and semi-finished furniture items</t>
  </si>
  <si>
    <t>Barangay Officials, PNP Sta. Ana and Maritime Group</t>
  </si>
  <si>
    <t xml:space="preserve"> Apprehended through Search Warrant issued by Hon. Judge Canrado Tabaco on Sept. 2, 2016. A criminal case was filed against Lannie Villacillo under NPS No. II-02a-INV-16I-00279</t>
  </si>
  <si>
    <t>October 7, 2016/ Marede, Sta. Ana, Cag.</t>
  </si>
  <si>
    <t>Marvin Agcaoili</t>
  </si>
  <si>
    <t>46 Narra &amp; Kamagong lumber/flitches</t>
  </si>
  <si>
    <t>PNP based at Casambalangan, Sta. Ana, Cag.</t>
  </si>
  <si>
    <t>The seizure was executed through Search Warrant No. 73-16 issued by Judge Neljoe A. Cortes RTC, Branch VI, Aparri, Cag. On Oct. 7, 2016. A criminal case was filed under NPS No. II-02a-INV-16K-00345. Confiscated in favor of the government per order dated October 31, 2019 issued by Atty. Antonio A. Abawag.Order of Finality date received January 8, 2025 and date promulgated October 31, 2019 and docket no. R2-F-1382</t>
  </si>
  <si>
    <t>October 15, 2016/ Centro Sta. Ana, Cag.</t>
  </si>
  <si>
    <t>No permit to transport (kulong-kulong)</t>
  </si>
  <si>
    <t>15 CHW lumber</t>
  </si>
  <si>
    <t>February 7, 2014/ Cabuluan East, Ballesteros, Cag.</t>
  </si>
  <si>
    <t>No permit/ transport documents (WGR-892)</t>
  </si>
  <si>
    <t>October 15, 2016/Palawig, Sta. Ana, Cag.</t>
  </si>
  <si>
    <t>No permit to transport (kulong-kulong)/Jay-ar Burguita &amp;Jay-mar Burguita</t>
  </si>
  <si>
    <t>10 CHW lumber</t>
  </si>
  <si>
    <t>45 pcs. CHW lumbers</t>
  </si>
  <si>
    <t>November 5, 2016/ Bulala Sur, Aparri, Cag.</t>
  </si>
  <si>
    <t>No permit/1 table saw/ Marlon Labbao</t>
  </si>
  <si>
    <t>11 CHW lumber</t>
  </si>
  <si>
    <t>PNP Aparri</t>
  </si>
  <si>
    <t xml:space="preserve">The forest products and the undergeistered table saw were apprehended at the house and its premises of Marlon Labbao </t>
  </si>
  <si>
    <t>December 4, 2016/Palawig, Sta. Ana, cag.</t>
  </si>
  <si>
    <t>No permit to transport (kulong-kulong)/Gerald Malavi</t>
  </si>
  <si>
    <t>9 CHW lumber</t>
  </si>
  <si>
    <t>CENRO Sanchez Mira</t>
  </si>
  <si>
    <t>Both conveyance and its load of forest products was ordered confiscated in favor of the government dated Sept. 1, 2014. With Order of Finality received on Sept. 11, 2024</t>
  </si>
  <si>
    <t>No permit to transport (kulong-kulong)/Arnel Alog</t>
  </si>
  <si>
    <t>May 21, 2014/ So. Carallan, Sta. Cruz, Pamplona, Cag.</t>
  </si>
  <si>
    <t>Brgy. Hall, Sta. Cruz, Carallan, Pamplona, Cag.</t>
  </si>
  <si>
    <t>Brgy. Officials of Sta. Cruz, Pamplona &amp; PNP 2nd Maneuver Platoon based at Curva, Pamplona, Cag.</t>
  </si>
  <si>
    <t>Confiscated in favor of the government dated Dec. 10, 2014. Ordered final and executory dated March 25, 2021</t>
  </si>
  <si>
    <t>7 CHW lumber</t>
  </si>
  <si>
    <t>May 29, 2014/ Nagtupakan, Pamplona, Cag.</t>
  </si>
  <si>
    <t>20 pcs. CHW lumbers</t>
  </si>
  <si>
    <t>CALENDAR YEAR 2017</t>
  </si>
  <si>
    <t>PENR Office, San Gabriel, Tug. City</t>
  </si>
  <si>
    <t>PNP Pamplona, Cag.</t>
  </si>
  <si>
    <t>The forest products were hauled and brought to PENR Office. Confiscated in favor of the government dated Dec. 10, 2014. 600 bd.ft. donated to CBFM Dammang for the construction of boat for their livelihood project</t>
  </si>
  <si>
    <t>July 24, 2014/ Masi, Pamplona, Cag.</t>
  </si>
  <si>
    <t>28 pcs. CHW lumber</t>
  </si>
  <si>
    <t xml:space="preserve">2nd Maneuver Platoon based at Curva, Pamplona, Cagayan, Task Force of DENR-Apayao and PNP Pamplona </t>
  </si>
  <si>
    <t>Confiscated in favor of the gevernment per order dated Sept. 30, 2014. Ordered final and executory dated March 12, 2021. Donated to Sanchez Mira School of Arts and Trades per Deed of Donation dated November 14, 2014</t>
  </si>
  <si>
    <t>November 6, 2014/So. Carallan, Curva, Pamplona, Cagayan</t>
  </si>
  <si>
    <t>Assembled Kuliglig</t>
  </si>
  <si>
    <t>15pcs. CHW lumber</t>
  </si>
  <si>
    <t>February 4, 2017/ San Vicente Port, San Vicente, Sta. Ana, Cag.</t>
  </si>
  <si>
    <t>Marlon Pailano</t>
  </si>
  <si>
    <t>20 pcs. Bantigue (Bonsai)</t>
  </si>
  <si>
    <t>NBCO San Vicente, Sta. Ana/CDR Renato T. Ringor, PN</t>
  </si>
  <si>
    <t>No detailed report submitted yet</t>
  </si>
  <si>
    <t>February 14, 2017 /So. Bigok, Alucao, Sta. Teresita, cag.</t>
  </si>
  <si>
    <t>80 pcs. Red and White Lauan lumber/ flitches</t>
  </si>
  <si>
    <t>CENRO compound/ Mario Bungubung</t>
  </si>
  <si>
    <t>A case was filed at PPO Sanchez Mira with Case No. NPS-II-2SM-INQ-14k-00036</t>
  </si>
  <si>
    <t>PNP Station</t>
  </si>
  <si>
    <t>PNP Sta. teresita</t>
  </si>
  <si>
    <t>The report was received by this office on July 28, 2017</t>
  </si>
  <si>
    <t>February 17, 2017/ So. Bigok, Alucao, Sta. Teresita, Cag.</t>
  </si>
  <si>
    <t>February 16, 2016/ Barangay Dadda, Tuguegarao City</t>
  </si>
  <si>
    <t>No permit to transport (Kuliglig)</t>
  </si>
  <si>
    <t>25 pcs. CHW lumber</t>
  </si>
  <si>
    <t>PENRO Sub-Office</t>
  </si>
  <si>
    <t>February 21, 2016/ San Gabriel, Tuguegarao City</t>
  </si>
  <si>
    <t xml:space="preserve"> 14 pieces CHW lumbers/fltiches</t>
  </si>
  <si>
    <t xml:space="preserve">51 pcs. CHW lumber </t>
  </si>
  <si>
    <t>Confiscated in favor of the government dated June 9, 2016. oRDER FINAL AND EXECUTORY DATED mARCH 1, 2021</t>
  </si>
  <si>
    <t>March 3, 2016/ San Gabriel, Tuguegarao City</t>
  </si>
  <si>
    <t>No permit to transport (XGU 597)</t>
  </si>
  <si>
    <t>26 pcs. Narra lumber</t>
  </si>
  <si>
    <t>PNP Tuguegarao</t>
  </si>
  <si>
    <t>June 4, 2016/ Mayon St. San Gabriel, Tuguegarao City</t>
  </si>
  <si>
    <t>No permit to transport (RAA-957)</t>
  </si>
  <si>
    <t>110 pcs. Gmelina lumber</t>
  </si>
  <si>
    <t>PNP Compound</t>
  </si>
  <si>
    <t xml:space="preserve">Per memo dated November 15, 2016 of Legal Division, instructing the realese of both conveyance and its load </t>
  </si>
  <si>
    <t>August 6, 2016/ Nanguillattan, Peñablanca, Cag.</t>
  </si>
  <si>
    <t>abandoned</t>
  </si>
  <si>
    <t>31 pcs. CHW flitches</t>
  </si>
  <si>
    <t>August 21, 2016/ Camasi, Peñablanca, Cagayan</t>
  </si>
  <si>
    <t>25 CHW lumber</t>
  </si>
  <si>
    <t>Confiscated in favor of the government dated November 10, 2016</t>
  </si>
  <si>
    <t>September 1, 2016/ Camasi, Peñablanca, Cagayan</t>
  </si>
  <si>
    <t>No permit to transport (022610)</t>
  </si>
  <si>
    <t>67 pcs. Of assorted species</t>
  </si>
  <si>
    <t>Confiscated in favor of the government dated March 10, 2020</t>
  </si>
  <si>
    <t>September 3, 2016/ Sisim, Peñablanca, Cagayan</t>
  </si>
  <si>
    <t>36 pcs. CHW lumbr</t>
  </si>
  <si>
    <t>Confiscated in favor of the government per order dated February 13, 2017. Order of FINALITY dated October 26, 2020</t>
  </si>
  <si>
    <t>November 6, 2016/ Nannarian, Peñablanca, Cag.</t>
  </si>
  <si>
    <t>No permit to cut (43 respondents)</t>
  </si>
  <si>
    <t>103 pcs. Mahogany logs</t>
  </si>
  <si>
    <t>February 26, 2014/ Purok 6, Sto. Cabaruan, Maguirig, Solana, Cag.</t>
  </si>
  <si>
    <t>Mercedez Benz MB100 Van CXH-413</t>
  </si>
  <si>
    <t>PENRO Sub-Office and PNP Station Peñablanca</t>
  </si>
  <si>
    <t>PNP Peñablanca</t>
  </si>
  <si>
    <t>Under administrative confiscation proceedings</t>
  </si>
  <si>
    <t>February 21, 2017/ So. Palabirit, Barangay Dungeg, Sta. Teresita, Cagayan</t>
  </si>
  <si>
    <t>31 pcs. Narra lumber/ flitches</t>
  </si>
  <si>
    <t>2 pcs. Narra flitches</t>
  </si>
  <si>
    <t>February 7, 2016/Sto. Niño, Cagayan</t>
  </si>
  <si>
    <t>No permit to transport (CWL 986)</t>
  </si>
  <si>
    <t>PNP Maguirig, Solana, Cag.</t>
  </si>
  <si>
    <t>Provincial Public Safety Company based at Lannig, Solana, Cag.</t>
  </si>
  <si>
    <t>Both conveyance and forest products ordered confiscated in favor of the government per order of the RED dated Dec. 10, 2014</t>
  </si>
  <si>
    <t>June 25, 2014/ Abbut, Bagumbayan, Tuao, Cagayan</t>
  </si>
  <si>
    <t>CBD-772</t>
  </si>
  <si>
    <t>44 pcs. CHW lumber/ flitches</t>
  </si>
  <si>
    <t>The conveyance was ordered returned to the owner while the forest products was ordered confiscated in favor of the government dated April 25, 2017</t>
  </si>
  <si>
    <t>August 1, 2014/ Nangalisan, Solana, Cagayan</t>
  </si>
  <si>
    <t>Nissan Urvan VX  LE 3936)</t>
  </si>
  <si>
    <t>CHW lumber</t>
  </si>
  <si>
    <t>PNP Sto. Niño</t>
  </si>
  <si>
    <t>Confiscated in favor of the government dated July 5, 2016. With Order of Finality received on Sept. 12, 2024</t>
  </si>
  <si>
    <t xml:space="preserve">March 9, 2016/ </t>
  </si>
  <si>
    <t>Bravo Company, 17th IB, 5ID, PA based at Sta. Teresita, Cag.</t>
  </si>
  <si>
    <t>PNP Solana</t>
  </si>
  <si>
    <t>Both conveyance and forest products was ordered confiscated dated Dec. 10, 2014</t>
  </si>
  <si>
    <t>September 10, 2014/ Chico Norte, Sto. Niño, Cag.</t>
  </si>
  <si>
    <t>CHW flitches</t>
  </si>
  <si>
    <t>No permit to transport (TFK-951)</t>
  </si>
  <si>
    <t>6 pcs. CHW lumber/flitches</t>
  </si>
  <si>
    <t>PNP Sto. Niño, Cagayan</t>
  </si>
  <si>
    <t>Confiscated in favor of the government per order of the RED dated March 31, 2015</t>
  </si>
  <si>
    <t>Confiscated in favor of the government dated June 16, 2017</t>
  </si>
  <si>
    <t>May 31, 2016/ Maguirig, Solana, Cag.</t>
  </si>
  <si>
    <t>Juanito de Asis</t>
  </si>
  <si>
    <t>32 pcs. Lumber</t>
  </si>
  <si>
    <t>Confiscated in favor of the government dated December 12, 2021. Order of FINALITY dated October 21, 2020</t>
  </si>
  <si>
    <t>June 28, 2016/ Gumarueng, Piat, Cag.</t>
  </si>
  <si>
    <t>no claimant</t>
  </si>
  <si>
    <t>14 pcs. Gmelina flitches</t>
  </si>
  <si>
    <t>February 23, 2017/Mabuno, Gattaran, Cagayan</t>
  </si>
  <si>
    <t>July 20, 2016/ Sitio Andarayan Batu, Rizal, Cagayan</t>
  </si>
  <si>
    <t>Boy Tagayon</t>
  </si>
  <si>
    <t>28 CHW lumber /flitches</t>
  </si>
  <si>
    <t>PNP Rizal, Cagayan</t>
  </si>
  <si>
    <t>Confiscated in favor of the government dated November 12, 2018. With Order of Resolution received on Dec. 09, 2024 promulgated on Nov. 12, 2018 with Docket No. R2-F-1327</t>
  </si>
  <si>
    <t>September 2015,Lallayug Elem. School</t>
  </si>
  <si>
    <t>CENRO compound (99BD. FT.)</t>
  </si>
  <si>
    <t>With Order of Resolution received on Jan. 23, 2024 promulgated on Dec. 13, 2023 with Docket No. R2-ED-2023-00299</t>
  </si>
  <si>
    <t>Unsubmitted case folder (Mrs. Lydia Limucao-teacher- Offender)</t>
  </si>
  <si>
    <t>No permit to transport (BVD-794)</t>
  </si>
  <si>
    <t>89 pcs. CHW lumber</t>
  </si>
  <si>
    <t>Criminal Case filed against the 4 apprehended persons docketed under NPS II-02a-INV-17C-00073. With Order of Finality received on Sept. 04, 2024</t>
  </si>
  <si>
    <t>February 26, 2017/Pina Este, Gattaran Cag.</t>
  </si>
  <si>
    <t>February 26, 2016/ Agani, Alcala, Cagayan</t>
  </si>
  <si>
    <t>kuliglig</t>
  </si>
  <si>
    <t>20 pieces Gmelina lumbers</t>
  </si>
  <si>
    <t>18 pcs. Narra lumbers</t>
  </si>
  <si>
    <t>PNP Alcala</t>
  </si>
  <si>
    <t>February 27, 2017/Punta, Aparri, Cag.</t>
  </si>
  <si>
    <t>Confiscated in favor of the government dated February 26, 2018. With Order of Finality received on Sept. 04, 2024</t>
  </si>
  <si>
    <t>September 5, 2016/ Estefania, Amuluing, Cagayan</t>
  </si>
  <si>
    <t>AAW-4743</t>
  </si>
  <si>
    <t>PNP Amulung, Cagayan</t>
  </si>
  <si>
    <t>No permit to transport (motorized banca)</t>
  </si>
  <si>
    <t>Confiscated in favor of the government dated July 3, 2017. With Order of Finality received on Sept. 12, 2024</t>
  </si>
  <si>
    <t>September 6, 2016/ PTU Checkpoint, Baybayog, Alcala, Cag.</t>
  </si>
  <si>
    <t>BVW-139</t>
  </si>
  <si>
    <t>12 pcs. Narra flitches</t>
  </si>
  <si>
    <t>Grand Total</t>
  </si>
  <si>
    <t>117 pieces White Lauan lumbers</t>
  </si>
  <si>
    <t>Confiscated in favor of the government dated June 21, 2017. With Order of Finality received on Sept. 12, 2024</t>
  </si>
  <si>
    <t>October 26, 2016/ Santor, Baggao, Cagayan</t>
  </si>
  <si>
    <t>Brgy. Punta, Aparri</t>
  </si>
  <si>
    <t>Apprehended persons are Melvin Quillapo-operator, Nelia Basilio-owner of boat; owner of lumber are Arsenio Rabina, Herman Quillapo and Junior Rabina. The apprehended boat was brought Punta, Aparri, Cag.</t>
  </si>
  <si>
    <t>24 pieces CHW lumbers</t>
  </si>
  <si>
    <t>February 28, 2017/Sta. Clara, Gonzaga, Cag.</t>
  </si>
  <si>
    <t>CHW lumbers</t>
  </si>
  <si>
    <t>March 9, 2017/ Bulala, Camalaniugan, Cag.</t>
  </si>
  <si>
    <t xml:space="preserve">       Public Utility Vehicle Multicab BCK 997</t>
  </si>
  <si>
    <t>30 sacks charcoal</t>
  </si>
  <si>
    <t>Registered owner is Mr. Redencio E. Manio of Rizal St., Aparri, Cag., Simon I. Gomer - driver, Vilma Gomer-helper of Toran, Aparri, Cag.</t>
  </si>
  <si>
    <t>March 9, 2017/ Sta. Maria, Lal-lo, Cagayan</t>
  </si>
  <si>
    <t>Honda TMX w/ sidecar  4274-VM)</t>
  </si>
  <si>
    <t xml:space="preserve">70 bundles firewood </t>
  </si>
  <si>
    <t>The driver and the owner Mr. Melvin Gonzales</t>
  </si>
  <si>
    <t>March 9, 2017/ Mangaoan Point, Palaui Island, San Vicente, Sta. Ana, Cag.</t>
  </si>
  <si>
    <t>BVS-991</t>
  </si>
  <si>
    <t>(1 chainsaw w/ serial No. 505141042)</t>
  </si>
  <si>
    <t>A case was filed in court against Jose Aquiliano Cabingan</t>
  </si>
  <si>
    <t>March 10, 2017/ Bulala, Camalaniugan, Cag.</t>
  </si>
  <si>
    <t>Kamagong lbr.</t>
  </si>
  <si>
    <t>No permit to transport (PUJ w/ Plate No. CKH 985)</t>
  </si>
  <si>
    <t>50 sacks charcoal</t>
  </si>
  <si>
    <t>Rodolfo Valdez - driver, Rowena Rosario - owner</t>
  </si>
  <si>
    <t>16 pcs. White Lauan lumber</t>
  </si>
  <si>
    <t>March 10, 2017/ Joaquin dela Cruz, Camalaniugan, Cag.</t>
  </si>
  <si>
    <t>No permit to transport (Motorized banca)</t>
  </si>
  <si>
    <t>Kadir lumber</t>
  </si>
  <si>
    <t>29 pcs. Poles of CHW lumbers</t>
  </si>
  <si>
    <t>Arthur Manuel-owner of the boat, Arvin Manuel</t>
  </si>
  <si>
    <t>March 10, 2017/ Minanga, Aparri, cag.</t>
  </si>
  <si>
    <t>No permit to transport (Kulong-kulong w/ Plate No. 6364 BW)</t>
  </si>
  <si>
    <t>14 sacks charcoal</t>
  </si>
  <si>
    <t>Benjamin A. Delodado - driver</t>
  </si>
  <si>
    <t>No permit to transport (handtractor) D1800</t>
  </si>
  <si>
    <t>120 bundles firewood</t>
  </si>
  <si>
    <t xml:space="preserve"> Confiscated in favor of the government dated September 2, 2020. Orderedf final and executory dated November 15, 2021 </t>
  </si>
  <si>
    <t>March 12, 2017/ So. Dumasag, Sta. Ana, Cag.</t>
  </si>
  <si>
    <t>STHIL Chainsaw w/ SN 303061983</t>
  </si>
  <si>
    <t>A case was filed in court against Rommel Inay</t>
  </si>
  <si>
    <t>March 12, 2017/Lubac, San Vicente, Sta. Ana, Cag.</t>
  </si>
  <si>
    <t>53 pcs. CHW lumber</t>
  </si>
  <si>
    <t>14 pcs. Gmelina lumber</t>
  </si>
  <si>
    <t>June 14, 2016/Bangan, Sanchez Mira, Cag.</t>
  </si>
  <si>
    <t>March 12, 2017/ So. Limbus, Rapuli, Sta. Aca, Cag.</t>
  </si>
  <si>
    <t>169 pcs. White and Red Lauan lumber</t>
  </si>
  <si>
    <t>68 pcs. CHW lumber</t>
  </si>
  <si>
    <t>Confiscated in favor of the government dated February 21, 2017. Utilized in making beds of inmates</t>
  </si>
  <si>
    <t>July 1, 2016/ Gattu, Pamplona, Cagayan</t>
  </si>
  <si>
    <t>March 13, 2017/ Sta. Clara, Gonzaga, Cag.</t>
  </si>
  <si>
    <t>26 pcs. Red Lauan, White Lauan and Barosingsing</t>
  </si>
  <si>
    <t>61 pcs. Red Lauan lumber</t>
  </si>
  <si>
    <t>Under administrative adjudication proceedings. Utilized in the construction of food court and repair of old career court of Sanchez Mira National High School and Cagayan State University. Order of FINALITY dated October 21, 2020</t>
  </si>
  <si>
    <t>August 26, 2016/ Brgy. Curva, Pamplona, Cag.</t>
  </si>
  <si>
    <t>Melchor Mariano</t>
  </si>
  <si>
    <t>204 pieces CHW lumber</t>
  </si>
  <si>
    <t>March 13, 2017/ Sta. Cruz, Gonzaga, Cag.</t>
  </si>
  <si>
    <t>8 pcs. Narra lumbers</t>
  </si>
  <si>
    <t>PNP Head Quarter Gonzaga, Cag. PSI Edgar Manuel, Jr.</t>
  </si>
  <si>
    <t>March 14, 2017/ Joaquin dela Cruz</t>
  </si>
  <si>
    <t>PNP 2nd Maneuver Platoon based at Curva, Pamplona</t>
  </si>
  <si>
    <t>August 27, 2016/So. Kapanikian, Centro 2, Sanchez Mira, Cag.</t>
  </si>
  <si>
    <t>43 pcs. Lumber</t>
  </si>
  <si>
    <t>SB Sanchez Mira</t>
  </si>
  <si>
    <t>Under administrative adjudication proceedings. Donated to Thobun Memorial Academy for the construction of Senior High School building and Masisit Sanchez Mira Cagayan for renovation and construction of Dap-ayan affected by Typhoon Lawin</t>
  </si>
  <si>
    <t>Sta. Praxedes, Cagayan/ September 27, 2016</t>
  </si>
  <si>
    <t>4 pcs. CHW posts</t>
  </si>
  <si>
    <t>CALENDAR YEAR 2018</t>
  </si>
  <si>
    <t>tricy YR 5357</t>
  </si>
  <si>
    <t>48 pcs. Narra lumber</t>
  </si>
  <si>
    <t>Sta. Praxedes Police Station</t>
  </si>
  <si>
    <t>PNP Sta. Praxedes</t>
  </si>
  <si>
    <t>tricy  (YQ 2470)</t>
  </si>
  <si>
    <t>51 pcs. Narra lumber</t>
  </si>
  <si>
    <t>4 pcs. Tangising Bayawak</t>
  </si>
  <si>
    <t>March 14, 2017/Rapuli, Sta. Ana, Cag.</t>
  </si>
  <si>
    <t xml:space="preserve"> Kulong-KulongHatwa PMR150cc</t>
  </si>
  <si>
    <t>15 pcs. White Lauan lumber</t>
  </si>
  <si>
    <t>Barangay Captain Tito Candillario</t>
  </si>
  <si>
    <t>March 15, 2017/ Sta. Clara, Sta. Ana, Cagayan</t>
  </si>
  <si>
    <t xml:space="preserve"> (Motorcycle Rusi motor w/o Plate No.)</t>
  </si>
  <si>
    <t>6 pcs. Narra lumbers</t>
  </si>
  <si>
    <t>The driver and the owner of the f.p was identified as Franco Ladera of Patunungan, Sta. Ana, Cag. Criminal complaint was filed at Fiscals Office, Aparri, Cagayan</t>
  </si>
  <si>
    <t>March 15, 2017/ Dungeg, Sta. Ana, Cagayan</t>
  </si>
  <si>
    <t>Rusi motor w/o Plate No.)</t>
  </si>
  <si>
    <t>Diosdado Barbara-driver. Criminal complaint was filed at Fiscals Office, Aparri, Cagayan</t>
  </si>
  <si>
    <t>March 16, 2017/ Sta. Clara, Sta. Ana, cag.</t>
  </si>
  <si>
    <t>January 9, 2018/ So. Nangaramoan, San Vicente, Sta. Ana, Cag.</t>
  </si>
  <si>
    <t>Kulong-kulong no plate</t>
  </si>
  <si>
    <t>No permit (Jojo Fabro)</t>
  </si>
  <si>
    <t>The driver not yet identified</t>
  </si>
  <si>
    <t>49 pcs. CHW, Narra &amp; Kamagong lumber/flitches</t>
  </si>
  <si>
    <t>36 pcs. Palosapis and Red Lauan lumber</t>
  </si>
  <si>
    <t>March 18, 2017/ Macanaya, Aparri, Cag.</t>
  </si>
  <si>
    <t>van MB100D no plate</t>
  </si>
  <si>
    <t>20 sacks charcoal</t>
  </si>
  <si>
    <t xml:space="preserve"> With resolution received on 'July 24, 2024 promulgated on 'July 09, 2024 with Docket Number R2-ED-2024-0035 respondents Mr. Fernando Juan &amp; Mr. Antonio Taloza</t>
  </si>
  <si>
    <t>March 19, 2017/ Dugo, Camalaniugan, Cag.</t>
  </si>
  <si>
    <t>Center Car Yamaha RS 110F Black with plate no. BC-25062</t>
  </si>
  <si>
    <t>Under admin. Confiscation proceedings</t>
  </si>
  <si>
    <t>49 bundles firewood</t>
  </si>
  <si>
    <t>The admin. Proceedings was conducted last March 30 and April 28, 2017. With Order of Finality received on Sept. 06, 2024.</t>
  </si>
  <si>
    <t>March 19, 2017/ Tucalana, Lal-lo, Cag.</t>
  </si>
  <si>
    <t xml:space="preserve">Euro 150cc tricy no Plate  </t>
  </si>
  <si>
    <t>8 sacks charcoal</t>
  </si>
  <si>
    <t>21 sacks charcoal</t>
  </si>
  <si>
    <t>March 26, 2017/ Amunitan, Gonzaga, Cag.</t>
  </si>
  <si>
    <t>Nissan  Urvan Van no plate</t>
  </si>
  <si>
    <t>2 pcs. Narra table top</t>
  </si>
  <si>
    <t>Criminal Case was filed against Jose Mari Urdas at the Provincial Prosecutors Office Aparri, Cag. On March 27, 2017 docketed under Criminal Case No. II-13707</t>
  </si>
  <si>
    <t>April 1, 2017/ Palawig, Sta. Ana, Cag.</t>
  </si>
  <si>
    <t>January 17, 2018/ San Mariano, Lal-lo, Cag.</t>
  </si>
  <si>
    <t>Rusi 125cc kulong-kulong no plate</t>
  </si>
  <si>
    <t>10 pcs. Palosapis and Red Lauan lumber</t>
  </si>
  <si>
    <t>Criminal Case was filed against at the Provincial Prosecutors Office Aparri, Cag. On April 4, 2017 docketed under NPS II-02a-INV-170-00110</t>
  </si>
  <si>
    <t>April 4, 2017/ So. Nangaramoan, San Vicente, Sta. Ana, Cagayan</t>
  </si>
  <si>
    <t>No permit to cut (illegal occupation of Leopoldo Padilla)</t>
  </si>
  <si>
    <t>January 19, 2018/ So. Limbus, Rapuli, Sta. Ana, Cag.</t>
  </si>
  <si>
    <t>11 pcs. CHW lumber</t>
  </si>
  <si>
    <t>8 pcs. White and Red Lauan lumbers</t>
  </si>
  <si>
    <t>Municipal Hall of Sta. Ana, Cag.</t>
  </si>
  <si>
    <t>January 21, 2018/Smart, Gonzaga, Cag.</t>
  </si>
  <si>
    <t>Isuzu Elf Van w/ temporary Plate No. 138005)</t>
  </si>
  <si>
    <t>LGU Sta. Ana, PNP and PNP Maritime</t>
  </si>
  <si>
    <t>46 pcs. Narra flitches and Kamagong lumbers and 1 kamagong sala set</t>
  </si>
  <si>
    <t>PNP Gonzaga and Barangay Officials of Smart, Gonzaga, Cag.</t>
  </si>
  <si>
    <t>The admin proceedings was conducted last February 13 &amp; 15, 2018. A crminal Case was filed on February 6, 2018 at PPO Aparri, Cag docketed under NPS-II-02a-INV-18A-00030. The forest products was ordered confiscated in favor of the government while the conveyance was ordered release per order dated October 29, 2018</t>
  </si>
  <si>
    <t>Criminal case was filed at the Office of the Provincial Prosecutor Office, Aparri, Cag. Docketed under NPS-II-02a-INV-171-00300 on Sept. 25, 2017</t>
  </si>
  <si>
    <t>January 22, 2018/ within the cmpd of Pattao Elementary School, Pattao, Buguey, cag.</t>
  </si>
  <si>
    <t>No permit</t>
  </si>
  <si>
    <t>17 pcs. Red Lauan lumber</t>
  </si>
  <si>
    <t>LGU Buguey/MENRO May Jocelyn Joan S. Lee</t>
  </si>
  <si>
    <t>MENRO Buguey</t>
  </si>
  <si>
    <t>2 pcs. Kamagong flitches</t>
  </si>
  <si>
    <t>Case was filed against Arnel Andres &amp; Ariston Molina for violation of PD 705 at the PPO Aparri on Jan. 29, 2018 under NPS Docket No. II-02a-INV-18A-0002</t>
  </si>
  <si>
    <t>January 25, 2018/ So. Cruzadan, San Mariano, Lal-lo, Cag.</t>
  </si>
  <si>
    <t>13 pcs. Red Lauan flitches</t>
  </si>
  <si>
    <t>Phil. Army</t>
  </si>
  <si>
    <t>January 27, 2018/ Dungeg, Sta. Teresita, Cag.</t>
  </si>
  <si>
    <t>No permit to transport 1 unit table saw w/ engine WD 11-diesel-engine)</t>
  </si>
  <si>
    <t>25 pcs. Red Lauan lumber, and 9 pcs. Red Lauan flitches</t>
  </si>
  <si>
    <t>The identified owner of the f.p are Narding Tactac and Romnic Ocampo while the owner of the table saw is Dante Bañez. Under admin confiscation proceedings</t>
  </si>
  <si>
    <t>January 31, 2018/Diora-Zinungan, Sta. Ana, Cagayan</t>
  </si>
  <si>
    <t>1 pc. Narra table top</t>
  </si>
  <si>
    <t>February 5, 2018/ Capissayan Sur, Gattaran, Cag.</t>
  </si>
  <si>
    <t>8 pcs. Gmelina flitches</t>
  </si>
  <si>
    <t>7 pcs. With a volume of 436.5 bd.ft. were donated to Camalaniugan National High School</t>
  </si>
  <si>
    <t>February 14, 2018/Bagsang, Sta. Clara, Gonzaga, Cag.</t>
  </si>
  <si>
    <t>No permit (1 unit chainsaw)</t>
  </si>
  <si>
    <t>The owner is Ruben Gamboa</t>
  </si>
  <si>
    <t>February 17, 2018/ Guiddam, Abulug, Cag.</t>
  </si>
  <si>
    <t>No permit to cut (illegal occupation of Teddy Umbay)</t>
  </si>
  <si>
    <t>141 pcs. CHW lumbers</t>
  </si>
  <si>
    <t>Isuzu Forward  TKF-963)</t>
  </si>
  <si>
    <t>203 pcs. CHW lumbers</t>
  </si>
  <si>
    <t xml:space="preserve"> </t>
  </si>
  <si>
    <t>Criminal case was filed at the Office of the Provincial Prosecutor Office, Aparri, Cag. Docketed under NPS-II-02a-INV-171-00298 on Sept. 25, 2017</t>
  </si>
  <si>
    <t>PNP-CIDG, RO2</t>
  </si>
  <si>
    <t>A criminal complaint was filed by CIDG at the DOJ PPO, Ballesteros, Cagayan docketed under NPS No. II-02B-INQ-018B-005. The admin proceeding was conducted last February 27, 2018. The accussed Bennie Torres, Frendy Marina, Noel Torres, Marlon Rivera, and Marino Ursua were sentenced to 4 months and 1 day or aresto mayor as minimum to 2 years, 4 months and 1 day prison correctional as maximum and the confiscated items were ordered forfeited per DECISSION dated May 8, 2018 issued by Executive Judge Francisco Donato, RTC Branch 33, Ballesteros, Cag. The 87 pcs. Red Lauan lumber with a volume of 1,983.4 bd.ft. were transferred to PENRO Cagayan thru PENRO rep. Vicente Tuliao on June 8, 2018. With Order of Finality received on Sept. 06, 2024.</t>
  </si>
  <si>
    <t>5 pcs. Kamagong</t>
  </si>
  <si>
    <t>Promulgated on April 17, 2024 with Docket No. R2-ED-2024-00117 received on June 20, 2024</t>
  </si>
  <si>
    <t>February 17, 2018/ Sirrit, Abulug, Cag.</t>
  </si>
  <si>
    <t>No permit to transport (Isuzu Dump Trucl w/ Plate No. WKN-571)</t>
  </si>
  <si>
    <t>133 pcs. CHW lumbers</t>
  </si>
  <si>
    <t>No permit to cut (illegal occupation of Nenita Siatris)</t>
  </si>
  <si>
    <t xml:space="preserve">20 CHW </t>
  </si>
  <si>
    <t>CENRO Aparri Compound</t>
  </si>
  <si>
    <t>CONSOLIDATED APPREHENDED, SEIZED AND CONFISCATED FOREST PRODUCTS, CONVEYANCES AND TOOLS/EQUIPMENT</t>
  </si>
  <si>
    <t>PNP-CIDG</t>
  </si>
  <si>
    <t>Criminal case was filed at the Office of the Provincial Prosecutor Office, Aparri, Cag. Docketed under NPS-II-02a-INV-171-00299 on Sept. 25, 2017</t>
  </si>
  <si>
    <t>A criminal case was filed against the offenders on Feb. 19, 2018 at PPO Ballesteros, Cag docketed under NPS II-02B-INQ-018B-004. The admin proceeding was conducted last February 27, 2018. The accused Jefrey Andres, Roderick Aurina &amp; Jr. C. Carpo was sentenced to 4 months and 1 day or aresto mayor as minimum to 2 years, 4 months and 1 day prison correctional as maximum and the confiscated items were ordered forfeited per DECISSION dated May 8, 2018 issued by Executive Judge Francisco Donato, RTC Branch 33, Ballesteros, Cag. The volume of 3,760.47 bd.ft. was approved for utilization of CENRO concerned by the then RED Aromin. With Order of Finality received on Sept. 06, 2024.</t>
  </si>
  <si>
    <t>April 12, 2017/ Caagaman, Aparri, Cag.</t>
  </si>
  <si>
    <t>No permit (Rosalinda Mata)</t>
  </si>
  <si>
    <t>72 pcs. Pangot lumber</t>
  </si>
  <si>
    <t>CALENDAR YEAR 2019</t>
  </si>
  <si>
    <t>March 8, 2018/ Turkia, Gonzaga, cag.</t>
  </si>
  <si>
    <t>April 29, 2017/ Centro, Sta. Ana, Cag.</t>
  </si>
  <si>
    <t>Rusi 150cc with kulong-kulong no plate</t>
  </si>
  <si>
    <t>63 pcs. CHW lumber</t>
  </si>
  <si>
    <t>The respondents are Judynard Lucero (driver and owner of the conveyance</t>
  </si>
  <si>
    <t xml:space="preserve">Euro 150 kulong-kulong no plate </t>
  </si>
  <si>
    <t>The respondents are Jojo Battung (driver) and Harold Legaspi (owner of the conveyance)</t>
  </si>
  <si>
    <t>May 2, 2017/ Lucban, Abulug, Cagayan</t>
  </si>
  <si>
    <t>(Eur motorcycle w/ sidecar)</t>
  </si>
  <si>
    <t>RHW-847</t>
  </si>
  <si>
    <t>65 pcs. CHW lumbers</t>
  </si>
  <si>
    <t>CIDG based at Aparri</t>
  </si>
  <si>
    <t xml:space="preserve">Under administrative adjudication proceedings. Criminal complaint was filed by the CIDG at the Provincial Prosecutors Office, Ballesteros, Cag. </t>
  </si>
  <si>
    <t>May 21, 2017/ Peru, Lasam, Cag.</t>
  </si>
  <si>
    <t>Isuzu Elf TCI-390</t>
  </si>
  <si>
    <t>161 pcs. Tangile lumbers</t>
  </si>
  <si>
    <t>Criminal Case was filed at the Provincial Prosecutors Office, Ballesteros, Cagayan on May 22, 2017 docketed under NPS II-02B-INQ-0046</t>
  </si>
  <si>
    <t>June 6, 2017/ So. Katiwayan, Rapuli, Sta. Ana, Cag.</t>
  </si>
  <si>
    <t>Barangay Hall Rapuli, Sta. Ana</t>
  </si>
  <si>
    <t>June 6, 2017/ Casicallan Norte, Gattaran, Cag.</t>
  </si>
  <si>
    <t>11 pcs. Narra lumber</t>
  </si>
  <si>
    <t>June 25, 2017/ Rapuli, Sta. Ana, Cag.</t>
  </si>
  <si>
    <t>29 pcs. Narra lumbers</t>
  </si>
  <si>
    <t>July 8, 2017/ Centro, Sta. Ana, Cag.</t>
  </si>
  <si>
    <t>Kulong-kulong nno plate</t>
  </si>
  <si>
    <t>14 pcs. White Lauan lumbers</t>
  </si>
  <si>
    <t xml:space="preserve">Date OF Apprehension </t>
  </si>
  <si>
    <t>The identified registered owner was Rubilyn Nipay</t>
  </si>
  <si>
    <t>July 18, 2017/Sta. Clara, Sta. Ana, Cag.</t>
  </si>
  <si>
    <t>92 pcs. Red Lauan lumbers</t>
  </si>
  <si>
    <t>Place of Apprehension</t>
  </si>
  <si>
    <t>Sta. Ana Municipal Hall</t>
  </si>
  <si>
    <t>July 19, 2017/ Naddungan, Gattaran, Cag.</t>
  </si>
  <si>
    <t>6 pcs. Red Lauan flitches</t>
  </si>
  <si>
    <t>Barangay Hall of Naddungan, Gattaran, Cag.</t>
  </si>
  <si>
    <t>July 22, 2017/ Centro Sta. Ana, Cag.</t>
  </si>
  <si>
    <t xml:space="preserve"> Kulong-kulong black RUSI 125 no plate</t>
  </si>
  <si>
    <t>13 PCS. Red Lauan lumbers</t>
  </si>
  <si>
    <t>Apprehending Officers</t>
  </si>
  <si>
    <t xml:space="preserve"> Kulong-kulong red RUSI 125 no plate</t>
  </si>
  <si>
    <t>10 pcs. Red Lauan lumbers</t>
  </si>
  <si>
    <t>Forest Products</t>
  </si>
  <si>
    <t>A case was filed against PNP CIDG Aparri against Justino Espiritu at PPO Aparri on March 8, 2018 under NPS Docket No. II-02a-INQ-18C-00024</t>
  </si>
  <si>
    <t>July 25, 2017/Magapit, Lal-lo, Cagayan</t>
  </si>
  <si>
    <t>No permit to transport Kulong-kulong black (SUNRISER 125)</t>
  </si>
  <si>
    <t>23 PCS. Red Lauan lumber</t>
  </si>
  <si>
    <t>July 30, 2017/ San Vicente, Sta. Cag.</t>
  </si>
  <si>
    <t>Conveyance/Equipment</t>
  </si>
  <si>
    <t>No permit to transport (Motorcycle Rusi 125, Red w/ kulong-kulong)</t>
  </si>
  <si>
    <t>Place Impouded</t>
  </si>
  <si>
    <t>March 10, 2018/Golden Valley, San Mariano, Lal-lo, Cag.</t>
  </si>
  <si>
    <t>No permit (Noel Tiansan &amp; Imelda Gamilla</t>
  </si>
  <si>
    <t>256 pcs. Poles/posts</t>
  </si>
  <si>
    <t>6 pcs. Red lLauan lumbers</t>
  </si>
  <si>
    <t xml:space="preserve">Quantityand form </t>
  </si>
  <si>
    <t>July 30, 2017/ Rapuli, Sta. Ana, Cag.</t>
  </si>
  <si>
    <t>No permit to transport (Motorcycle SR 125, w/ kulong-kulong)</t>
  </si>
  <si>
    <t>12 pcs. White Lauan lumbers</t>
  </si>
  <si>
    <t>The respondents are Renato Agag and Rodnie Agag</t>
  </si>
  <si>
    <t>August 9, 2017/ Centro East, Gattaran, Cagayan</t>
  </si>
  <si>
    <t>28 pcs. Antipolo lumber/ flitches</t>
  </si>
  <si>
    <t>March 12, 2018/ Sta. Clara, Sta. Ana, Cag.</t>
  </si>
  <si>
    <t>Value (PhP)</t>
  </si>
  <si>
    <t>The alleged owner was Carlito Molina</t>
  </si>
  <si>
    <t>August 27, 2017/ Agnawan, Mabuno, Gattaran, Cag.</t>
  </si>
  <si>
    <t>11 pcs. Red Lauan lumbers/Dao flitches</t>
  </si>
  <si>
    <t>September 6, 2017/ So. Balgung, Nassiping, Gattaran, Cag.</t>
  </si>
  <si>
    <t>7 pcs. Gmelina post</t>
  </si>
  <si>
    <t>So. Balgung, Nassiping/ Kag. Pablito Valencia</t>
  </si>
  <si>
    <t>September 7, 2017/ Paruddon Norte, Aparri, Cagayan</t>
  </si>
  <si>
    <t>No permit (Mario Pigao)</t>
  </si>
  <si>
    <t>53 pcs. Red Lauan lumbers</t>
  </si>
  <si>
    <t>September 7, 2017/ Sta. Cruz, Gonzaga, Cag.</t>
  </si>
  <si>
    <t>52 pcs. Almaciga lumbers</t>
  </si>
  <si>
    <t>October 7, 2017/ Brgy. Marede, Sta. Ana, Cag.</t>
  </si>
  <si>
    <t>45 pcs. Kamagong &amp; 1 Narra flitches</t>
  </si>
  <si>
    <t>January 9, 2019</t>
  </si>
  <si>
    <t>The admin proceedings was conducted last June 9, 2017. A case was filed at the PPO Aparri docketed under NPS II-02a-INV-16K-00345</t>
  </si>
  <si>
    <t>October 20, 2017/ Kapanikian, Sta. Ana, Cag.</t>
  </si>
  <si>
    <t>300 pcs. Red Lauan lumbers</t>
  </si>
  <si>
    <t>So. Bigok, Alucao, Sta. Teresita, Cagayan</t>
  </si>
  <si>
    <t>Phil. Marines based at St Mission, Sta. Teresita, Cagayan</t>
  </si>
  <si>
    <t>7 pcs. Red Lauan flitches</t>
  </si>
  <si>
    <t>October 26, 2017/ Diora-Zinungan, Sta. Ana, Cagayan</t>
  </si>
  <si>
    <t>The driver escaped during the chasing operation (Motorcycle TMX 155, Red, with kulong-kulong)</t>
  </si>
  <si>
    <t>11 pcs. Red Lauan lumbers</t>
  </si>
  <si>
    <t>The driver escaped during the chasing operation (Rusi 125 Motorcycle with kulong-kulong)</t>
  </si>
  <si>
    <t>11 pcs. Red Lauan lumber</t>
  </si>
  <si>
    <t>The driver escaped during the chasing operation (Euro 150 Motorcycle with kulong-kulong</t>
  </si>
  <si>
    <t>8 pcs. Red Lauan lumber</t>
  </si>
  <si>
    <t>October 27, 2017/ Cabiraoan, Gonzaga, Cag.</t>
  </si>
  <si>
    <t>8 pcs. Red Lauan flitches</t>
  </si>
  <si>
    <t>The admin proceeding was conducted on November 16, 2017. Order of FINALITY dated November 4, 2020</t>
  </si>
  <si>
    <t>October 31, 2017/ Bicud, Lal-lo, Cagayan</t>
  </si>
  <si>
    <t>No permit to cut (2 STIHL chainsaw)</t>
  </si>
  <si>
    <t>19 pcs. Antipolo lumber/flitches</t>
  </si>
  <si>
    <t>An inquest case was filed against the 3 accused docketed under NPS-II-02a-INQ-17K-00248 at the Office of the Provincial Prosecutors Office Aparri, Cagayan on November 1, 2017</t>
  </si>
  <si>
    <t>22 pcs. Narra flitches</t>
  </si>
  <si>
    <t>January 22, 2019</t>
  </si>
  <si>
    <t>Capissayan Sur, Gattaran, Cagayan</t>
  </si>
  <si>
    <t>12 pcs. Red Lauan lumber</t>
  </si>
  <si>
    <t>77th Infantry Batallion Phil. Army, Capissayan Based</t>
  </si>
  <si>
    <t>135 pcs. Red/White Lauan lumber/ flitches</t>
  </si>
  <si>
    <t>February 2, 2017/ Barangay Manga, Peñablanca, Cag.</t>
  </si>
  <si>
    <t>March 16, 2018/Nabaccayan, Gattaran, Cag.</t>
  </si>
  <si>
    <t>Isuzu Elf  WJB-407</t>
  </si>
  <si>
    <t>282 pcs. Dao, Mayapis, Red Lauan and Narra lumber</t>
  </si>
  <si>
    <t>Barangay Hall in Manga, Peñablanca, Cag.</t>
  </si>
  <si>
    <t>Confiscated in favor of the government per order dated April 25, 2017. Order of FINALITY dated October 21, 2020</t>
  </si>
  <si>
    <t>PNP Gattaran</t>
  </si>
  <si>
    <t>A case was filed by PNP Gattaran against Roy Bitanga and Rowel Bagaoisan at PPO aparri on March 17, 2018 under NPS Docket No. II-02a-INQ-18C-00027</t>
  </si>
  <si>
    <t>February 25, 2017/ Pataguelueg, Peñablanca, Cagayan</t>
  </si>
  <si>
    <t>No permit to transport (TBL-647)</t>
  </si>
  <si>
    <t>March 19, 2018/ Pateng Gonzaga, cag.</t>
  </si>
  <si>
    <t>82 pcs. CHW lumber</t>
  </si>
  <si>
    <t>Honda TMX 155 kulong-kulong no plate</t>
  </si>
  <si>
    <t>1 pcs. Tanguile &amp; 6 pcs. Narra lumber</t>
  </si>
  <si>
    <t>PENRO Sub-Office compound</t>
  </si>
  <si>
    <t>The driver was not identified since he was escaped during the operation</t>
  </si>
  <si>
    <t>The administrative hearing was conducted last March 13 and 22, 2017. Both forest products and conveyance were ordered confiscated in favor of the government per order dated July 17, 2017</t>
  </si>
  <si>
    <t>March 22, 2018/ Tallungan, Aparri, Cag.</t>
  </si>
  <si>
    <t xml:space="preserve"> (kuliglig w/ trailer)</t>
  </si>
  <si>
    <t>30 pcs. Red Lauan lumber</t>
  </si>
  <si>
    <t>March 3, 2017/ Manga, Peñablanca, Cag.</t>
  </si>
  <si>
    <t>Brgy. Tallungan, Parri under the custody of Barangay Captain</t>
  </si>
  <si>
    <t>The identified driver and owner of the kuliglig is Bo Delelis, and the helper is Jobert Alariao</t>
  </si>
  <si>
    <t>1 unit power chainsaw</t>
  </si>
  <si>
    <t>March 23, 2018/ Cabatacan West, Lasam, Cag.</t>
  </si>
  <si>
    <t>28 pcs. Miscellaneous lumber</t>
  </si>
  <si>
    <t>Brgy. Hall, Cabatacan West, Lasam, cag./ Brgy. Captain Xerxes Almazan</t>
  </si>
  <si>
    <t>Under admin proceedings</t>
  </si>
  <si>
    <t>March 23, 2018/ Centro Buguey, Cagayan</t>
  </si>
  <si>
    <t>Hand Tractor, color red</t>
  </si>
  <si>
    <t>162 pcs. CHW lumbers</t>
  </si>
  <si>
    <t>PNP Buguey</t>
  </si>
  <si>
    <t>A criminal case was filed by PNP Buguey at PPO Aparri docketed under NPS No. II-02a-INQ-00029. Confiscated in favor of the government dated Dec. 14, 2018. With Order of Finality received on Sept. 16, 2024</t>
  </si>
  <si>
    <t>January 28, 2019</t>
  </si>
  <si>
    <t>March 28, 2018/ Gonzaga, Cagayan</t>
  </si>
  <si>
    <t>No permit to transport (1 kulong-kulong)</t>
  </si>
  <si>
    <t>San Mariano, Lal-lo, Cagayan</t>
  </si>
  <si>
    <t>PNP Lal-lo &amp; DENR Personnel</t>
  </si>
  <si>
    <t>Confiscated in favor of the government dated December 14, 2018</t>
  </si>
  <si>
    <t xml:space="preserve">39 pcs. Gmelina flitches </t>
  </si>
  <si>
    <t xml:space="preserve">March 30, 2018/ </t>
  </si>
  <si>
    <t xml:space="preserve"> Ford Fiera Type Jeepney no plate  and 1 chainsaw)</t>
  </si>
  <si>
    <t>The admin proceedings was conducted last March 23, 2017. ORDER OF FINALITY dated October 14, 2020</t>
  </si>
  <si>
    <t>March 6, 2017/ Carig, Sur, Tuguegarao City</t>
  </si>
  <si>
    <t>42 pcs. CHW lumber</t>
  </si>
  <si>
    <t>The admin proceedings was conducted last March 21, 2017. ORDER OF FIBNALITY dated October 15, 2020</t>
  </si>
  <si>
    <t>July 4, 2017/Baliuag, Peñablanca, Cag.</t>
  </si>
  <si>
    <t>19 pcs. CHW flitches</t>
  </si>
  <si>
    <t xml:space="preserve">3 chairs, 6 seaters dining set </t>
  </si>
  <si>
    <t>April 17, 2018/ Sta. Clara, Sta. Ana, Cag.</t>
  </si>
  <si>
    <t>Confiscated in favor of the government dated July 6, 2018. Order of FINALITY dated November 4, 2020</t>
  </si>
  <si>
    <t>July 19, 2017/ Sisim, Peñablanca, Cag.</t>
  </si>
  <si>
    <t>No permit to transport (XAT-193)</t>
  </si>
  <si>
    <t>61 pcs. CHW lumber</t>
  </si>
  <si>
    <t>The admin. Proceedings was conducted last July 26, 2017. Confiscated in favor of the government dated July 30, 2019. The motion of reconsideration was ordered denied</t>
  </si>
  <si>
    <t>July 25, 2017/ San Roque, Peñablanca, Cagayan</t>
  </si>
  <si>
    <t>10 pcs. Narra flitches</t>
  </si>
  <si>
    <t>No permit to transport (BCG-909)</t>
  </si>
  <si>
    <t>5 PCS. Gmelina lumbers</t>
  </si>
  <si>
    <t>Naval Base Camilo Osias, San Vicente, Sta. Ana, Cag.</t>
  </si>
  <si>
    <t>Phil Navy</t>
  </si>
  <si>
    <t>Apprehended by virtue of Search Warrant issued by Judge Catherine Bangi-Allas, MTC Branch 1, Lal-lo, Cagayan on Jan. 24, 2019. A case was filed thru against Angel Balas thru inquest proceedings on January 28, 2019 at PPO Aparri, Cag docketed under NPS No. II-02a-INQ-19A-00023 w/ Criminal Case No. II-14613.</t>
  </si>
  <si>
    <t>Ordered final and excutory dated February 1, 2021</t>
  </si>
  <si>
    <t>Under admin. Adjudication proceedings</t>
  </si>
  <si>
    <t>Notice of Issuance of Resolution with case no. R2-F-134 dated February 10, 2026</t>
  </si>
  <si>
    <t>No permit to transport (RAB-175)</t>
  </si>
  <si>
    <t>35 pcs. CHW lumbers</t>
  </si>
  <si>
    <t>3 pcs. Narra planks</t>
  </si>
  <si>
    <t>1 pc. Narra lumber</t>
  </si>
  <si>
    <t>5 pcs. Gmelina flitches</t>
  </si>
  <si>
    <t>Notice of Finality received on July 7, 2026 with docket number  R2-F-1342 promulgated on February 9, 2026</t>
  </si>
  <si>
    <t>August 9, 2017/ Baliuag, Peñablanca, Cag.</t>
  </si>
  <si>
    <t>40 pcs. CHW flitches/lumbers</t>
  </si>
  <si>
    <t>May 8, 2018/ Diora Zinungan, Sta. Ana, Cagayan</t>
  </si>
  <si>
    <t>chainsaw</t>
  </si>
  <si>
    <t>CONFISCATION ORDER dated January 13, 2020. Order of finality on the issued order on July 6, 2018. Date received on January 8, 2025 and Docket no.R2-F-1401</t>
  </si>
  <si>
    <t>November 17, 2017/ Carig Norte, Tuguegarao City</t>
  </si>
  <si>
    <t>72 pcs. CHW lumbers</t>
  </si>
  <si>
    <t>ORDER OF FINALITY dated October 15, 2020</t>
  </si>
  <si>
    <t>November 26, 2017/ Centro, Tuguegarao City</t>
  </si>
  <si>
    <t>No permit to transport (Van)</t>
  </si>
  <si>
    <t>Confiscated in favor of the government dated November 26, 2019. Ordered final and executory dated January 6, 2021</t>
  </si>
  <si>
    <t>The identified owner is Mario Targat. Under admin confiscation proceedings</t>
  </si>
  <si>
    <t>May 12, 2018/ Gaddang, Aparri, Cagayan</t>
  </si>
  <si>
    <t>Isuzu Aluminum Van WTA 870)</t>
  </si>
  <si>
    <t>25 pcs. Assorted sizes white Lauan lumbers</t>
  </si>
  <si>
    <t>January 19, 2017/ Taccuelan Uneg, Sto. Niño, Cag.</t>
  </si>
  <si>
    <t>The admin proceeding was conducted last July 11, 2018. A criminal case was filed against Bonifacio Calandoy (lumber owenr) and Jerwin Marinmin (driver) at PPO Aparri, Cagayan docketed under NPS-II-02a-INQ-18E-00065. The accussed pleaded guilty for alower offense &amp; were sentenced to suffer an imprisonment from 2 months as minimum to 2 years and 4 months as 1,000.00 each. And, the apprehended contraband was ordered forfeited in favor of the government per Order dated May 23, 2018 issued by Presiding Judge Conrado Tabaco, RTC Branch 9, Aparri, Cag. Confiscated in favor of the government dated August 29, 2019</t>
  </si>
  <si>
    <t>May 14, 2018/ So. Dakkel Danum, Minabel, Camiguin Island, Cag.</t>
  </si>
  <si>
    <t>1 pcsc. Narra lflitches</t>
  </si>
  <si>
    <t>18 pcs. Red Lauan flitches</t>
  </si>
  <si>
    <t>PNP Maritime Group, Regional Maritime Unit based at Minanga, Aparri, Cag.</t>
  </si>
  <si>
    <t>A case was filed at Ppo Aparri, Cag. By the PNP Maritime Group against the accused Pedrito Peralta on May 17, 2018 under NPS Docket No. II-02a-INV-18E-00121</t>
  </si>
  <si>
    <t>May 15, 2018/Bicud, Lal-lo, Cag.</t>
  </si>
  <si>
    <t>Nissan Caravan Van  BDA-521)</t>
  </si>
  <si>
    <t>19 pcs. Narra lumber</t>
  </si>
  <si>
    <t>A case was filed against Rey Virgilio Bagoyo, Rolly Cabael and David Cabael, Sr. on May 16, 2018 at PPO Aparri under NPS Docket No. II-02a-INQ-18E-0016. The accussed  Rey Virgilio Bagoyo and Rolly Cabael guilty beyond reasonable doubt for violation of Section 78 of PD 705 and the forest products and the conveyance were confiscated in favor of the government per Order dated May 23, 2018 issued by Judge Conrado Tabaco, RTC Branch 9, Aparri, Cag.</t>
  </si>
  <si>
    <t>May 23, 2018/ Paruddun Norte, Aparri, Cag.</t>
  </si>
  <si>
    <t xml:space="preserve">uro kulong-kulongno plate </t>
  </si>
  <si>
    <t>Smart Gonzaga</t>
  </si>
  <si>
    <t>CENRO Solana compound/For. Andres Guiquing</t>
  </si>
  <si>
    <t>OREDER OF FINALITY dated October 13, 2020</t>
  </si>
  <si>
    <t>February 3, 2017/Pata, Tuao, Cagayan</t>
  </si>
  <si>
    <t>22 pcs. Rimas lumber</t>
  </si>
  <si>
    <t>24 pcs. White Lauan lumber</t>
  </si>
  <si>
    <t>1 unit Honda TMX Motorcycle w/ sidecar</t>
  </si>
  <si>
    <t>A case was filed against Richard Areola and Jaymar Pablo for violation of PZD 705 at PPO Aparri on May 23, 2018 docketed under Criminal Case No. II-14201. Turned-over to CENRO on May 23, 2018</t>
  </si>
  <si>
    <t>No permit to transport (T-BBS-307)</t>
  </si>
  <si>
    <t>May 23, 2018/ Paruddun Norte, Aparri, Cagayan</t>
  </si>
  <si>
    <t>Honda TMX 155  kulong-kulong no plate</t>
  </si>
  <si>
    <t>22 pcs. Lumber</t>
  </si>
  <si>
    <t>Gmelina flitches/logs</t>
  </si>
  <si>
    <t xml:space="preserve">A case was filed against Quirino Camiling thru inquest proceedings at PPO Aparri on January 29, 2019 docketed under NPS-II-02a-INQ-19A-00026 w/ Criminal Case No. II.14615 </t>
  </si>
  <si>
    <t>A case was filed by PNP Aparri Police Station against the accussed Bonifacio Areola and John Doe for violation of PD 705 at PPO Aparri on May 23, 2018 docketed under Criminal Cae No. II-14202. Truned-over to CENRO ON May 23, 2018</t>
  </si>
  <si>
    <t>May 24, 2018/ Peru, Lasam, Cag.</t>
  </si>
  <si>
    <t>4 pcs. Gmelina flitches</t>
  </si>
  <si>
    <t xml:space="preserve">17th IB, Philippine Army </t>
  </si>
  <si>
    <t>May 25, 2018/ Sta. Maria, Lal-lo, Cagayan</t>
  </si>
  <si>
    <t xml:space="preserve">Euro Motorcycle  kulong-kulong no plate </t>
  </si>
  <si>
    <t>65 pcs. White Lauan lumber</t>
  </si>
  <si>
    <t>Under administrative confiscation proceedings. The identified driver is Dennis Villanueva</t>
  </si>
  <si>
    <t>June 5, 2018/ Bangan, Sanchez Mira, Cag.</t>
  </si>
  <si>
    <t>Isuzu Elf  UDD-684</t>
  </si>
  <si>
    <t>70 pcs. Red Lauan lumber</t>
  </si>
  <si>
    <t>February 14, 2019</t>
  </si>
  <si>
    <t>PNP CIDG based at Aparri, Cag.</t>
  </si>
  <si>
    <t>June 7, 2018/ Capissayan Norte, Gattaran, Cag.</t>
  </si>
  <si>
    <t xml:space="preserve"> (Rusi 150 kulong-kulong no plate </t>
  </si>
  <si>
    <t>PO1 Jerome Tungpalan, 203rd MC, RMFB2</t>
  </si>
  <si>
    <t>Nangalisan, Sta. Clara, Cag.</t>
  </si>
  <si>
    <t>Under admin confiscation proceedings. The identified individuals is Justin Salvador</t>
  </si>
  <si>
    <t>June 16, 2018/ Labben, Allacapan, Cagayan</t>
  </si>
  <si>
    <t>The admin. Confiscation proceedings was conducted last April 20, 2017. Criminal Case was filed docketed under NPS No. II-02T-INQ-178-00006. 1.24 cu.m. donated to PNP Camp at Mauanan, Rizal, Cag. And the 3.214 cu.m. was utilize in the repaire &amp; rehabilitation of main building of PENR Office. Ordered final and executory dated October 26, 2020</t>
  </si>
  <si>
    <t>Philippine Marines and DENR Personnel</t>
  </si>
  <si>
    <t>19 pcs. CHW lumbers/ flitches</t>
  </si>
  <si>
    <t>(1Isuzu Mini Elf Van w/ Plate No. 030103)</t>
  </si>
  <si>
    <t>30 pcs. Red Lauan lumbers</t>
  </si>
  <si>
    <t>The admin proceeding was conducted last July 10, 2018. A case agianst Antonio Ulita (driver) and Rommel Gutiarez (owner of f.p) was filed by PNP at PPO Ballesteros, Cagayan on June 18, 2018 docketed under NPS II-02B-INQ-18F-0023. Confiscated in favor of the government dated June 11, 2019. Confiscated in favor of the government dated August 22, 2019. The motion for Reconsideration filed by the respondent was denied for lack of merit</t>
  </si>
  <si>
    <t>June 25, 2018/ Katiwayan, Rapuli, Sta. Ana, Cagayan</t>
  </si>
  <si>
    <t>35 pcs. Red Lauan lumbers</t>
  </si>
  <si>
    <t>No permit to transport (Jeep No plate number)</t>
  </si>
  <si>
    <t>June 26, 2018/Katiwayan, Rapuli, Sta. Ana, Cagayan</t>
  </si>
  <si>
    <t>June 17, 2017/ Mauanan, Rizal, Cag.</t>
  </si>
  <si>
    <t>Isuzu Elf  RHD 432</t>
  </si>
  <si>
    <t>19 pcs. Gemlina flitches</t>
  </si>
  <si>
    <t>1 pc. Narra flitches</t>
  </si>
  <si>
    <t>DENR Personnel &amp; PNP Rizal, Cag.</t>
  </si>
  <si>
    <t xml:space="preserve">Admin confiscation proceeding was conducted thru position paper dated Sept. 4, 2017 and Motion for Release Motor Vehicle dated Sept. 4, 2017. </t>
  </si>
  <si>
    <t>June 25, 2017/</t>
  </si>
  <si>
    <t>June 27, 2018/ So. Mammit, San Mariano, Lal-lo, Cagayan</t>
  </si>
  <si>
    <t xml:space="preserve">No permit </t>
  </si>
  <si>
    <t>22 pieces Red Lauan lumbers</t>
  </si>
  <si>
    <t>The identified owner is a certain Rey Basitao. Under administrative confiscation proceedings</t>
  </si>
  <si>
    <t>July 3, 2018/ Dalayap, Allacapan, Cagayan</t>
  </si>
  <si>
    <t>145 pcs. CHW flitches/ lbr.</t>
  </si>
  <si>
    <t>Value (Php)</t>
  </si>
  <si>
    <t>No permit to transport (WCK-803)</t>
  </si>
  <si>
    <t>24 pcs. Gmelina lumbers</t>
  </si>
  <si>
    <t>July 14, 2018/ Binag, Lal-lo, Cagayan</t>
  </si>
  <si>
    <t>The admin proceeding was already conducted thru posting of notices for three (3) times. With Order of Finality received on Dec. 03, 2024 promulgated on Feb. 06, 2023 with Docket No. R2-ED-2023-0021</t>
  </si>
  <si>
    <t>7 pcs. Gmelina flit</t>
  </si>
  <si>
    <t>3 pcs. WLauan flit</t>
  </si>
  <si>
    <t>Baracaoit, Gattaran, cag.</t>
  </si>
  <si>
    <t>July 18, 2018/ Sta. Clara, Sta. Ana, Cag.</t>
  </si>
  <si>
    <t>PNP Gattaran and DENR Personnel</t>
  </si>
  <si>
    <t>48 pcs. Red Lauan lumber/flitches</t>
  </si>
  <si>
    <t>Confiscated in favor of the government dated June 2, 2020. With Order of Finality received on Sept. 16, 2024</t>
  </si>
  <si>
    <t>92 pcs. CHW lbr</t>
  </si>
  <si>
    <t>Mun. Hall of Sta. Ana, Cag./ MENRO Obiano</t>
  </si>
  <si>
    <t>MDRRMC Gattaran, Cagayan</t>
  </si>
  <si>
    <t>July 29, 2018. Isca Gonzaga, Cag.</t>
  </si>
  <si>
    <t>Nissan Vannette van  blue  TKB-534</t>
  </si>
  <si>
    <t>The identified offenders are Wilmer Barbosa, Edwin Gaba, Arnold Salvador, Dina Ventura, Anthony Abad &amp; Arnel Salvador</t>
  </si>
  <si>
    <t>PNP 2nd MFP, Prov. Mobile Force Coy, Casambalangan, Sta. Ana, Cag.</t>
  </si>
  <si>
    <t>The identified inviduals were Raymundo Capili, Roniel Sapla, Mark Lionel Puyaoan</t>
  </si>
  <si>
    <t>August 3, 2018/So. Rissik, Mabuno, Gat., Cag</t>
  </si>
  <si>
    <t>86 pcs. W Lauan Lbr.</t>
  </si>
  <si>
    <t xml:space="preserve">September 1, 2017/ </t>
  </si>
  <si>
    <t>6 pcs. Gmelina flitches</t>
  </si>
  <si>
    <t>Macanaya, Aparri, Cag.</t>
  </si>
  <si>
    <t>August 5, 2018/ Sta. Maria, Gonzaga, Cagayan</t>
  </si>
  <si>
    <t>10 pcs. R Lauan lbr.</t>
  </si>
  <si>
    <t>Mitsubishi L-300</t>
  </si>
  <si>
    <t>Barangay Hall, Sta. Maria, Gonzaga, Cag.</t>
  </si>
  <si>
    <t>August 6, 2018/ Cabiraoan, Gonzaga, Cag.</t>
  </si>
  <si>
    <t>BLGU Bulagao, Tuao, Cag.</t>
  </si>
  <si>
    <t>The admin proceeding was conducted last October 13, 2017. Confiscated in favor of the government dated July 6, 2018. Ordered final and executory dated November 9, 2020. Order of Finality received on Jan. 08, 2025 promulgated on July 18, 2018 with Docket No. R2-F-1286</t>
  </si>
  <si>
    <t>PPO Camp Tirso H. Gador, Tuguegarao City</t>
  </si>
  <si>
    <t>27 pcs. CHW lumbers</t>
  </si>
  <si>
    <t>A criminal case was filed at PPO Aparri docketed under NPS No. II-02a-INQ-12H-00160</t>
  </si>
  <si>
    <t>August 8, 2018/ Cabiraoan, Gonzaga, Cagayan</t>
  </si>
  <si>
    <t>49 pcs. Red Lauan lumbers</t>
  </si>
  <si>
    <t>August 18, 2018/Tapel, Gonzaga, Cag.</t>
  </si>
  <si>
    <t>A case was filed against Robert Santaros thru inquest proceedings at PPO Aparri docketed under NPS No. II-02a-INQ-19B-00044. The admin proceeding was conducted on March 25, 2019</t>
  </si>
  <si>
    <t>February 19, 2019</t>
  </si>
  <si>
    <t>Laoc, Pateng, Gonzaga, Cag.</t>
  </si>
  <si>
    <t>CENRO personnel AND Phil. Marines &amp; LGU Gonzaga, Cag.</t>
  </si>
  <si>
    <t>13 pcs. CHW flitches</t>
  </si>
  <si>
    <t xml:space="preserve">Euro 155 kulong-kulong no plate </t>
  </si>
  <si>
    <t>February 20, 2019</t>
  </si>
  <si>
    <t>20 pieces Red Lauan lumber</t>
  </si>
  <si>
    <t>CALENDAR YEAR 2020</t>
  </si>
  <si>
    <t>Magapit, Lal-lo, Cagayan</t>
  </si>
  <si>
    <t>A criminal case was filed against the respondents at PPO Aparri docketed under NPS No. II-02a-INQ-18H-0172. The admin proceeding was conducted on November 13, 2018. The court finds the accussed Mr. Severiano Ibia, Jr. guilty beyond reasonable doubt and was sentenced to suffer an imrpisonment from 2 months arresto de mayor as minimum and 2 years and 4 months of prison correcional as maximum and pay a fine of 1,000.00. The conveyance including its loads was ordered forfeited in favor of the government dated August 31, 2018 issued by Presiding Judge Conrado Tabaco, RTC Branch 9, Aparri, Cag.</t>
  </si>
  <si>
    <t>February 8, 2017/So. Banal, Dalaoig, Alcala, Cag.</t>
  </si>
  <si>
    <t>CENRO personnel</t>
  </si>
  <si>
    <t>16 pcs. Red Lauan lumber</t>
  </si>
  <si>
    <t>August 18, 2019/Tapel, Gonzaga, Cag.</t>
  </si>
  <si>
    <t>honda TMX 155 kulong-kulong no plate</t>
  </si>
  <si>
    <t>No permit to cut (Mrs. Theresa Balagnir)</t>
  </si>
  <si>
    <t>A criminal case was filed against the respondents at PPO Aparri docketed under NPS No. II-02a-INQ-18H-0172. The admin proceeding was conducted on November 13, 2018. The court finds the accussed Mr. Mario Ibia guilty beyond reasonable doubt and was sentenced to suffer a straight penalty of six (6) months of imprisonment and pay a fine of 1,000.00. The conveyance including its loads was ordered forfeited in favor of the government dated August 31, 2018 issued by Presiding Judge Conrado Tabaco, RTC Branch 9, Aparri, Cag.</t>
  </si>
  <si>
    <t>Barangay Dalaoig, Alcala, Cag./Brgy. Captain Virgilio Casay</t>
  </si>
  <si>
    <t>BLGU Dalaoig, Alcala, Cag.</t>
  </si>
  <si>
    <t>Submit thru radmes</t>
  </si>
  <si>
    <t>February 14, 2017/ Bitag Grande, Baggao, Cag.</t>
  </si>
  <si>
    <t>A criminal case was filed against the respondents at PPO Aparri docketed under NPS No. II-02a-INQ-18H-0172. The admin proceeding was conducted on November 13, 2018. The court finds the accussed Mr. Marvin Jose guilty beyond reasonable doubt and was sentenced to suffer six months imrpisonment and pay a fine of 1,000.00. The conveyance including its loads was ordered forfeited in favor of the government dated August 31, 2018 issued by Presiding Judge Conrado Tabaco, RTC Branch 9, Aparri, Cag.</t>
  </si>
  <si>
    <t>August 24, 2018/ Nabaccayan, Gattaran, Cagayan</t>
  </si>
  <si>
    <t>No permit/transport documents (1 kuliglig)</t>
  </si>
  <si>
    <t>61 pcs. Red Lauan lumbers/ flitches</t>
  </si>
  <si>
    <t>MLGU Baggao/Mayor Leonardo Pattung</t>
  </si>
  <si>
    <t>MENRO Baggao</t>
  </si>
  <si>
    <t>March 1-3, 2017/Mansarong and Malasi, Baggao, Cagayan</t>
  </si>
  <si>
    <t>PNP Gattaran, Cagayan/ PSI Elymar Collado</t>
  </si>
  <si>
    <t>PNP Gattaran &amp; RMFB2, 203RD</t>
  </si>
  <si>
    <t xml:space="preserve">Under administrative confiscation proceedings. A case was filed at the PPO Aparri </t>
  </si>
  <si>
    <t>August 30, 2018/ Patunungan, Sta. Ana, Cagayan</t>
  </si>
  <si>
    <t>27 pcs. Red Lauan lumbers</t>
  </si>
  <si>
    <t>Sept. 28, 2018/ Elkizaga, Gattaran, Cag.</t>
  </si>
  <si>
    <t>T. Elizaga, Gattaran, Cag./ Brgy. Hall/ Brgy. Capt. Mario Ramos Deus</t>
  </si>
  <si>
    <t>October 16, 2018/ Marede, Sta. Ana, Cag.</t>
  </si>
  <si>
    <t>Isuzu Elf WLU-299</t>
  </si>
  <si>
    <t>39 pcs. Red Lauan lumber</t>
  </si>
  <si>
    <t>1 Rusi 125 Redkulong-kulong</t>
  </si>
  <si>
    <t>Municipal Hal, Sta. Ana, Cag.</t>
  </si>
  <si>
    <t>October 19, 2018/ Masi, Sta. Teresita, Cag.</t>
  </si>
  <si>
    <t>(Hyundai Grace Van   XCZ-809 w/ trailer)</t>
  </si>
  <si>
    <t>155 pcs. Red Lauan lumber</t>
  </si>
  <si>
    <t>A case was filed by the CENRO against the accussed Dante Bañez for violation of PD 705 at the PPO Aparri on November 5, 2018 docketed under NPS II-02a-18J-00308. The ACP was conducted on November 6, 2018. Forwarded to this Office December 9, 2020 and forwarded to RO per memo dated January 4, 2021</t>
  </si>
  <si>
    <t>October 29, 2018/ Amunitan. Gonzaga, Cagayan</t>
  </si>
  <si>
    <t xml:space="preserve"> Isuzu Closed Van  WJB-755</t>
  </si>
  <si>
    <t>56 pcs. Narra and Kamagong flit/ lbr</t>
  </si>
  <si>
    <t xml:space="preserve">Quantity and form </t>
  </si>
  <si>
    <t>November 15, 2018/ So. Padungsol, Naddungan, Gattaran, Cagayan</t>
  </si>
  <si>
    <t>89 Red Lauan lbrs &amp; 72 Palosapis lbrs.</t>
  </si>
  <si>
    <t>The indentified person is Ferdinand Burgos. The admin proceeding was conducted on March 11, 2019 (receive Confiscation Order Dated June 11, 2020. Ordered final and executory dated May 4, 2021</t>
  </si>
  <si>
    <t>November 29, 2018/Sta. Clara, Gonzaga, Cag.</t>
  </si>
  <si>
    <t xml:space="preserve">No claimant </t>
  </si>
  <si>
    <t>5 pcs. Red Lauan lumber</t>
  </si>
  <si>
    <t>December 12, 2018/ Toran, Aparri, Cagayan</t>
  </si>
  <si>
    <t xml:space="preserve">Isuzu Elf, no plate </t>
  </si>
  <si>
    <t>147 pcs. CHW lumbers</t>
  </si>
  <si>
    <t>February 22, 2019</t>
  </si>
  <si>
    <t>So. Cabadeco, Cabiraoan, Gonzaga, Cag.</t>
  </si>
  <si>
    <t>Confiscated in favor of the government dated June 16, 2017. 0.67 cu.m./ 284.0 bd.ft. were hauled and brought to PENRO . Ordered final and executory dated November 4, 2020</t>
  </si>
  <si>
    <t>June 13, 2017/Tamban, Alcala, Cag.</t>
  </si>
  <si>
    <t>CHW lumbers/ flitches</t>
  </si>
  <si>
    <t>CENRO personnel, Phil. Marins and MENRO Bennyfred Sandi</t>
  </si>
  <si>
    <t>CONFISCATED IN FAVOR OF THE GOVERNMENT DATED FEBRUARY 16,2023</t>
  </si>
  <si>
    <t>BLGU Tamaban, Alcala, Cag.</t>
  </si>
  <si>
    <t>The admin proceeding was already conducted thru posting of notices for three (3) times. With Order of Finality received on Dec. 03, 2024 promulgated on Feb. 06, 2023 with Docket No. R2-ED-2023-0017</t>
  </si>
  <si>
    <t>February 24, 2019</t>
  </si>
  <si>
    <t>Caroan, Gonzaga, Cag.</t>
  </si>
  <si>
    <t>The admin proceeding was conducted on March 13, 2019. A case was filed on January 3, 2019 at PPO Aparri, Cagayan docketed under NPSII-02a-INV-19A-00001. Confiscated in favor of the government dated July 18, 2022</t>
  </si>
  <si>
    <t xml:space="preserve">5 pcs. White Lauan lumber </t>
  </si>
  <si>
    <t>2 units motorized banca</t>
  </si>
  <si>
    <t>BLGU Tamban</t>
  </si>
  <si>
    <t>December 2, 2019</t>
  </si>
  <si>
    <t>The admin proceeding was conducted last June 28, 2017. Order of FINALITY dated November 27, 2020</t>
  </si>
  <si>
    <t>December 12, 2018/ Rapuli, Sta. Ana, Cag.</t>
  </si>
  <si>
    <t xml:space="preserve">Honda TMX, kulong-kulong no plate </t>
  </si>
  <si>
    <t>PNP Gonzaga (forest products, Caroan, Gonzaga (motorized banca)</t>
  </si>
  <si>
    <t>Pattao, Buguey, Cagayan</t>
  </si>
  <si>
    <t>June 14, 2017/Brgy. Dalaoig, Alcala, Cag.</t>
  </si>
  <si>
    <t>20 pcs. Red Lauan lumbers</t>
  </si>
  <si>
    <t>The identified offenders are Joy Palattao &amp; Dexter dela Cruz</t>
  </si>
  <si>
    <t>PNP Buguey personnel</t>
  </si>
  <si>
    <t>122 pcs Red and White Lauan Lumber</t>
  </si>
  <si>
    <t>No permit to cut (1 chainsaw)</t>
  </si>
  <si>
    <t>December 14, 2018/ Smart, Gonzaga, Cag.</t>
  </si>
  <si>
    <t>15 pcs. CHW lumber</t>
  </si>
  <si>
    <t>PENR Office/ c/o Engr. Nelson Tumaliuan</t>
  </si>
  <si>
    <t>An inquest case was filed against Pepe Sabano and Angelito Castillo by PNP Gonzaga, Cag. Under NPS Docket No. II-02a-INQ-181-00281 at PPO Aparri, Cag.</t>
  </si>
  <si>
    <t>December 28, 2018/ Rapuli, Sta. Ana, Cagayan</t>
  </si>
  <si>
    <t>Toyota Hi-Ace van w/ Plate# 548407)</t>
  </si>
  <si>
    <t>59 pcs. Red Lauan lumber</t>
  </si>
  <si>
    <t>7 pcs. Kamagong flitches</t>
  </si>
  <si>
    <t>Isuzu Elf Truck UTF 614</t>
  </si>
  <si>
    <t>February 25, 2019</t>
  </si>
  <si>
    <t>Under administrative adjudication proceedings. The accussed Jonathan Pineda and Benjie Cuarteros guilty beyond reasonable doubt  of the lesser offense of Simple Theft; and the Conveyance and its load were forfeited in favor of the government per Order dated February 6, 2019 issued by Presiding Judge Conrado Tabaco, RTC Branch 9, Aparri, Cag.</t>
  </si>
  <si>
    <t xml:space="preserve">No detailed report yet </t>
  </si>
  <si>
    <t>September 6, 2017/ Barangay Temblique, Baggao, Cag.</t>
  </si>
  <si>
    <t>Isuzu Elf  No. TTK-468</t>
  </si>
  <si>
    <t>Criminal case was against  Sandy Flores with Docket No. NPS II-02a-INQ-19K-00306 on December 3, 2019. Admin proceedings was conducted March 6, 2020</t>
  </si>
  <si>
    <t>21 pcs. Gmelina flitches</t>
  </si>
  <si>
    <t>Pinutulan, Capissayan Norte, Gattaran, Cag.</t>
  </si>
  <si>
    <t>January 4, 2020</t>
  </si>
  <si>
    <t>CENRO  Alcala</t>
  </si>
  <si>
    <t>CONFISCATED IN FAVOR OF THE GOVERNMENT FEBRUARY 14,2023</t>
  </si>
  <si>
    <t>Both the conveyance and its load were ordered confiscated in favor of the government dated Januari 6, 2021</t>
  </si>
  <si>
    <t>Maddalero, Buguey, Cagayan</t>
  </si>
  <si>
    <t>Under administrative confiscation proceedings CONFISCATED dated Septemeber 2, 2020. With Order of Finality received on Nov. 12, 2024 promulgated on Sept. 02, 2020 with Docket No. R2-Ed-2020-0044</t>
  </si>
  <si>
    <t>PNP Sta. Teresita and Buguey Personnel</t>
  </si>
  <si>
    <t>11 pcs Gmelina</t>
  </si>
  <si>
    <t>4 pcs. Narra flitches</t>
  </si>
  <si>
    <t>33 pcs. Gmelina flitches</t>
  </si>
  <si>
    <t>March 1, 2019</t>
  </si>
  <si>
    <t>MB VAN Plate no. 1312-000000123931</t>
  </si>
  <si>
    <t>Peña Weste, Gattaran, Cagayan</t>
  </si>
  <si>
    <t>19 pcs. Dao lumber and flitches</t>
  </si>
  <si>
    <t>Case was filed against Romeo Cusit, Michael Del Buenaflor and Cesar Villasin at (Provincial Prosecutor Office) Aparri on january 23, 2020 under NPS II-02A-INV-2-A-00003, Admin Proceedings was Conducted on July 14, 2020</t>
  </si>
  <si>
    <t>Binubungan, Allacapan, Cag.</t>
  </si>
  <si>
    <t>January 30, 2017/ Gattu, Pamplona, Cagayan</t>
  </si>
  <si>
    <t>January 5, 2020</t>
  </si>
  <si>
    <t>Agnawan, Mabuno, Gattaran, Cagayan</t>
  </si>
  <si>
    <t>PNP Gattaran personnel</t>
  </si>
  <si>
    <t>1 pc Narra Flitches</t>
  </si>
  <si>
    <t>N/A</t>
  </si>
  <si>
    <t>12 pcs. Antipolo lumber and flitches and 13 pcs. Narra flitches</t>
  </si>
  <si>
    <t>No permit to transport (WED-984</t>
  </si>
  <si>
    <t>118 pcs. CHW lumbers</t>
  </si>
  <si>
    <t>Gattaran Police Station Compound</t>
  </si>
  <si>
    <t>Case Filed in court for Admin. Confiscation Proceedings against Alex Siazon</t>
  </si>
  <si>
    <t>January 6, 2020</t>
  </si>
  <si>
    <t>6 pcs Gmelina Lumbers</t>
  </si>
  <si>
    <t>1 unit sangyong Istana Van</t>
  </si>
  <si>
    <t>Under Admin. Confiscation Proceedings</t>
  </si>
  <si>
    <t>January 9, 2020</t>
  </si>
  <si>
    <t>Calaoagan Dackel, Gattaran, Cagayan</t>
  </si>
  <si>
    <t>2 pcs Narra Flitches</t>
  </si>
  <si>
    <t>Case filed in court for Admin. Confiscation Proceedings against Alejo Aguinaldo and Anselmo Florendo</t>
  </si>
  <si>
    <t>January 22, 2020</t>
  </si>
  <si>
    <t>Sta. Clara, sta. Ana, Cagayan</t>
  </si>
  <si>
    <t>PNP Sta. Ana Personnel</t>
  </si>
  <si>
    <t>70 pcs Red Lauan Lumbers</t>
  </si>
  <si>
    <t>Case filed in court for Admin. Confiscation Proceedings against Maritchel Cadang</t>
  </si>
  <si>
    <t>January 23, 2020</t>
  </si>
  <si>
    <t>Capissayan Norte, Gattaran, Cag.</t>
  </si>
  <si>
    <t>130 pcs. Assorted species</t>
  </si>
  <si>
    <t>Utilized in making beds of inmates. The admin. Proceedings was conducted last February 27, 2017. Confiscated in favor of the government dated October 31, 2019. With Order of Finality received on Sept. 16, 2024</t>
  </si>
  <si>
    <t>March 5, 2017/Libertad, Abulug, Cag.</t>
  </si>
  <si>
    <t>2 sets circular saw, 1 set drill w/ grinder and 2 sets band saw</t>
  </si>
  <si>
    <t>PNP Gattaran Station Compound</t>
  </si>
  <si>
    <t>submitted thru fax message dated February 14, 2020. Search warrant no. 03-20 issued by presiding judge Conrado T. Tabaco MTC brach 9 on January 23, 2020. Inquest case was filed against Joel Dela cruz on January 24, 2020 under NPS II-02A-INQ-20A-00023</t>
  </si>
  <si>
    <t>No permit to transport (WSU- 531</t>
  </si>
  <si>
    <t>PNP Abulug</t>
  </si>
  <si>
    <t>CONFISCATED IN FAVOR OF THE GOVERNMENT FEBRUARY 15,2023</t>
  </si>
  <si>
    <t>March 5, 2017/Lucban, Abulug, Cag.</t>
  </si>
  <si>
    <t xml:space="preserve">kolong kolong Motoposh  No plate </t>
  </si>
  <si>
    <t>January 24, 2020</t>
  </si>
  <si>
    <t>Zone 6, Minanga Sur, Lasam, Cagayn</t>
  </si>
  <si>
    <t>PNP Lasam Personnel</t>
  </si>
  <si>
    <t>27 pcs CHW</t>
  </si>
  <si>
    <t>PNP Lasam Station Compound</t>
  </si>
  <si>
    <t>Case Filed in court For admin. Proceedings against Marvin Cabuyo</t>
  </si>
  <si>
    <t>January 29, 2020</t>
  </si>
  <si>
    <t>Rapuli, Sta. Ana, cag.</t>
  </si>
  <si>
    <t>37 PCS. White and Red Lauan lumber</t>
  </si>
  <si>
    <t>Feb. 5, 2018/ Camasi, Peñablanca, Cag.</t>
  </si>
  <si>
    <t>No permit to transport (Van w/ plate No. XBY-509)</t>
  </si>
  <si>
    <t>PNP Sta. Ana Station Compound</t>
  </si>
  <si>
    <t>Apprehended thru Search Warrant, case filed in court for Admin proceedings against Mardion Dela Cruz</t>
  </si>
  <si>
    <t>February 3, 2020</t>
  </si>
  <si>
    <t>Baraiodan, Gattaran, Cagayan</t>
  </si>
  <si>
    <t>CENRO and PNP Gattaran Personnel</t>
  </si>
  <si>
    <t>97 Red Lauan and Tangisang Bayawak Lumbers</t>
  </si>
  <si>
    <t>Sub-Total</t>
  </si>
  <si>
    <t>Case Filed in court For admin. Proceedings against Merlita Cabbab</t>
  </si>
  <si>
    <t>Gonzaga, Cagayan</t>
  </si>
  <si>
    <t>PNP Gonzaga Personnel</t>
  </si>
  <si>
    <t>1 unit Chainsaw</t>
  </si>
  <si>
    <t>PNP Gonzaga Station Compound</t>
  </si>
  <si>
    <t>Criminal Case No. II-152017- was filed against roger sorbida thru Inquest Proceedings for Violation of RA 9175 at RTC aparri on February 3, 2020</t>
  </si>
  <si>
    <t>19 pcs. Tanuile lumbers</t>
  </si>
  <si>
    <t>Backiling, Aparri, Cagayan</t>
  </si>
  <si>
    <t>CENRO and PNP Aparri Personnel</t>
  </si>
  <si>
    <t>March 5, 2017Libertad, Abulug, Cag.</t>
  </si>
  <si>
    <t>113 Gmeina and narra Lumbers</t>
  </si>
  <si>
    <t>Case filed in Court For Amin proceedings Against Loreto Abella</t>
  </si>
  <si>
    <t>Tapel, Gonzaga, cagayan</t>
  </si>
  <si>
    <t xml:space="preserve">kulong-kulong, Rusi Motorcycle no plate </t>
  </si>
  <si>
    <t>12 pcs Narra and Red Lauan Lumber</t>
  </si>
  <si>
    <t>Wooden cart</t>
  </si>
  <si>
    <t>Criminal case was filed against Avelino Marquez Thru Inquest proceedings for violation of sec 77 of PD 705 at RTC Aparri on Feb. 4, 2020</t>
  </si>
  <si>
    <t>February 4, 202</t>
  </si>
  <si>
    <t>Rebecca, Gonzaga, cagayan</t>
  </si>
  <si>
    <t>1 pc Mahogany Round Log</t>
  </si>
  <si>
    <t>15 pcs. Gmelina lumbers</t>
  </si>
  <si>
    <t>A Criminal Case No. II-15215 was filed against Leimar Balanay Thru Inquest proceeding at RTC Aparri on Feb. 5, 2020</t>
  </si>
  <si>
    <t>February 5, 2020</t>
  </si>
  <si>
    <t>21 pcs.  Tanguile lumbers</t>
  </si>
  <si>
    <t>CONFISCATED IN FAVOR OF THE GOVERNMENT FEBRUARY 16,2023</t>
  </si>
  <si>
    <t>kulong-kulong, Motor star 2445 XR</t>
  </si>
  <si>
    <t>San Lorenzo, Lallo, cagayan</t>
  </si>
  <si>
    <t>PNP Lallo Personnel</t>
  </si>
  <si>
    <t>75 pcs Narra, Tanguile and Gmelina Lumbers</t>
  </si>
  <si>
    <t>9 pcs. Tanguile lumbers</t>
  </si>
  <si>
    <t>Apprehended person Celso Domingo-owner. The administrative hearing was conducted last April 11, 2017. Confiscated in favor of the government dated May 11, 2021</t>
  </si>
  <si>
    <t>July 31, 2017/Cadcadir East, Claveria, Cag.</t>
  </si>
  <si>
    <t xml:space="preserve">No permit to transport and cut ( kuliglig and 1 chainsaw) </t>
  </si>
  <si>
    <t>17 pcs. CHW lumbers</t>
  </si>
  <si>
    <t>PNP Penablanca</t>
  </si>
  <si>
    <t>The admin proceeding was conducted last February 15, 2018. The respondents are Robert Suyu (driver) and Jacinto Ligutan (owner of fp). Confiscated in favor of the government per order dated November 7, 2019. Ordered final and excutory dated February 1, 2021</t>
  </si>
  <si>
    <t xml:space="preserve">PNP Station, Claveria, Cag. </t>
  </si>
  <si>
    <t>PNP Sta. Praxedes and Claveria</t>
  </si>
  <si>
    <t>Bernard Perlas-owner/operator. A criminal case was filed docketed under NPS-II-25M-INQ-17H-00046. The admin proceeding was conducted last August 9, 2017. Confsicated in favor of the government dated March 10, 2020. With Order of Finality received on Sept. 16, 2024</t>
  </si>
  <si>
    <t>August 14, 2017/ So. Pataga, Langayan, Sanchez Mira, Cag.</t>
  </si>
  <si>
    <t>Feb. 10, 2018/ Camasi, Penablanca, Cag.</t>
  </si>
  <si>
    <t>No permit to transport (Van w/ plate No. CPS-193)</t>
  </si>
  <si>
    <t>The admin proceeding was conducted on February 19, 2018 and February 22, 2018</t>
  </si>
  <si>
    <t>March 8, 2018/ Buntun Highway, Tuguegarao City</t>
  </si>
  <si>
    <t>No permit to transport (Isuzu Elf w/ Plate No. XKD-774)</t>
  </si>
  <si>
    <t>113 sacks charcoal</t>
  </si>
  <si>
    <t xml:space="preserve">PNP COMPAC Personnel </t>
  </si>
  <si>
    <t xml:space="preserve">No claimant (2 chainsaw) </t>
  </si>
  <si>
    <t>CONFISCATED IN FAVOR OF THE GOVERNMENT DDATED FEBRUARY 14,2023</t>
  </si>
  <si>
    <t>The admin proceeding was conducted Last March 19, 2018. The accussed pleaded guilty per order dated November 20, 2018 issued by Judge Jezarene Aquino. Both conveyance and its load were ordered confiscated in favor of the government per order dated January 7, 2021</t>
  </si>
  <si>
    <t>Criminal Case No. II-15216 was filed against Alfredo Valdemor thru Inquest Proceedings at RTC Aparri on Feb. 6, 2020. Case filed in court PNP Lallo, Cagayan at PPO Aparri,w/ NPS II-02A-INQ-20B-00036 on Feb. 6, 2020. With Order of Finality received on Dec. 03, 2024 promulgated on June 05, 2023 with Docket No. R2-ED-2023-0095</t>
  </si>
  <si>
    <t>March 31, 2018/ Dadda, Tuguegarao City</t>
  </si>
  <si>
    <t>PUJ  BVE 748) and Single Motor (XRM 125 w/ Plate 2684 BS)</t>
  </si>
  <si>
    <t>39 pcs. CHW lumber</t>
  </si>
  <si>
    <t>PENRO Compound</t>
  </si>
  <si>
    <t>Alleged owner of single motor Ricardo Mabborang, owner of PUJ Jayjay Calimag. A criminal case was filed against Ricardo Mabborang, Jofer Calimag, Ester Calimag, Maritony Corpuz and Antonio Tibis at Regional Trial Court Branch 5, Tuguegarao City on April 1, 2018 docketed under NPS No. II-03-INQ-018D-0061 and Crim. Case No. 19524. The admin proceeding was conducted last May 18 and 25, 2018. Turned-over to Sub-Office. Confiscated in favor of the government dated June 11, 2019. With Order of Finality Sept. 06, 2024.</t>
  </si>
  <si>
    <t>August 1, 2018/ Carig Sur, Tuguegarao City</t>
  </si>
  <si>
    <t xml:space="preserve">van w/ plate  BVP-582) </t>
  </si>
  <si>
    <t>20 pcs. Gmelina lumbers</t>
  </si>
  <si>
    <t>February 10, 2020</t>
  </si>
  <si>
    <t>Bangag, Lal-lo, Cag.</t>
  </si>
  <si>
    <t>12 pcs Sawn lumbers</t>
  </si>
  <si>
    <t>CENRO C/O CENRO Mario Bungubung</t>
  </si>
  <si>
    <t>PNP Lallo Station Compound</t>
  </si>
  <si>
    <t>Criminal case No. II-15228 was filed against Jhony Naul thru Inquest Proceedings on Feb. 11, 2020 and case file at PPO Aparri w/ NPS II-02A-INQ-19L-00321</t>
  </si>
  <si>
    <t>February 20, 2020</t>
  </si>
  <si>
    <t>Aridowen, Sta. Teresita, Cagayan</t>
  </si>
  <si>
    <t>CENRO and Marine Personnel</t>
  </si>
  <si>
    <t>21 pcs Red Lauan Lumber/Flitches</t>
  </si>
  <si>
    <t>Marine Station Compound</t>
  </si>
  <si>
    <t>Under admin confisation proceedings</t>
  </si>
  <si>
    <t>February 27, 2020</t>
  </si>
  <si>
    <t>8 pcs Mango Lumber</t>
  </si>
  <si>
    <t>Criminal Case No. II-15255 was filed against Elmer Lubas Thru Inquest Proceedins on Feb. 28, 2020</t>
  </si>
  <si>
    <t>March 3, 2020</t>
  </si>
  <si>
    <t>Cullit, Camalaniugan, Cagayan</t>
  </si>
  <si>
    <t>PNP Camalaniugan Personnel</t>
  </si>
  <si>
    <t>20 pcs Sawn Narra</t>
  </si>
  <si>
    <t>PNP Camalaniugan Station Compound</t>
  </si>
  <si>
    <t>Case filed in cout For Admin. Proceedings against Jun Tollo</t>
  </si>
  <si>
    <t>March 9, 2020</t>
  </si>
  <si>
    <t>Abagao, Camalaniugan, Cagayan</t>
  </si>
  <si>
    <t>65 pcs Antipolo Lumber</t>
  </si>
  <si>
    <t>Hand Tractor w/ Pulling trailer</t>
  </si>
  <si>
    <t>Case filed in cout For Admin. Proceedings against Zaldy Rabina</t>
  </si>
  <si>
    <t>Cabiraoan, Gonzaga, cag.</t>
  </si>
  <si>
    <t>elements of PNP Sta. Ana</t>
  </si>
  <si>
    <t>26 pcs Red Lauan Lumber</t>
  </si>
  <si>
    <t>Crim case no. II-15282, cases filed on March 10, 2020 with II-02a-INQ-20C-00072 against Francisco Montales. With Order of Finality received on Dec. 03, 2024 promulgated on May 29, 2023 with Docket No. R2-ED-2023-0075</t>
  </si>
  <si>
    <t>elements of PNP Gonzaga</t>
  </si>
  <si>
    <t>22 pcs Red Luan Lumbers</t>
  </si>
  <si>
    <t>Criminal Cases II-15283. case was conducted on March 9, 2020 with INQ no. II-02a-INQ-20C-00073 admin proceeding was conducted on July 17, 2020.With Order of Finality received on Dec. 03, 2024 promulgated on June 05, 2023 with Docket Nop. R2-ED-2023-0094</t>
  </si>
  <si>
    <t>Maddalero, Buguey, cagayan</t>
  </si>
  <si>
    <t>elements of PNP Buguey</t>
  </si>
  <si>
    <t>26 pcs White Lauan Lumbers</t>
  </si>
  <si>
    <t>1 unit Isuzu Elf</t>
  </si>
  <si>
    <t>PNP Buguey Station Compound</t>
  </si>
  <si>
    <t>A Criminal Case no. II-15281 was filed against Robert Gallardo at the Regional Trial Court, B. 9 Aparri on March 10, 2020</t>
  </si>
  <si>
    <t>March 11, 2020</t>
  </si>
  <si>
    <t>Baraoidan, gattaran, Cag</t>
  </si>
  <si>
    <t>elements of PNP Gattaran</t>
  </si>
  <si>
    <t xml:space="preserve">6 pcs CHW </t>
  </si>
  <si>
    <t>cases filed in court NPS II-02A-INV-20C-00084 against Christopher Ladia</t>
  </si>
  <si>
    <t>March 12, 2020</t>
  </si>
  <si>
    <t>Visitacion, Sta. Ana, Cag.</t>
  </si>
  <si>
    <t>11 pcs Red and White Lauan</t>
  </si>
  <si>
    <t>1 unit Rusi w/ kulong-kulong</t>
  </si>
  <si>
    <t>Case Filed in Court For admin Proceedings against Ryan Orillaza</t>
  </si>
  <si>
    <t>Centro Sta. Ana, Cag.</t>
  </si>
  <si>
    <t>42 pcs Red and White Lauan</t>
  </si>
  <si>
    <t>Apprehended thru Search Warrant. Case was filed for admini proceedings against Rudy Rumbaoa</t>
  </si>
  <si>
    <t>13 pcs red and white lauan</t>
  </si>
  <si>
    <t>1 unit Euro (150) w/ kulong-kulong</t>
  </si>
  <si>
    <t>Apprehended thru Search Warrant. Case was filed for admini proceedings against Cj Visquera</t>
  </si>
  <si>
    <t>March 13, 2020</t>
  </si>
  <si>
    <t>PENRO Sub-Office Compound/ CENRO Siggayo</t>
  </si>
  <si>
    <t>Per documents recovered on the van, the alleged owner was Gerry Lopez and Sabina Lopez</t>
  </si>
  <si>
    <t>August 2, 2018/ Camasi, Penablanca, Cagayan</t>
  </si>
  <si>
    <t xml:space="preserve"> ( van w/ plate No. BVR-682) </t>
  </si>
  <si>
    <t>88 pcs. Narra lumber and baluster</t>
  </si>
  <si>
    <t>Ipil, Gonzaga, cag.</t>
  </si>
  <si>
    <t>17 pcs Red Lauan</t>
  </si>
  <si>
    <t>Ordered final and executory dated January 11, 2021</t>
  </si>
  <si>
    <t>The admin proceeding was conducted last August 29, 2017. ORDER OF FINALITY dated October 12, 2020</t>
  </si>
  <si>
    <t>August 19, 2018/ Alimanao, Peñablanca, Cag.</t>
  </si>
  <si>
    <t>No permit/ transport documents (1 Mitsibishi L-300 van without Plate No.)</t>
  </si>
  <si>
    <t>44 pcs. CHW lumbers</t>
  </si>
  <si>
    <t>1 unit Suzuki Multicab</t>
  </si>
  <si>
    <t>The identified perpetrators is Samie Sibal of Quibal, Peñabalnca, Cag. A criminal Case was filed docketed under NPS-II-03-INQ-0184-00198</t>
  </si>
  <si>
    <t>August 19, 2018/ Libag Sur, Tuguegarao City</t>
  </si>
  <si>
    <t>No permit/ transport documents (1 Mitsibishi L-300 van w/ Plate No. TGF-699)</t>
  </si>
  <si>
    <t>16 pcs. Narra flitches</t>
  </si>
  <si>
    <t>The identified perpetrators is Romeo-Bayo-ot and Jay-at Saludares of Cabugao, Apayao, Cag.. A criminal Case was filed docketed under NPS-II-03-INQ-0184-00198</t>
  </si>
  <si>
    <t>August 19, 2018/ Libag ,Tuguegarao City</t>
  </si>
  <si>
    <t>(Hyundai Grace van w/ Plate No. XCR-975)</t>
  </si>
  <si>
    <t>11 pcs. Narra flitches</t>
  </si>
  <si>
    <t>The identified perpetratorsDanny Duca and Rodolfo Mitua of Hacienda Intal, Baggao, Cag.. A criminal Case was filed docketed under NPS-II-03-INQ-0184-00199</t>
  </si>
  <si>
    <t>August 19, 2018/ Namabbalan Sur, Tuguegarao City</t>
  </si>
  <si>
    <t xml:space="preserve"> (MB100  Mercedez van w/ Plate No. AEA-385)</t>
  </si>
  <si>
    <t>21 pcs. Narra flitches</t>
  </si>
  <si>
    <t>CONFISCATED IN FAVOR OF THE GOCVERNMENT DATED FEBRUARY 16, 2023</t>
  </si>
  <si>
    <t>The perpetrators were not identified.  Confiscated in favor of the government dated August 22, 2019</t>
  </si>
  <si>
    <t>August 21, 2018/ Brgy. Camasi, Peñablanca, Cag.</t>
  </si>
  <si>
    <t xml:space="preserve">15 pcs. Gmelina lumbers </t>
  </si>
  <si>
    <t>April 1, 2020</t>
  </si>
  <si>
    <t xml:space="preserve"> Pateng, Gonzaga, Cagayan</t>
  </si>
  <si>
    <t>5 pcs White Lauan</t>
  </si>
  <si>
    <t>Rusi 175 Kulong-kulongg</t>
  </si>
  <si>
    <t>Criminal case no. II-15283 against Emanuel Valdez and Cesar Balingyaw</t>
  </si>
  <si>
    <t>April 8, 2020</t>
  </si>
  <si>
    <t>6 pcs Red Lauan</t>
  </si>
  <si>
    <t>Maton Ex 125 Kulong-kulong BA-76270</t>
  </si>
  <si>
    <t>Case filed against Wilfredo Mirasol w/ NPS II-02A-INQ-20D-00101 on April 8, 2020</t>
  </si>
  <si>
    <t>April 15, 2020</t>
  </si>
  <si>
    <t>Ipil. Gonzaga, Cagayan</t>
  </si>
  <si>
    <t>9 pcs Red Lauan/ 4 sets door jamb</t>
  </si>
  <si>
    <t>Case filed against Arnel Bandomil w/ NPS II-02A-INQ-20D-00110 on April 15, 2020. With Order of Finality received on Dec. 03, 2024 promulgated on August 04, 2023 with Docket No. R2-ED-2023-0172</t>
  </si>
  <si>
    <t>April 19, 2020</t>
  </si>
  <si>
    <t>Sta. Maria, Gonzaga, Cagayan</t>
  </si>
  <si>
    <t>8 pcs Red Lauan lumbers</t>
  </si>
  <si>
    <t>1 unit Wooden Cart</t>
  </si>
  <si>
    <t>Case filed against Edgar Santiago w/ NPS II-02A-INQ-20D-00120 on April 20, 2020</t>
  </si>
  <si>
    <t>20 pcs Red Lauan lumbers</t>
  </si>
  <si>
    <t>2 units Wooden Cart</t>
  </si>
  <si>
    <t>Case filed against Jayson Estarija,James Felix and Loreto Estarija w/ NPS II-02A-INQ-20D-00119 on April 20, 2020</t>
  </si>
  <si>
    <t>April 21, 2020</t>
  </si>
  <si>
    <t>Bulala, Camalaniugan, Cagayan</t>
  </si>
  <si>
    <t>CENRO Personnel</t>
  </si>
  <si>
    <t>24 sacks of charcoal</t>
  </si>
  <si>
    <t>May 1, 2020</t>
  </si>
  <si>
    <t>Sta. Teresita, Lallo, Cagayan</t>
  </si>
  <si>
    <t>34 pcs Gmelina Lumbers</t>
  </si>
  <si>
    <t>Yan Mar EP 39BT Tractor w/ Trailer</t>
  </si>
  <si>
    <t>May 7, 2020</t>
  </si>
  <si>
    <t>Tanagatan, Sta. Ana, cagayan</t>
  </si>
  <si>
    <t>11 pcs CHW Lumber</t>
  </si>
  <si>
    <t>Rusi 125 Blue Kulong-kulong</t>
  </si>
  <si>
    <t>Patao, Buguey, Cagayan</t>
  </si>
  <si>
    <t>5 pcs White Lauan Flitches</t>
  </si>
  <si>
    <t>May 8, 2020</t>
  </si>
  <si>
    <t>Aliguia, Lallo, Cagayan</t>
  </si>
  <si>
    <t>2 pcs Gmelina Flitches</t>
  </si>
  <si>
    <t>Crriminal Case No. II-15309 was Filed against Ferdinand Sacramento and Rogelio Ubature on May 9, 2020</t>
  </si>
  <si>
    <t>May 13, 2020</t>
  </si>
  <si>
    <t>PNP Camalaniugan</t>
  </si>
  <si>
    <t>29 pcs. Mahogany lumber</t>
  </si>
  <si>
    <t>1 unit hand tractor and 1 unit chainsaw</t>
  </si>
  <si>
    <t>The identified respondents Benedicto Villamin, et.al. Result of admin forwarded to RO per memo dated Sept. 2, 2020. Ordered released to the respective owners dated December 9, 2021</t>
  </si>
  <si>
    <t>May 15, 2020</t>
  </si>
  <si>
    <t>San Mariano, Lallo, Cagayan</t>
  </si>
  <si>
    <t>25 sack of charcoal</t>
  </si>
  <si>
    <t>May 19, 2020</t>
  </si>
  <si>
    <t>Kapanikian, Sta. Ana, Cag.</t>
  </si>
  <si>
    <t>51 pcs Mangachapui and Red Lauan lumbers</t>
  </si>
  <si>
    <t>LGU Sta. ana compound</t>
  </si>
  <si>
    <t>Fula, Buguey, Cag.</t>
  </si>
  <si>
    <t>55 pcs Santol and pacac Lumber</t>
  </si>
  <si>
    <t>Criminal Case No. II-15312 Filed  against Lito Dela cruz on May 21, 2021</t>
  </si>
  <si>
    <t>May 22, 2020</t>
  </si>
  <si>
    <t>Paranum, Lal-lo, cagayan</t>
  </si>
  <si>
    <t>elements of PNP Lal-lo</t>
  </si>
  <si>
    <t>3 pcs logs</t>
  </si>
  <si>
    <t xml:space="preserve">The admin proceeding was conducted last August 29, 2018. Confiscated in favor of the government dated October 29, 2018 </t>
  </si>
  <si>
    <t>1 unit chainsaw</t>
  </si>
  <si>
    <t>May 23, 2020</t>
  </si>
  <si>
    <t>Sitio Bungcag, Luga, Sta, Teresita, Cagayan</t>
  </si>
  <si>
    <t>PNP Sta. Teresita Personnel</t>
  </si>
  <si>
    <t>4 pcs White Lauan</t>
  </si>
  <si>
    <t>Case filed in Court For admin Proceedings against Apolinario Abana</t>
  </si>
  <si>
    <t>May 24, 2020</t>
  </si>
  <si>
    <t>Centro, Buguey, Cagayan</t>
  </si>
  <si>
    <t>5 Narra lumbers</t>
  </si>
  <si>
    <t>146 pcs Red Lauan</t>
  </si>
  <si>
    <t>Elf Truck GTA-496</t>
  </si>
  <si>
    <t>Criminal case No. II-15317 files against Reynold Cabais, Mark James Mamaspas and Ernesto Sotelo on May 27, 2020</t>
  </si>
  <si>
    <t>May 25, 2020</t>
  </si>
  <si>
    <t>Sitio Paribarat, Dungeg, Sta. Teresita, Cagayan</t>
  </si>
  <si>
    <t>7 pcs CHW Flitches</t>
  </si>
  <si>
    <t>Honda TMX kulong-kulong and 1 unit chainsaw</t>
  </si>
  <si>
    <t>Case filed in court For admin against Gilbert Tenido</t>
  </si>
  <si>
    <t>May 28, 2020</t>
  </si>
  <si>
    <t>Pusina, Camalaniugan, Cagayan</t>
  </si>
  <si>
    <t>PNP Calamaniugan Personnel</t>
  </si>
  <si>
    <t>9 pcs Gmelina Lumbers</t>
  </si>
  <si>
    <t xml:space="preserve">Case filed in court For admin against Wilfredo Ujano </t>
  </si>
  <si>
    <t>May 29, 2020</t>
  </si>
  <si>
    <t>So. Laya, Sta. Isabel, Buguey, Cagayan</t>
  </si>
  <si>
    <t>14 pcs White Lauan Lumber</t>
  </si>
  <si>
    <t>June 3, 2020</t>
  </si>
  <si>
    <t>Pateng, Gonzaga, Cagayan</t>
  </si>
  <si>
    <t>54 pcs Red Lauan Lauan</t>
  </si>
  <si>
    <t>EURO 150 red Kulong-kulong 201-068230</t>
  </si>
  <si>
    <t>Barangay Ziminila, Camalaniugan, Cagayan</t>
  </si>
  <si>
    <t>1 log Gmelina</t>
  </si>
  <si>
    <t>reported thru radmes dated June 5, 2020</t>
  </si>
  <si>
    <t>June 11, 2020</t>
  </si>
  <si>
    <t>Buyun, Sta. Teresita, Cagayan</t>
  </si>
  <si>
    <t>Case Filed in court</t>
  </si>
  <si>
    <t>August 21, 2018/ Brgy. Caggay, Tuguegarao City</t>
  </si>
  <si>
    <t>June 15, 2020</t>
  </si>
  <si>
    <t>71 pcs Red Lauan, Narra and Mangachapoi Lumber/Flitches</t>
  </si>
  <si>
    <t>June 17, 2020</t>
  </si>
  <si>
    <t>Minanga, Buguey, Cagayan</t>
  </si>
  <si>
    <t>24 pcs Red Lauan Lumber</t>
  </si>
  <si>
    <t>June 19, 2020</t>
  </si>
  <si>
    <t>2 unit Chainsaw</t>
  </si>
  <si>
    <t>Criminal Case filed NPS II-02-INQ-20F-00206 against Ronualdo Paz and Renante Asuncion on June 20, 2020</t>
  </si>
  <si>
    <t>June 20, 2020</t>
  </si>
  <si>
    <t>August 27, 2018/ Carig Sur, Tuguegarao City</t>
  </si>
  <si>
    <t xml:space="preserve"> (van w/ plate No. WLG-320)</t>
  </si>
  <si>
    <t>14 pcs Red Lauan Lumber</t>
  </si>
  <si>
    <t>91 CHW lumbers</t>
  </si>
  <si>
    <t>Motorcycle with Kulongkulong</t>
  </si>
  <si>
    <t>Case filed in court  for admin confiscation against Ismael Barcena</t>
  </si>
  <si>
    <t>June 21, 2020</t>
  </si>
  <si>
    <t>2 pcs Tanguile Flitches</t>
  </si>
  <si>
    <t>Case filed in court  for admin confiscation against Jhonny Sinco</t>
  </si>
  <si>
    <t>Dagupan, Lallo, Cagayan</t>
  </si>
  <si>
    <t>48 pcs Red Lauan Flitches</t>
  </si>
  <si>
    <t>June 23, 2020</t>
  </si>
  <si>
    <t>Palagao Norte, Gattaran, Cagayan</t>
  </si>
  <si>
    <t xml:space="preserve">22 pcs Gmelima Lumber </t>
  </si>
  <si>
    <t>Kulongkulong BO-69767</t>
  </si>
  <si>
    <t>Case filed in Court For Amin proceedings Against Arturo Ulita and Louie Apura</t>
  </si>
  <si>
    <t>June 24, 2020</t>
  </si>
  <si>
    <t>Tagcar Mission, Sta. Teresita, Cagaya</t>
  </si>
  <si>
    <t>53 pcs Red Lauan Lumber/Flitches</t>
  </si>
  <si>
    <t>CONFISCATED IN FAVOR OF THE GOVERNMENT DDATED FEBRUARY 16,2023</t>
  </si>
  <si>
    <t>Diona Zinungan, Sta. Ana, Cagayan</t>
  </si>
  <si>
    <t>22 pcs CHW Lumber</t>
  </si>
  <si>
    <t>A criminal case was filed against Mr. Albert Arao, Jessie Balisi and Loui Calimag was filed at City Prosecutors Office. The admin proceeding was conducted last September 3, 2018</t>
  </si>
  <si>
    <t>Weapon Truck</t>
  </si>
  <si>
    <t>September 12, 2018/ Annafunan, Tuguegarao City</t>
  </si>
  <si>
    <t>Case filed in court for admin proceedings against Reynaldo Laya</t>
  </si>
  <si>
    <t>June 25, 2020</t>
  </si>
  <si>
    <t xml:space="preserve"> ( van w/ plate No. XRS-714)</t>
  </si>
  <si>
    <t>Dalaya, Allacapan, Cagayan</t>
  </si>
  <si>
    <t>PNP Allacapan Personnel</t>
  </si>
  <si>
    <t>42 pcs. CHW lumbers</t>
  </si>
  <si>
    <t>Willys Jeep</t>
  </si>
  <si>
    <t>PNP Allacapan station Compound</t>
  </si>
  <si>
    <t>July 1, 2020</t>
  </si>
  <si>
    <t>CENRO Personnel, elements of PNP Sta. Ana and MENRO OF Sta. Ana</t>
  </si>
  <si>
    <t>67 pcs Red Lauan Lumber</t>
  </si>
  <si>
    <t>July 3, 2020</t>
  </si>
  <si>
    <t>Dungeg, Sta. Teresita, cag.</t>
  </si>
  <si>
    <t>elements of PNP Sta. Teresita</t>
  </si>
  <si>
    <t>30 pcs white lauan Lumber</t>
  </si>
  <si>
    <t>PNP Sta. Teresita station Compound</t>
  </si>
  <si>
    <t>July 4, 2020</t>
  </si>
  <si>
    <t>Paradise, Gonzaga, cagayan</t>
  </si>
  <si>
    <t>INCOMPLETE</t>
  </si>
  <si>
    <t>The admin proceeding was conducted last September 17, 2018 Confiscation ORDER dated September 2, 2020. Ordered final and executory per memo recieved dated November 12, 2021</t>
  </si>
  <si>
    <t>September 13, 2018/ Nanguillattan, Peñablanca, Cagayan</t>
  </si>
  <si>
    <t>( 1 Isuzu Elfw/ Plate No. WNL-582)</t>
  </si>
  <si>
    <t>Gonzaga PNP Station</t>
  </si>
  <si>
    <t>incomplete document attached in the case folder.</t>
  </si>
  <si>
    <t>July 5, 2020</t>
  </si>
  <si>
    <t>36 Gmelina lumbers</t>
  </si>
  <si>
    <t>Mission, Sta. Teresita, Cagayan</t>
  </si>
  <si>
    <t>PNP Tuguegarao City</t>
  </si>
  <si>
    <t>1 Isuzu Elf w/ Plate No. WNL-582</t>
  </si>
  <si>
    <t>49 pcs Red Lauan Lumber</t>
  </si>
  <si>
    <t>October 4, 2018/ Gosi, Tuguegarao City</t>
  </si>
  <si>
    <t>(WMU-189)</t>
  </si>
  <si>
    <t xml:space="preserve">9 pcs. Narra flitches </t>
  </si>
  <si>
    <t>Sitio Tapuakan, Lallo, Cagayan</t>
  </si>
  <si>
    <t>15 pcs Red lauan Flitches</t>
  </si>
  <si>
    <t>So. Ulwan, Tagumay, Gattaran, Cagayan</t>
  </si>
  <si>
    <t>Confiscated in favor of the government dated May 19, 2020</t>
  </si>
  <si>
    <t>33 pcs of  Antipolo, Gmelina and Narra Lumbers and Flit.</t>
  </si>
  <si>
    <t>July 6, 2020</t>
  </si>
  <si>
    <t>Magapit, Lallo, Cagayan</t>
  </si>
  <si>
    <t>11 pcs Narra Lumber/Flitches</t>
  </si>
  <si>
    <t>L300 TMD-616</t>
  </si>
  <si>
    <t>July 8, 2020</t>
  </si>
  <si>
    <t>So. Taluru, Pateng, Gonzaga, Cagayan</t>
  </si>
  <si>
    <t>12 pcs Ditaan Lumber</t>
  </si>
  <si>
    <t>July 9, 2020</t>
  </si>
  <si>
    <t>Centro west, Sta. Teresita, Cagayan</t>
  </si>
  <si>
    <t>23 pcs white lauan lumber/flitches</t>
  </si>
  <si>
    <t>July 12, 2020</t>
  </si>
  <si>
    <t>Macanaya, Aparri, Cagayan</t>
  </si>
  <si>
    <t>Philippine coast guard personnel</t>
  </si>
  <si>
    <t>3 pcs pagatpat lumber/flitches</t>
  </si>
  <si>
    <t>July 16, 2020</t>
  </si>
  <si>
    <t>17 pcs red and white lauan</t>
  </si>
  <si>
    <t>EURO 150 with Kulongkulong</t>
  </si>
  <si>
    <t>July 17, 2020</t>
  </si>
  <si>
    <t>Villa Gracia, Buguey, Cagayan</t>
  </si>
  <si>
    <t>44 pcs CHW</t>
  </si>
  <si>
    <t>TMX black</t>
  </si>
  <si>
    <t>Casagan, Sta. Ana, Cagayan</t>
  </si>
  <si>
    <t>13 pcs Red lauan lumber</t>
  </si>
  <si>
    <t>So. Bubug, Sta. Clara, Sta. Ana, Cagayan</t>
  </si>
  <si>
    <t>19 pcs white and red lauan Lumber</t>
  </si>
  <si>
    <t>July 19, 2020</t>
  </si>
  <si>
    <t>20 1st Maritime of PNP Sta. Ana Personnel</t>
  </si>
  <si>
    <t>3 pcs white lauan Lumber/flitches</t>
  </si>
  <si>
    <t>20 1st Maritime of PNP Sta. Ana compound</t>
  </si>
  <si>
    <t>So. Catungaoan, Buyun, Sta. Teresita, Cagayan</t>
  </si>
  <si>
    <t>16 pcs pacac lumber</t>
  </si>
  <si>
    <t xml:space="preserve">HONDA TMX </t>
  </si>
  <si>
    <t>Crim. Case was filed thru inquest proceedings on july 20, 2020 with Case No. II-15411 with docket no. NPS-II-02A-INQ-20G-00247</t>
  </si>
  <si>
    <t>July 21, 2020</t>
  </si>
  <si>
    <t>So. Paguluran, Sta. Clara, Sta. Ana, Cagayan</t>
  </si>
  <si>
    <t>Philippine Navy of Sta. Ana Personnel</t>
  </si>
  <si>
    <t>51 pcs Red lumber</t>
  </si>
  <si>
    <t>Philippine Navy Station, Sta. Ana Station</t>
  </si>
  <si>
    <t>July 22, 2020</t>
  </si>
  <si>
    <t>Purok 2, Brgy. Sta. Clara, Gonzaga, Cagayan</t>
  </si>
  <si>
    <t>CENRO Aparri and Marine Batallion Landing team10</t>
  </si>
  <si>
    <t>68 pcs Red Lauan Lumber</t>
  </si>
  <si>
    <t>July 24, 2020</t>
  </si>
  <si>
    <t>So. Balena, San Mariano, Lallo, Cagayan</t>
  </si>
  <si>
    <t>17 sack charcoal lesser used species</t>
  </si>
  <si>
    <t>Crim. Case was filed thru inquest proceeding on july 25, 2020 w/ crim case no. II-15420</t>
  </si>
  <si>
    <t>July 25, 2020</t>
  </si>
  <si>
    <t>Fuso Canter truck RKG 132</t>
  </si>
  <si>
    <t>Crim Case No. II-15421 w/ docketed no. NPS II-INQ-206-00253 was filed thru inquest proceedings on july 27, 2020. Admin proceeding was conducted on August 19, 2020. Confiscated in favor of the government dated December 7, 2021. Motion for Reconsideration was denied per Order dated May 4, 2022</t>
  </si>
  <si>
    <t>July 28, 2020</t>
  </si>
  <si>
    <t>General Batalla, Camalaniugan, Cagayan</t>
  </si>
  <si>
    <t>8 pcs Gmelina Lumbers</t>
  </si>
  <si>
    <t>PNP Camalaniugan Compoud</t>
  </si>
  <si>
    <t>Patuningan, Sta. Ana, Cagayan</t>
  </si>
  <si>
    <t>11 pcs Kamagong and red lauan Lumber</t>
  </si>
  <si>
    <t>Naval base Compound</t>
  </si>
  <si>
    <t>July 29, 2020</t>
  </si>
  <si>
    <t>So. Limbus, Rapuli, Sta. Ana, Cagayan</t>
  </si>
  <si>
    <t>12 pcs Red Lauan Lumber</t>
  </si>
  <si>
    <t>1 unit motorize Bangka MB cedrick</t>
  </si>
  <si>
    <t>August 1, 2020</t>
  </si>
  <si>
    <t>Alucao, Sta. Teresita, Cagayan</t>
  </si>
  <si>
    <t>50 pcs White Lauan Lumber</t>
  </si>
  <si>
    <t>1 unit rusi 125 kulongkulong</t>
  </si>
  <si>
    <t>January 8, 2018/ Annayatan, Baggao, Cagayan</t>
  </si>
  <si>
    <t xml:space="preserve"> (Tamaraw FX w/ Plate No. ECM-888)</t>
  </si>
  <si>
    <t>8 pcs White Lauan Lumber</t>
  </si>
  <si>
    <t>kawasaki barako w/ kulong kulong UT 8516</t>
  </si>
  <si>
    <t>August 2, 2020</t>
  </si>
  <si>
    <t>dalupang, San Vicente, Sta. Ana, Cagayan</t>
  </si>
  <si>
    <t>49 pcs CHW Lumber</t>
  </si>
  <si>
    <t>Coast Guard compound</t>
  </si>
  <si>
    <t>August 5, 2020</t>
  </si>
  <si>
    <t>Sitio Tapuakan, Brgy. Dagupan, Lallo, Cagayan</t>
  </si>
  <si>
    <t>219 assorted sized Red and White Lauan lumber/flitches</t>
  </si>
  <si>
    <t>CENRO Compound/ Margie Calata</t>
  </si>
  <si>
    <t>PNP Baggao</t>
  </si>
  <si>
    <t>August 8, 2020</t>
  </si>
  <si>
    <t>The admin proceeding will be scheduled on January 30, 2017. Criminal case was filed at the Provincial Prosecutors Office Carig, Tuguegarao City docketed under NPS II-02-INQ-18A-00181. Confiscated in favor of the government dated January 24, 2020. With Order of Finality received on Sept. 11, 2024</t>
  </si>
  <si>
    <t>63 pcs Red Lauan Lumber</t>
  </si>
  <si>
    <t>January 24, 2018/ Annayatan, Baggao, Cag.</t>
  </si>
  <si>
    <t xml:space="preserve"> (L300 van w/ Plate No. THZ-956)</t>
  </si>
  <si>
    <t>Langaoan Point, Palaui Island, San Vicente, Sta. Ana, Cagayan</t>
  </si>
  <si>
    <t>34 pcs Red Lauan and Palosapis</t>
  </si>
  <si>
    <t>Criminal case was filed at the Provincial Prosecutors Office Carig, Tuguegarao City . Confiscated in favor of the government dated August 22, 2019. Confiscated in favor of the government dated August 22, 2019. With Order of Finality received on Sept. 12, 2024</t>
  </si>
  <si>
    <t>Philippine coast guard compound</t>
  </si>
  <si>
    <t>February 17, 2018/ San Francisco, Baggao, Cag.</t>
  </si>
  <si>
    <t>August 9, 2020</t>
  </si>
  <si>
    <t xml:space="preserve"> (2 kuliglig and Center Car w/ Plate No. QH-3568)</t>
  </si>
  <si>
    <t>So. Bote, Brgy. Naddungan, Gattaran, Cagayan</t>
  </si>
  <si>
    <t>CENRO Aparri and PNP Gattaran Personnel</t>
  </si>
  <si>
    <t>117 pcs red lauan lumber and flitches</t>
  </si>
  <si>
    <t>August 19, 2020</t>
  </si>
  <si>
    <t>Brgy. Aridawen, Sta. Teresita, Cagayan</t>
  </si>
  <si>
    <t>28 pcs Red and White Lauan Lumber and Flitches</t>
  </si>
  <si>
    <t>CALENDAR YEAR 2021</t>
  </si>
  <si>
    <t>under Administrative Proceedings Efren Taloza</t>
  </si>
  <si>
    <t>30 pcs Red and White Lauan Lumber and Flitches</t>
  </si>
  <si>
    <t>1 chainsaw and 1 circular saw</t>
  </si>
  <si>
    <t>August 24, 2020</t>
  </si>
  <si>
    <t xml:space="preserve">4 pcs Red and White Lauan Lumber and Flitches </t>
  </si>
  <si>
    <t>under Administrative Proceedings Dominador A. Basques</t>
  </si>
  <si>
    <t>August 30, 2020</t>
  </si>
  <si>
    <t>12 pcs Gmelina Lumber/Flitches</t>
  </si>
  <si>
    <t>Crim Case was filed on September 1, 2020 with crim no. II-15461 against Leopoldo Ballesteros. CONFISCATED in favor of the government dated March 25, 2021</t>
  </si>
  <si>
    <t>February 21, 2018/ Amulung, Cagayan</t>
  </si>
  <si>
    <t>September 3, 2020</t>
  </si>
  <si>
    <t>So. Manit, Sta. Clara, Cagayan</t>
  </si>
  <si>
    <t>32 pcs red lauan lumber</t>
  </si>
  <si>
    <t>No permit to transport (Toyota Hi-Ace van w/ Plate No. WGP-263)</t>
  </si>
  <si>
    <t>September 5, 2020</t>
  </si>
  <si>
    <t>Sitio Dalupang, San Vincente, Sta. Ana, Cagayan</t>
  </si>
  <si>
    <t>31 pcs Narra and Gmelina Lumbers</t>
  </si>
  <si>
    <t>UV Van Delica  BDA-752</t>
  </si>
  <si>
    <t>September 6, 2020</t>
  </si>
  <si>
    <t>Centro Norte, Camalaniugan, Cagayan</t>
  </si>
  <si>
    <t>4 pcs Bugayong, Antipolo and Siitan</t>
  </si>
  <si>
    <t>Motorized Bangka</t>
  </si>
  <si>
    <t>September 8, 2020</t>
  </si>
  <si>
    <t>Bessang, Allacapan, Cagayan</t>
  </si>
  <si>
    <t>Purok 4, San Jose, Gonzaga, cagayan</t>
  </si>
  <si>
    <t>CONSOLIDATED ANNUAL APPREHENDED, SEIZED AND CONFISCATED FOREST PRODUCTS, CONVEYANCES AND TOOLS/EQUIPMENT</t>
  </si>
  <si>
    <t>6 pcs Narra Flitches/Lumber</t>
  </si>
  <si>
    <t>1 unit stihl Chainsaw</t>
  </si>
  <si>
    <t>October 14, 2020</t>
  </si>
  <si>
    <t>Tangatan, Sta. Ana, Cagayan</t>
  </si>
  <si>
    <t>7 pcs CHW Lumber</t>
  </si>
  <si>
    <t>1 unit motorcycle w/ Kulong Kulong</t>
  </si>
  <si>
    <t>CALENDAR YEAR 2022</t>
  </si>
  <si>
    <t>November 25, 2020</t>
  </si>
  <si>
    <t>Centro, Sta. Ana, Cagayan</t>
  </si>
  <si>
    <t>November 28, 2020</t>
  </si>
  <si>
    <t>Gaddang, Aparri, Cagayan</t>
  </si>
  <si>
    <t>PNP Aparri personnel</t>
  </si>
  <si>
    <t>1 pcs round log red lauan</t>
  </si>
  <si>
    <t>1 chainsaw</t>
  </si>
  <si>
    <t xml:space="preserve">PNP Aparri station </t>
  </si>
  <si>
    <t>Conveyance/ Equipment</t>
  </si>
  <si>
    <t>3 CHW lumber</t>
  </si>
  <si>
    <t>Confiscated in favor of the government dated September 13, 2019. Ordered final and executory dated September 14, 2020</t>
  </si>
  <si>
    <t>February 23, 2018/ Piggatan, Alcala, Cag.</t>
  </si>
  <si>
    <t xml:space="preserve"> (Kulong-kulong no plate )</t>
  </si>
  <si>
    <t>firewood</t>
  </si>
  <si>
    <t>CONFISCATED IN FAVOR OF THE GOVERNMENT DATED FEBRUARY 14,2023</t>
  </si>
  <si>
    <t>The administrative confiscation proceedings were conducted last March  19 and May 28, 2018. Both the conveyances and its load were ordered confiscated in favor of the government dated Januari 6, 2021</t>
  </si>
  <si>
    <t>No permit to transport (Center Car)</t>
  </si>
  <si>
    <t>March 8, 2018/ Piggatan, Alcala, Cag.</t>
  </si>
  <si>
    <t>Barangay Kagawad Bernardo Jove</t>
  </si>
  <si>
    <t>PNP Alcala, PNREO</t>
  </si>
  <si>
    <t>Submitted trhu fax message dated March 9, 2018</t>
  </si>
  <si>
    <t>March 26, 2018/ San Francisco, Baggao, Cagayan</t>
  </si>
  <si>
    <t>No permit to transport (Center Car Honda TMX 155 (Red) w/ Plate No.BM-8726</t>
  </si>
  <si>
    <t>Submitted trhu fax message dated March 27, 2018</t>
  </si>
  <si>
    <t>No permit to transport (Center Car Honda TMX 155 (black) w/ Plate No.BM-4042</t>
  </si>
  <si>
    <t>No permit to transport (kulong-kulong Honda TMX 155 (black) w/ Plate No.BVE-4738</t>
  </si>
  <si>
    <t>The admin proceeding was conducted 6 times. Result was already forwarded to the Regional Office for resolution</t>
  </si>
  <si>
    <t>April 18, 2018/ San Miguel, Baggao, cag.</t>
  </si>
  <si>
    <t>The accused Mr. Edgar Viloria and Froilan Tumaneng pleaded guilty per order issued by Jezarene Aquino. CONFISCATION ORDER dated October 1, 2020. Ordered final and executoy  dated November 12, 2021</t>
  </si>
  <si>
    <t>April 1, 2018/Tallang, Baggao, Cag.</t>
  </si>
  <si>
    <t>March 6, 2020</t>
  </si>
  <si>
    <t>Dodan, Peñablanca, Cag.</t>
  </si>
  <si>
    <t>62 pcs. Lumbers</t>
  </si>
  <si>
    <t>1 unit van</t>
  </si>
  <si>
    <t>No permit to transport (Kulong-kulong, black)</t>
  </si>
  <si>
    <t>The respondent is Rogelio Bayota. A case was filed docketed under No. II-2-INQ-180-00036</t>
  </si>
  <si>
    <t>(Kulong-kulong, orange no plate )</t>
  </si>
  <si>
    <t>The respondent is Fernando Lazo, Sr. et.al. A case was filed docketed under NPS No. II-2-INQ-180-00036</t>
  </si>
  <si>
    <t xml:space="preserve"> (Kulong-kulong, blue no plate )</t>
  </si>
  <si>
    <t>The respondent is Neftalie Antonio. A case was filed docketed under NPS No. 11-2-INQ-180-00036</t>
  </si>
  <si>
    <t>No permit to transport (Kulong-kulong, blue)</t>
  </si>
  <si>
    <t>The respondent is Marvin Pascual. A case was filed docketed under NPS No. 11-2-INQ-18A-00181</t>
  </si>
  <si>
    <t>April 12, 2018/ So. Manuli, Bitag Grande, Baggao, Cagayan</t>
  </si>
  <si>
    <t>BLGU San Jose, Baggao, Cagayan</t>
  </si>
  <si>
    <t>Result of ACP forwarded to RO dated May 20, 2022</t>
  </si>
  <si>
    <t>April 21, 2018/ So. Mindayan, Sta. Margarita</t>
  </si>
  <si>
    <t>Under admin adjudication proceedings</t>
  </si>
  <si>
    <t>April 23, 2018/ So. Daligadig, Sta. Margarita</t>
  </si>
  <si>
    <t>April 25, 2018/ So. Kalamansi, Bitag Remus, Baggao, Cag.</t>
  </si>
  <si>
    <t>Kulong-kulong no plate )</t>
  </si>
  <si>
    <t>7 pcs. CHW lumbers</t>
  </si>
  <si>
    <t>The criminal case was filed by PNP Baggao. Motion to Release the Conveyance was issued by the PPO dated July 25, 2018 dismissing the criminal complaint filed against Mr. Marcelo Vuelta, Jr.</t>
  </si>
  <si>
    <t>Value</t>
  </si>
  <si>
    <t>May 8, 2018/ Kalamansi ,Bitag Ramus , Baggao, Cagayan</t>
  </si>
  <si>
    <t xml:space="preserve">kulong-kulong Honda TMX 155 (RED),  No Plate </t>
  </si>
  <si>
    <t xml:space="preserve">16 PCS. CHW Lumber </t>
  </si>
  <si>
    <t>Confiscated in favor of the government dated December 9, 2019. Ordered final and executory dated September 14, 2020</t>
  </si>
  <si>
    <t>May 08, 2018/ So. Banal, Dalaoig, Alcala, Cag.</t>
  </si>
  <si>
    <t xml:space="preserve">CHW Lumber </t>
  </si>
  <si>
    <t>So. Santor, Minanga, Peñablanca, Cagayan</t>
  </si>
  <si>
    <t>Police Intelligence unit of CPPO and PNP Peñablanca, Cag.</t>
  </si>
  <si>
    <t>319 pcs. CHW lumbers/ flitches</t>
  </si>
  <si>
    <t>CONFISCATED in favor of the government dated June 11, 2020. Ordered final and executory dated October 26, 2020. Donate to Cagayan Police Provincial Office, Tuguegarao City.</t>
  </si>
  <si>
    <t>June 7, 2020</t>
  </si>
  <si>
    <t>2020 apprehension report not included on the submitted Annual Report CY 2020</t>
  </si>
  <si>
    <t>May 16,2018/ So. Daligadig, Sta. Margarita, Baggao, Cag.</t>
  </si>
  <si>
    <t>Kaingin area of 2.0 has. And 1 unit chainsaw and 1 bolo</t>
  </si>
  <si>
    <t>Submitted thru fax message dated may 17, 2018</t>
  </si>
  <si>
    <t>June 19, 2018/ Asinga Via, Baggao, Cagayan</t>
  </si>
  <si>
    <t>( Euro 150 Kulong-kulong, blue no plate )</t>
  </si>
  <si>
    <t>3 pcs. Narra lumbers</t>
  </si>
  <si>
    <t>A case was filed at PPO Tuguegarao docketed under NPS No. II-02-INV-18G-00188 and Criminal Case No. 20045. The accussed Mr. Edwin Tumaneng pleaded guilty per judgement dated February 8, 2019 issued by Judge Jezarene Aquino. Result of ACP forwarded to RO dated April 27, 2022</t>
  </si>
  <si>
    <t>June 19, 2018/Hacienda Intal, Baggao, Cag.</t>
  </si>
  <si>
    <t xml:space="preserve"> ( kuliglig no plate )</t>
  </si>
  <si>
    <t>25 pcs. CHW lumbers</t>
  </si>
  <si>
    <t>Sitio Baguio point, Lapi, Peñablanca, Cagayan</t>
  </si>
  <si>
    <t xml:space="preserve"> ( Euro 150 Kulong-kulong, Red no plate )</t>
  </si>
  <si>
    <t>June 20, 2018/ Baybayog, Alcala, Cag.</t>
  </si>
  <si>
    <t xml:space="preserve"> ( MB Van no plaste )</t>
  </si>
  <si>
    <t>19 pcs. Narra lumbers</t>
  </si>
  <si>
    <t>July 23, 2018/Daligadig, Sta. Margarita, Baggao, Cag.</t>
  </si>
  <si>
    <t>Cases filed</t>
  </si>
  <si>
    <t>PENRO sub-office and Baguio Point Upland Farmers and Forest Protector Association (BPUFFPA) Personnel</t>
  </si>
  <si>
    <t>79 pcs CHW Lumber</t>
  </si>
  <si>
    <t>53 CHW</t>
  </si>
  <si>
    <t>With Order of Finality received on Nov. 12, 2024 with Docket No. R2-ED-2020-0135 promulgated on Dec. 03, 2020.</t>
  </si>
  <si>
    <t>July 28, 2018/Tallang, Baggao, Cag.</t>
  </si>
  <si>
    <t>(Hyundai Van  WTD-282)</t>
  </si>
  <si>
    <t>Narra flitches</t>
  </si>
  <si>
    <t>Submitted thru fax message dated July 23, 2018. Under admin adjudication proceedings</t>
  </si>
  <si>
    <t>July 26, 2018/Zone 7, Imurung, Baggao, Cagayan</t>
  </si>
  <si>
    <t>Administrative Confiscation proceeding  scheduled hearing on July 28, 2020 9:00 am at DENR PENRO Cagayan</t>
  </si>
  <si>
    <t>Sitio Nangalisan, Sta. Clara,Gonzaga, Cag.</t>
  </si>
  <si>
    <t>Order of Resolution received on July 18, 2024 promulgated on June 26, 2024 with a Docket No. R2-ED-2024-00135.
Order of Finality received on Oct. 15, 2024 with Docket No. R2-ED-2024-0135 promulgated on June 26, 2024</t>
  </si>
  <si>
    <t>June 28, 2020</t>
  </si>
  <si>
    <t>Callao Cave, Peñablanca, Cagayan</t>
  </si>
  <si>
    <t>291 pcs CHW lumber</t>
  </si>
  <si>
    <t>Under Admin proceedings</t>
  </si>
  <si>
    <t>September 15, 2020</t>
  </si>
  <si>
    <t>Confiscated in favor of the government dated March 10, 2020. Ordered final and executory dated March 1, 2021</t>
  </si>
  <si>
    <t>15 pcs assorted sizes of CHW</t>
  </si>
  <si>
    <t>Order of Finality received on October 15, 2024 with Docket No. R2-ED-2024-0040 promulgated on July 08, 2024</t>
  </si>
  <si>
    <t>(Rusi Kulong-kulong, Red no plate )</t>
  </si>
  <si>
    <t>11 CHW lumbers and 4 pcs. Kamagong lumbers</t>
  </si>
  <si>
    <t>t (Rusi Kulong-kulong w/ plate No. 8161-OW, Blue)</t>
  </si>
  <si>
    <t>12 CHW lumbers</t>
  </si>
  <si>
    <t>Confiscated in favor of the government dated September 28, 2020. Ordered final and executory per memo recieved dated November 26, 2021</t>
  </si>
  <si>
    <t>August 3, 2018/ Asinga Via, Baggao, Cagayan</t>
  </si>
  <si>
    <t>CENRO Personnel and Philippine Marines</t>
  </si>
  <si>
    <t>2021 apprehension report not included on the submitted Annual Report CY 2021</t>
  </si>
  <si>
    <t>(Isuzu Forward Mint Green w/ Plate No. RDT-372)</t>
  </si>
  <si>
    <t>Tanguile and Gmelina lumbers</t>
  </si>
  <si>
    <t>74 pcs. Red Lauan lumber</t>
  </si>
  <si>
    <t>September 10, 2018/ Zone 4, Catugay, Baggao, Cagayan</t>
  </si>
  <si>
    <t>No permit to transport e No. BBM -691 )</t>
  </si>
  <si>
    <t>86 Tanguile lumbers</t>
  </si>
  <si>
    <t>For admin confiscation proceedings</t>
  </si>
  <si>
    <t>Under admin adjudication proceedings Confiscation ORDER dated September 9, 2020. Ordered final and executory per memo recieved dated November 26, 2021</t>
  </si>
  <si>
    <t>November 7, 2018/ Daligadig, Sta. Margarita, Baggao, Cag.</t>
  </si>
  <si>
    <t>June 12, 2021</t>
  </si>
  <si>
    <t>Piña Este, Gattaran, Cagayan</t>
  </si>
  <si>
    <t>PNP elements of Gattaran</t>
  </si>
  <si>
    <t>(PUJ w/ no plate # )</t>
  </si>
  <si>
    <t>77 White Lauan lumber</t>
  </si>
  <si>
    <t>26 pcs. Red Lauan lumbers</t>
  </si>
  <si>
    <t>Notice of Issuance of Order received on July 15, 2026 with docket number R2-ED-2020-0161 promulgated on May 25, 2026</t>
  </si>
  <si>
    <t>(Kulong-kulong no plate  )</t>
  </si>
  <si>
    <t>2 pcs. Banyakaw lumbers</t>
  </si>
  <si>
    <t>Issuance of Order received on May 11, 2026 and promulgated on April 28, 2026 with docket number R2-ED-2023-0309</t>
  </si>
  <si>
    <t xml:space="preserve">November 20, 2018/Angkiray, Amulung, Cag. </t>
  </si>
  <si>
    <t>(PUJ w/ plate # BBS-385)</t>
  </si>
  <si>
    <t>58 pcs. Red Lauan lumbers</t>
  </si>
  <si>
    <t>The admin proceeding was already conducted, however the respondent prefer to submit their sowrn statement Confiscation Order dated August 24, 2020. Ordered final and executory per memo recieved November 26, 2021</t>
  </si>
  <si>
    <t>December 4, 2020</t>
  </si>
  <si>
    <t>Fuso Forward Truck w/ Plate No. RGD-412</t>
  </si>
  <si>
    <t>So. Bigok, Alucao, Sta. Teresita, Cag.</t>
  </si>
  <si>
    <t>PNP Sta. Teresita</t>
  </si>
  <si>
    <t>September 25, 2019</t>
  </si>
  <si>
    <t>San Miguel, Baggao, Cagayan</t>
  </si>
  <si>
    <t>January 11, 2018/ Green Hills Western Solana, Cagayan</t>
  </si>
  <si>
    <t>The ACP conducted on September 7, 2021,. Forwarded to RO June 9, 2022</t>
  </si>
  <si>
    <t>The identified offender is Calixto Lam-ong Cusat, Jr.</t>
  </si>
  <si>
    <t>7 Mangachapui lumber</t>
  </si>
  <si>
    <t>40 pcs. CHW lumbers</t>
  </si>
  <si>
    <t>Sta. Clara, Gonzaga</t>
  </si>
  <si>
    <t>34 pcs. Red Lauan and Binuang lumber</t>
  </si>
  <si>
    <t>one (1) unit chainsaw</t>
  </si>
  <si>
    <t>The identified offender is George Saliganan and Marvin Omotoy</t>
  </si>
  <si>
    <t>December 5, 2020</t>
  </si>
  <si>
    <t>MENRO Allacapan</t>
  </si>
  <si>
    <t>12 pcs. Antipoloand Malapapaya round post and flitches</t>
  </si>
  <si>
    <t>December 7, 2020</t>
  </si>
  <si>
    <t>Maluyo, Allacapan, Cag.</t>
  </si>
  <si>
    <t>PNP Allacapan and MENRO Allacapan</t>
  </si>
  <si>
    <t>106 pcs. Labting lumber</t>
  </si>
  <si>
    <t>A case was filed against Michael Collado at PPO Aparri docketed under NPS No.. II-02B-INV-020L-00384</t>
  </si>
  <si>
    <t>December 9, 2020</t>
  </si>
  <si>
    <t>So. Kimmallogong, Magrafil, Gonzaga, Cag.</t>
  </si>
  <si>
    <t xml:space="preserve">1 UNIT Honda Wave 100 (black) w/out Plate No. </t>
  </si>
  <si>
    <t>4 pcs. Red Lauan flitches</t>
  </si>
  <si>
    <t>CENR Office &amp; MENR Office</t>
  </si>
  <si>
    <t>A case was filed against Edwin Carpio at PPO Aparri docketed under NPS No.. II-02a-INQ-20L-00426</t>
  </si>
  <si>
    <t>78 pcs. Red Lauan</t>
  </si>
  <si>
    <t>A case was filed against Joel Pataray at PPO Aparri docketed under NPS No.. II-02a-INQ-20L-00425</t>
  </si>
  <si>
    <t>The conveyance was turned-over at CENRO Alcala while the forest products were held in custody of MENRO Baggao. Submitted thru fax dated January 13, 2020</t>
  </si>
  <si>
    <t>December 14, 2020</t>
  </si>
  <si>
    <t>Villa Cielo, Buguey, Cag.</t>
  </si>
  <si>
    <t>136 pcs. Red Lauan, Narra and Guijo lumber</t>
  </si>
  <si>
    <t>three (3) units chainsaw</t>
  </si>
  <si>
    <t>A case was filed against Danilo Bautista, Sr. Danilo Bautista, Jr. Romer Gorospe docketed under NPS No. II-02a-INQ-20L-00431 and violation of RA 9147 docketed under NPS No.. 02a-INQ-20L-00432</t>
  </si>
  <si>
    <t>December 15, 2020</t>
  </si>
  <si>
    <t>34 pcs. Red Lauan and White Lauan lumber</t>
  </si>
  <si>
    <t>December14, 2019</t>
  </si>
  <si>
    <t>PA Palao Patrol Based Western Solana, Cag.</t>
  </si>
  <si>
    <t>The admin. Confiscation proceedings was conducted last February 20, 2018. Confiscated in favor of the government dated July 3, 2018. Utilized for the construction of mnitoring chackpoint at CENRO Solana. Order of FINALITY dated November 4, 2020</t>
  </si>
  <si>
    <t>June 15, 2018/ Callasitan, Sto. Niño, Cagayan</t>
  </si>
  <si>
    <t>22 pcs Red Lauan flitches</t>
  </si>
  <si>
    <t>1303.16 bd.ft.</t>
  </si>
  <si>
    <t>With Order of Resolution received on May 22, 2024 promulgated on March 04, 2024 with Docket No. R2-ED-2024-0095.
With Order of Finality received on Oct. 15, 2024 with Docket No. R2-ED-2024-0095 promulgated on March 04, 2024.</t>
  </si>
  <si>
    <t>June 26, 2018/Calasitan, Sto. Niño, Cag.</t>
  </si>
  <si>
    <t>December 17, 2020</t>
  </si>
  <si>
    <t>22 pcs. CHW lumbers</t>
  </si>
  <si>
    <t>So. Daligadig, Sta. Margarita, Baggao, Cagayan</t>
  </si>
  <si>
    <t>Luga, Sta. Teresita, Cag.</t>
  </si>
  <si>
    <t>42 pcs Red lauan</t>
  </si>
  <si>
    <t>A case was filed against Nelson Magno. The admin proceeding was conducted on August 7, 2018 and September 20, 2018 and forwarded to RO per Indorsement dated January 23, 2020</t>
  </si>
  <si>
    <t>September 7, 2018/ Lanna, Solana, Cag.</t>
  </si>
  <si>
    <t>(Isuzu Forward w/ Plate No. MGF-730)</t>
  </si>
  <si>
    <t>226 pcs. Gmelina lumbers</t>
  </si>
  <si>
    <t>The admin proceeding was conducted on November 5, 2018. The respondents are Melicio Baguitan, Domingo Ranjo, Moises Malqued and Beny Galnayon. The 226 Gmelina lumber with a volume of 2,771.69 bd.ft. was ordered confiscated in favor of the government, however the Isuzu Forward Truck was ordered released in favor of the owner per order dated January 7, 2021.</t>
  </si>
  <si>
    <t>October 27, 2018/ Maguilling, Piat, Cag.</t>
  </si>
  <si>
    <t>kuliglig &amp; chainsaw)</t>
  </si>
  <si>
    <t>7 pcs. Gmelina flitches/lumber</t>
  </si>
  <si>
    <t>CENR Office</t>
  </si>
  <si>
    <t>November 1, 2018/ Maguirig, Solana, Cag.</t>
  </si>
  <si>
    <t>8 pcs. Gmelina lumbers</t>
  </si>
  <si>
    <t>November 5, 2018/ Maguirig, Solana, Cag.</t>
  </si>
  <si>
    <t>45 pcs. Gmelina lbrs.</t>
  </si>
  <si>
    <t>Brgy. Captain Maguirig, Solana, Cag.</t>
  </si>
  <si>
    <t>December 10, 2018/ Nangalisan, Solana, Cagayan</t>
  </si>
  <si>
    <t xml:space="preserve"> (Starex Van w/ Plate No. UUP-380)</t>
  </si>
  <si>
    <t>60 pcs. Red Lauan lumbers</t>
  </si>
  <si>
    <t>A criminal Case was already filed thru inquest proceedings confiscation order dated august 24, 2020. Ordered final and executory per memo recieved dated November 26, 2021</t>
  </si>
  <si>
    <t>CONFISCATED in favor of the government dated May 28, 2021</t>
  </si>
  <si>
    <t>December 15, 2019</t>
  </si>
  <si>
    <t>San Jose, Baggao, Cagayan</t>
  </si>
  <si>
    <t>Jomar Cabaro,   Libert Cabaro &amp; Jhun-Jhun Cabaro</t>
  </si>
  <si>
    <t>25 pcs CHW</t>
  </si>
  <si>
    <t>January 3, 2022</t>
  </si>
  <si>
    <t>MENRO LGU Baggao</t>
  </si>
  <si>
    <t>Case No. II-02-INV-19L-00351 against Jomar Cabaro, Libert Cabaro and Jhun-Jhun Cabaro. Result of ACP forwarded to RO per Memo dated May 19, 2022</t>
  </si>
  <si>
    <t xml:space="preserve">So. Katiwayan, Rapuli, Sta. Ana, Cag. </t>
  </si>
  <si>
    <t>PNP Maritime, MARPSTA, Sta. Ana, Cagayan and Gonzaga MPP, Gonzaga, Cagayan</t>
  </si>
  <si>
    <t>8 pcs. Round logs of Miscellaeous spp</t>
  </si>
  <si>
    <t>December 16, 2019</t>
  </si>
  <si>
    <t>Baybayog, Alcala, Cagayan</t>
  </si>
  <si>
    <t>Ambrosio Lopez Jr.</t>
  </si>
  <si>
    <t>2 sets Tokyo sala set &amp; 1 set dinning table (Gmelina)</t>
  </si>
  <si>
    <t>Isuzu Elf          MAJ 7847</t>
  </si>
  <si>
    <t>January 4, 2021 (5:30 pm)</t>
  </si>
  <si>
    <t>So. Turkia, Brgy. Cabiraoan, Gonzaga, Cagayan</t>
  </si>
  <si>
    <t>6 Red Lauan lumber</t>
  </si>
  <si>
    <t>PNP Station of Gonzaga</t>
  </si>
  <si>
    <t>A case was filed against Michael Mang-el docketed under Criminal Case No.. II-15617 and II-15618 FOR VIOLATION OF ra 9175 at PPO Aparri Cagayan</t>
  </si>
  <si>
    <t>January 4, 2021</t>
  </si>
  <si>
    <t>Purok 7, Sta. Clara, Cag.</t>
  </si>
  <si>
    <t>CENRO personnel and Philippine Marines</t>
  </si>
  <si>
    <t>Philippine Marines at San Vicente, Sta. Ana, Cag.</t>
  </si>
  <si>
    <t>Abandoned. Result of ACP already forwarded to RO</t>
  </si>
  <si>
    <t>January 10, 2021</t>
  </si>
  <si>
    <t>Sta. Maria, Gonzaga, Cag.</t>
  </si>
  <si>
    <t>10 pcs. Red and White Lauan flitches</t>
  </si>
  <si>
    <t>The identified offener is German Acierto</t>
  </si>
  <si>
    <t>January 14, 2021</t>
  </si>
  <si>
    <t>Baracaoit, Gattaran, Cag.</t>
  </si>
  <si>
    <t>15 pcs. Gmelina and Narra lumber</t>
  </si>
  <si>
    <t>For Resolution</t>
  </si>
  <si>
    <t>December 25, 2019</t>
  </si>
  <si>
    <t>The offender is Charito Dacanay. A case was filed under Criminal Case No. II-15650 for violation of PD 705 at PPO Aparri Cagayan</t>
  </si>
  <si>
    <t>Taguntungan, Baggao, Cagayan</t>
  </si>
  <si>
    <t>Andrew Wakat &amp; Marlex Astodillo</t>
  </si>
  <si>
    <t>January 20, 2021</t>
  </si>
  <si>
    <t>71 CHW</t>
  </si>
  <si>
    <t>Sta. Clara, Gonzaga, Cag.</t>
  </si>
  <si>
    <t>4 pcs. Red Lauan lumber</t>
  </si>
  <si>
    <t>The offenderr is Thelma Raquino</t>
  </si>
  <si>
    <t>January 21, 2021</t>
  </si>
  <si>
    <t>So. Lapigue, Isca, Gonzaga, Cag.</t>
  </si>
  <si>
    <t>32 pcs. Red Lauan lumber</t>
  </si>
  <si>
    <t>The offender is Eddie Lagaso</t>
  </si>
  <si>
    <t>PNP Maritime Station, Sta. Ana, Cagayan under the custody of Pat. Kevin Falla</t>
  </si>
  <si>
    <t>6 pcs. White and Red Lauan lumber/flitches</t>
  </si>
  <si>
    <t>The offender is Jojo Pagaran</t>
  </si>
  <si>
    <t>Janauary 27, 2021 (5:30 PM)</t>
  </si>
  <si>
    <t>1 unit assembled  chainsaw</t>
  </si>
  <si>
    <t>PNP Station, Sta. Teresita</t>
  </si>
  <si>
    <t>The identified offender is Rodelio Silos</t>
  </si>
  <si>
    <t>January 28, 2021 (10:30 PM)</t>
  </si>
  <si>
    <t>So. Laoc, Pateng, Gonzaga, Cag.</t>
  </si>
  <si>
    <t>7 pcs. CHW lumber</t>
  </si>
  <si>
    <t>The identified owner is Jerry Pintucan and Oscar Laoeng</t>
  </si>
  <si>
    <t>Janaury 28, 2021</t>
  </si>
  <si>
    <t>Case No. II-02-INV-19L-0000162 against Andrew Wakat and Marlex Astodillo</t>
  </si>
  <si>
    <t>December 30, 2019</t>
  </si>
  <si>
    <t>Sta.Margarita, Baggao, Cagaya</t>
  </si>
  <si>
    <t>ACP forwarded to RO per Memo  dated June 30, 2022. Subject for donation for the construction of public buildings damaged by typhoon Odette.Date Received February 17, 2025, date promulgated October 17, 2024 with docket no. R2-ED-2024-0041</t>
  </si>
  <si>
    <t>Romulo Cabildo</t>
  </si>
  <si>
    <t>March 1, 2018/Gattu, Pamplona, Cag.</t>
  </si>
  <si>
    <t>San Lorenzo, Lal-lo, Cag.</t>
  </si>
  <si>
    <t>20 pcs. Antipolo lumbers</t>
  </si>
  <si>
    <t>Isuzu Elf w/ Plate No. RHS-912</t>
  </si>
  <si>
    <t>The respondent are Harold Comador &amp; Ariel Miranda. CONFISCATED in favor of the government dated Decemer 7, 2021</t>
  </si>
  <si>
    <t>Janaury 30, 2021 (11:20 am)</t>
  </si>
  <si>
    <t>4 pcs Narra</t>
  </si>
  <si>
    <t>So. Racat, Rapuli, Sta. Ana, Cag.</t>
  </si>
  <si>
    <t>SUZUKI X4</t>
  </si>
  <si>
    <t>31 pcs. White Lauan lumber</t>
  </si>
  <si>
    <t>25 CHW</t>
  </si>
  <si>
    <t>Confsicated in favor of the government dated June 4, 2021</t>
  </si>
  <si>
    <t>January 3, 2020</t>
  </si>
  <si>
    <t>(kulong-kulong Honda TMX 155 (black 0BVE-4738 (BD-74938)</t>
  </si>
  <si>
    <t>11 pcs. CHW lumbers</t>
  </si>
  <si>
    <t>The identified offender is Roger Torida</t>
  </si>
  <si>
    <t>January 30, 2021</t>
  </si>
  <si>
    <t>Masical, Baggao, Cagayan</t>
  </si>
  <si>
    <t>So. Buncag, Luga, Sta. Teresita, Cag.</t>
  </si>
  <si>
    <t>PNP Sta. Teresita, cag.</t>
  </si>
  <si>
    <t>3 pcs. White Zlauan flitches</t>
  </si>
  <si>
    <t>PNP Station Sta. Teresita</t>
  </si>
  <si>
    <t>The respondent is Juan Bannagao</t>
  </si>
  <si>
    <t>June 30, 2021</t>
  </si>
  <si>
    <t>So. Buncag, Luga, Sta. Ter5esita, Cag.</t>
  </si>
  <si>
    <t>3 pcs. White Lauan flitches</t>
  </si>
  <si>
    <t xml:space="preserve">74 pcs Gmelina </t>
  </si>
  <si>
    <t>The respondent is Jomar Rivera</t>
  </si>
  <si>
    <t>February 1, 2021 (5:00 pm)</t>
  </si>
  <si>
    <t>Tupang, Alcala, Cagayan</t>
  </si>
  <si>
    <t>San Jose, Gonzaga, Cag.</t>
  </si>
  <si>
    <t>Edienor Garcia &amp; Joey Corpuz</t>
  </si>
  <si>
    <t>13 pcs Anatipolo</t>
  </si>
  <si>
    <t>7 pcs. Red and White Lauan flitches</t>
  </si>
  <si>
    <t>Rusi 150 RED</t>
  </si>
  <si>
    <t>February 2, 2021</t>
  </si>
  <si>
    <t>11 pcs. Narra lumbers &amp; 1 pc. Red Lauan lumber</t>
  </si>
  <si>
    <t>January 6, 2022</t>
  </si>
  <si>
    <t>PNP Station, Sta. Ana</t>
  </si>
  <si>
    <t>Sitio Intik, Kapanikian, Sta. Ana, Cagayan</t>
  </si>
  <si>
    <t>The respondent are Jerry Javier, Manalito Rayaoan, Ronald Viernes &amp; Domingo Pascual</t>
  </si>
  <si>
    <t xml:space="preserve">PNP Maritime, MARPSTA, Sta. Ana, Cagayan </t>
  </si>
  <si>
    <t>9 PCS. Red Lauan lumber</t>
  </si>
  <si>
    <t>February 5, 2021</t>
  </si>
  <si>
    <t>Sta. Isabel, Buguey, cagayan</t>
  </si>
  <si>
    <t>PENRO, CENRO Aparri, PNREO LGU Cagayan &amp; Phil Army based at Burubur, Magapit, Lal-l, Cag.</t>
  </si>
  <si>
    <t>21 pcs. Red Lauan flitches</t>
  </si>
  <si>
    <t>1 unit motorcycle (black Honda 155) with kulong-kulong</t>
  </si>
  <si>
    <t>PNREO Sub-Station, San Mariano, Lal-lo, Cag.</t>
  </si>
  <si>
    <t>February 6, 2021</t>
  </si>
  <si>
    <t>San Lorenzo, Buguey, Cag.</t>
  </si>
  <si>
    <t>ACP forwarded to RO per Memo  dated June 30, 2022. The respondent is Robert Grajo</t>
  </si>
  <si>
    <t>8 pcs. Narra lumber</t>
  </si>
  <si>
    <t>Euro 150 with kulong-kulong w/ plate No. 5589</t>
  </si>
  <si>
    <t>Alcala Police Station with lumber</t>
  </si>
  <si>
    <t>Case No. NPS-DOC-NO-INQ-20A-0005 filed against Edienor Garcia and Joey Corpuz</t>
  </si>
  <si>
    <t>Remus, Baggao, Cagayan</t>
  </si>
  <si>
    <t>The admin proceeding was conducted last May 10, 2018. Confiscated in favor of the government dated June 2, 2020. Ordered final and executory dated May 4, 2021</t>
  </si>
  <si>
    <t>PNP Station Buguey</t>
  </si>
  <si>
    <t>April 16, 2018/ Bagu, Pamplona, Cagayan</t>
  </si>
  <si>
    <t>The respondent is George Barcena</t>
  </si>
  <si>
    <t>February 8, 2021</t>
  </si>
  <si>
    <t>January 20, 2022</t>
  </si>
  <si>
    <t>Capagaran, Allacapan, Cagayan</t>
  </si>
  <si>
    <t>2 pcs. Narra lumber</t>
  </si>
  <si>
    <t>Michael Pascual</t>
  </si>
  <si>
    <t>Dungeg, Sta. Ana, cag.</t>
  </si>
  <si>
    <t>65 pcs. Red Lauan lumber</t>
  </si>
  <si>
    <t>PNP Station Sta. Ana</t>
  </si>
  <si>
    <t>The respondent are Relly Corpuz &amp; Rolly Corpuz</t>
  </si>
  <si>
    <t>February 11, 2021</t>
  </si>
  <si>
    <t>9 pcs. White Lauan lumber</t>
  </si>
  <si>
    <t>Honda TMX 125 w/ kulong-kulong</t>
  </si>
  <si>
    <t>The respondent is Henry Oliva</t>
  </si>
  <si>
    <t>The respondent is John Does</t>
  </si>
  <si>
    <t>47 pcs Narra</t>
  </si>
  <si>
    <t>February 12, 2021 at 10:01 am</t>
  </si>
  <si>
    <t>Barangay Patunungan, Sta. Ana, Cagayan</t>
  </si>
  <si>
    <t>102 pcs. Red Lauan lumber</t>
  </si>
  <si>
    <t>Philippine Marines compound at San Vicente, Sta. Ana, Cag.</t>
  </si>
  <si>
    <t>February 17, 2021</t>
  </si>
  <si>
    <t>Mitsubishi L300</t>
  </si>
  <si>
    <t>Sta. Clara, Sta. Ana, Cagayan</t>
  </si>
  <si>
    <t>CENRO Aparri &amp; Phil. Maritime Group based at Diora Zinungan, Sta. Ana, Cag.</t>
  </si>
  <si>
    <t>38 pcs. Red Lauan lumber</t>
  </si>
  <si>
    <t>Phil. Marines NBCO Compound, San Vicente, Sta. Ana, Cag.</t>
  </si>
  <si>
    <t>February 20, 2021</t>
  </si>
  <si>
    <t>So. Kalimpusa, Patunungan, Sta. Ana, Cag.</t>
  </si>
  <si>
    <t xml:space="preserve">CENRO Personnel and PNP Maritime Group based at Diora Zinungan, Sta. Ana, Cag. </t>
  </si>
  <si>
    <t>87 pcs. Red Lauan lumber</t>
  </si>
  <si>
    <t>So. Caniguin, Dungeg, Sta. Ana, Cag.</t>
  </si>
  <si>
    <t>PIU, PNP Sta. Ana and personnel of 4th MFP, PMFC, Casambalangan Patrol Base</t>
  </si>
  <si>
    <t>124 pcs. Narra, 12 pcs. Kamagong and 6 pcs. Red Lauan flitches/lumbers</t>
  </si>
  <si>
    <t>1 unit Rhinomee chainsaw</t>
  </si>
  <si>
    <t>MBLT-10 Compound, Naval Base Camilo Osias, San Vicente, Sta. Ana, Cagayan</t>
  </si>
  <si>
    <t xml:space="preserve">The respondents are Warlito Abiva, Johnny Damaso, Michael Gamay. A criminal case was filed docketed under Cirm Case No. II-15955 for violation of PD 705 and Crim. Case No. II-15954 for violation of RA 9175 at RTC </t>
  </si>
  <si>
    <t>February 24, 2021</t>
  </si>
  <si>
    <t>Patunungan, Sta. Ana, Cag.</t>
  </si>
  <si>
    <t>CENRO Personnel, element sof MBLT-10, San Vicente, Sta. Ana, Cag.</t>
  </si>
  <si>
    <t>PN-Marines (MBLT-10) NBCO Compound, San Vicente, Sta. Ana, Cag.</t>
  </si>
  <si>
    <t>ACP was conducted on April 12, 2022 and forwarded to RO per Memo dated June 9, 2022. The respondent is Moises Estibar</t>
  </si>
  <si>
    <t>February 26, 2021</t>
  </si>
  <si>
    <t>Batangan, Gonzaga, cag.</t>
  </si>
  <si>
    <t>PNP elements of Gonzaga</t>
  </si>
  <si>
    <t>1 pc. White Lauan Roun log</t>
  </si>
  <si>
    <t>PNP Station, Gonzaga</t>
  </si>
  <si>
    <t>The arespondents are Rene Flores, Ernesto Agno, Edimar Siababa, Florendo Flores, Florante Flores, Alexander Mata, Jeslestone Paino and Florimar Flores</t>
  </si>
  <si>
    <t>27 pcs. Gmelina lumber</t>
  </si>
  <si>
    <t>PNP elements of Lal-lo, Cagayan</t>
  </si>
  <si>
    <t>29 pcs. Gmelina lumbers</t>
  </si>
  <si>
    <t>Case No. II-02-INQ-20A-00006 filed against Michael Pascual. Confiscated in favor of the government dated November 17, 2021</t>
  </si>
  <si>
    <t>A criminal case was filed against Francisco Cuaresma, Virgilio Cuaresma, Loreto Rosendo, Vicente Dassun &amp; Gary Ursulum docketed under Crim. Case No. II-15707 at RTC on February 27, 2021. Result of ACP already forwarded to RO</t>
  </si>
  <si>
    <t>March 1, 2021</t>
  </si>
  <si>
    <t>So. Limbus, Rapuli, Sta. Ana, Cag.</t>
  </si>
  <si>
    <t>PNP elements of Sta. Ana</t>
  </si>
  <si>
    <t>57 pcs. Red Lauan lumbers</t>
  </si>
  <si>
    <t>The respondent is Lito Peralta</t>
  </si>
  <si>
    <t>Fabrica, Lal-lo, Cag.</t>
  </si>
  <si>
    <t>PNP elements of Lal-lo</t>
  </si>
  <si>
    <t>23 pcs. Gmelina lumber</t>
  </si>
  <si>
    <t>203rd RMFB Compound based in Magapit, Lal-lo, Cag.</t>
  </si>
  <si>
    <t>March 7, 2021</t>
  </si>
  <si>
    <t>Toran, Aparri, cagayan</t>
  </si>
  <si>
    <t>PNP elements of Aparri</t>
  </si>
  <si>
    <t>18 sacks charcoal</t>
  </si>
  <si>
    <t>1 unit Rusi with kulong-kulong &amp; 1 unit Euro with kulong-kulong</t>
  </si>
  <si>
    <t>2 pcs Kamagong</t>
  </si>
  <si>
    <t>PNP Station Aparri</t>
  </si>
  <si>
    <t>Renante Frayalde, Oliver Gomer, Severino Venture, Alvin Alvarez. A criminal case was filed against the respondent for violation of PD 705 at RTC on March 9, 2021 docketed under Crim. Case No. II-15735</t>
  </si>
  <si>
    <t>March 10, 2021</t>
  </si>
  <si>
    <t>So. Katiwayan, Rapuli, Sta. Ana, Cag.</t>
  </si>
  <si>
    <t>PNP Maritime Group based at Diora Zinungan, Sta. Ana, Cag.</t>
  </si>
  <si>
    <t>64 pcs. Red &amp; White Lauan lumber</t>
  </si>
  <si>
    <t>PNP Maritime Group Station, Diora, Zinungan, Sta. Ana, Cag.</t>
  </si>
  <si>
    <t>The respodents are Ronnie Perol &amp; Rolando Julian</t>
  </si>
  <si>
    <t>5 pcs. Guijo flitches &amp; 1 pc. Dita flitch</t>
  </si>
  <si>
    <t>PNP Station of Gattaran</t>
  </si>
  <si>
    <t>The respondets are Elimar Balino and Efraim Calimag &amp; Josie Pajas</t>
  </si>
  <si>
    <t>March 11, 2021</t>
  </si>
  <si>
    <t>Amunitan, Gonzaga, Cag.</t>
  </si>
  <si>
    <t>58 pcs. Red Lauan lumber</t>
  </si>
  <si>
    <t>1 unit Euro 150 with kulong-kulong &amp; 1 unit TMX with kulong-kulong</t>
  </si>
  <si>
    <t>PNP Station Gonzaga</t>
  </si>
  <si>
    <t>The respondents are Jonel Peralta, Jaime Franco, Bernie Manuel, Gerarld Puyaoan, Webster Rosal &amp; Limuel Antiola</t>
  </si>
  <si>
    <t>March 12, 2021</t>
  </si>
  <si>
    <t>Dalaya, Lal-lo, Cag.</t>
  </si>
  <si>
    <t>PNP elments of Lal-lo</t>
  </si>
  <si>
    <t>4 pcs. Gmelina lumbers and 9 pcs. Lubeg lumber</t>
  </si>
  <si>
    <t>PNP Station of Lal-lo, Cagayan under the custody of PCMS Gilbert Columna</t>
  </si>
  <si>
    <t>The respondents are Arnold Frogoso &amp; Rey Frogoso</t>
  </si>
  <si>
    <t>January 16, 2020</t>
  </si>
  <si>
    <t>Baybayog, Alcala, Cag.</t>
  </si>
  <si>
    <t>PNP element sof Maritime Group 201st at MARPSTA, Sta. Ana, Cag.</t>
  </si>
  <si>
    <t>PNP Alcala and CENRO Personnel</t>
  </si>
  <si>
    <t>2 Queen bed Red Lauan, 1 pc. Twin deck and 1 pc. Door jam</t>
  </si>
  <si>
    <t>1 unit KIA Pregio van w/ Plate No. UKU-135</t>
  </si>
  <si>
    <t>CENRO Alcala</t>
  </si>
  <si>
    <t>April 18, 2018/ Brgy. Mabnang, Claveria, Cag.</t>
  </si>
  <si>
    <t>No claimant (1 unit assembled chainsaw)</t>
  </si>
  <si>
    <t>Case No. II-02-INQ-20A-00013 The admin proceeding was conducted on February 18, 2020 and endorsed to Region on June 15, 2020. The driver Edgar Valencio and the registered owner Victoriano Tulauan. CONFISCATED dated October 1, 2020. Ordered final and executorydated November 12, 2021</t>
  </si>
  <si>
    <t>6 Narra lumbers</t>
  </si>
  <si>
    <t>PNP Maritime Group, Sta. Ana, Cag.</t>
  </si>
  <si>
    <t>A case was filed against Erwin Tabut for violation of PD 705 docketed under Crim. Case No. II-15746 and RA 9175 docketed under Crim Case No. II15747 at RTC Aparri, Cagayan</t>
  </si>
  <si>
    <t>March 24, 2021</t>
  </si>
  <si>
    <t>Jurisdiction, Lal-lo, Cag.</t>
  </si>
  <si>
    <t>5 pcs. Gmelina lumber</t>
  </si>
  <si>
    <t>PNP Station Lal-lo</t>
  </si>
  <si>
    <t>Under admin confiscation proceeding. The respondent is Mario Tabuzo</t>
  </si>
  <si>
    <t>General Batalla, Camalaniugan, Cag.</t>
  </si>
  <si>
    <t>PNP elements of Camalaniugan</t>
  </si>
  <si>
    <t>4 pcs. Narra lumber, 2 pcs. Antipolo lumber &amp; 5 pcs. Mahogany lumber</t>
  </si>
  <si>
    <t>The respondent is Jun A. Geronimo. A court decision was promulgated by Judge Conrado Tabaco at RTC Branch 9, Aparri, Cag. on July 8, 2021 that the forest products was confiscated in favor of the government. Result of ACP already forwarded to RO</t>
  </si>
  <si>
    <t>March 25, 2021</t>
  </si>
  <si>
    <t>Naddungan, Gattaran, Cagayan</t>
  </si>
  <si>
    <t>PNP elements Gattaran</t>
  </si>
  <si>
    <t>17 pcs. Balete lumber</t>
  </si>
  <si>
    <t>PNP Station Gattaran</t>
  </si>
  <si>
    <t>The identified owner is Elmer Pascual. A case was filed against the respondent at PPO Aparri, Cag. on March 31, 2021 docketed under NPS No. II-02a-INV-21C-00114</t>
  </si>
  <si>
    <t>February 19, 2021</t>
  </si>
  <si>
    <t>March 26, 2021</t>
  </si>
  <si>
    <t>Cabiraoan, Gonzaga, Cag.</t>
  </si>
  <si>
    <t>35 pcs. Himbabao</t>
  </si>
  <si>
    <t>A case was filed against Jessie Rodriguez &amp; Joefrey Bermodez at RTC Branch 9, Aparri, Cag. on March 27, 2021 docketed under NPS No. II-02a-INQ-21C-00100</t>
  </si>
  <si>
    <t>March 29, 2021</t>
  </si>
  <si>
    <t>Marede, Sta. Ana, Cag.</t>
  </si>
  <si>
    <t>PNP elements of Sta. Ana, Cag.</t>
  </si>
  <si>
    <t>1 unit motorcycle w/ kulong-kulong</t>
  </si>
  <si>
    <t>PNP Station Sta. Ana under the custody of Pat Sammy Arama</t>
  </si>
  <si>
    <t>The respondent is Celimar Viernes</t>
  </si>
  <si>
    <t>April 18, 2018/ Bagu, Pamplona, Cagayan</t>
  </si>
  <si>
    <t>5 pcs. CHW lumber</t>
  </si>
  <si>
    <t>May 8, 2018/ Culao, Claveria, Cag.</t>
  </si>
  <si>
    <t>2 Tanguile flitches</t>
  </si>
  <si>
    <t>The respondent is Artemio Baltazar. The ACP was conducted on May 10, 2022, result thereof was forwarded to RO per Memo dated July 11, 2022. A case was filed PPO Aparri, Cagayan docketed under NPS No. II-02a-INV-22A-00604. With Order of Finality received on Dec. 03, 2024 promulgated on June 05, 2023 with Docket No. R2-ED-2023-0084.</t>
  </si>
  <si>
    <t>May 9, 2018/ So. Lumeng, Bagu, Pamplona, Cag.</t>
  </si>
  <si>
    <t>46 CHW lumbers &amp; 2 Gmelina flitches</t>
  </si>
  <si>
    <t>June 27, 2018/Centro 1, Abulug, Cagayan</t>
  </si>
  <si>
    <t>No permit (1 kulong-kulong and 1 banca)</t>
  </si>
  <si>
    <t>CHW Lumber/ flitches</t>
  </si>
  <si>
    <t>PENR Office, Tuguegarao City</t>
  </si>
  <si>
    <t>Donated to Zonta Club, Tuguegarao City dated June 2021</t>
  </si>
  <si>
    <t>September 6, 2018/ Gattu, Pamplona, Cag.</t>
  </si>
  <si>
    <t>Tamban, Alcala, Cagayan</t>
  </si>
  <si>
    <t>Ramil Capili &amp; Jerwin Capili</t>
  </si>
  <si>
    <t>15 pcs Gmelina</t>
  </si>
  <si>
    <t>80 pcs. CHW lumbers</t>
  </si>
  <si>
    <t>Confiscated in favor of the government dated February 6, 2019. Ordered final and executory dated Feb. 22, 2021</t>
  </si>
  <si>
    <t>October 15, 2018/ Centro 1, Claveria, Cagayan</t>
  </si>
  <si>
    <t>14 Tanguile lumbers</t>
  </si>
  <si>
    <t>The respondents are Mr. Jovencio Saguid and Roger dela Cruz. Under admin proceedings</t>
  </si>
  <si>
    <t>Barangay Tamban and PNP Alcala</t>
  </si>
  <si>
    <t>The admin proceeding was conducted on August 4, 2021.CONFISCATED in favor of the government dated June 20, 2022</t>
  </si>
  <si>
    <t>February 4, 2020</t>
  </si>
  <si>
    <t>19 pcs. Tanguile lumbers</t>
  </si>
  <si>
    <t>November 2, 2018/ Capanikian Centro 2, Sanchez Mira, Cag.</t>
  </si>
  <si>
    <t>22 pcs. Tanguile lumbers</t>
  </si>
  <si>
    <t>Malanao, Lal-lo, Cag.</t>
  </si>
  <si>
    <t>January 23, 2022</t>
  </si>
  <si>
    <t>So. Malabbeg, Naguillian, Lal-lo, Cag.</t>
  </si>
  <si>
    <t>12 pcs. Dita lumber</t>
  </si>
  <si>
    <t>PNP Lal-lo/ PMSg Loreto Verzon, Jr.</t>
  </si>
  <si>
    <t>The respondent is Ramon Sacoco conducted Admi. Proceeding April 19-2022</t>
  </si>
  <si>
    <t>January 25, 2022</t>
  </si>
  <si>
    <t>SO. Nangalisan, Sta. Clara, Gonzaga, Cagayan</t>
  </si>
  <si>
    <t>So. Tueg, Bitag Grande, Baggao, Cagayan</t>
  </si>
  <si>
    <t>ACP was conducted on May 30, 2022 and forwarded to RO per Memo dated July 5, 2022. The respondents are John Lester Saliganan &amp; Manny Del T. Yatar. With Order of Finality received on Dec. 03, 2024 promulgated on June 05, 2023 with Docket No. R2-ED-2023-0086.</t>
  </si>
  <si>
    <t>February 3, 2022</t>
  </si>
  <si>
    <t>4 pcs Binunga/  Samak flitches</t>
  </si>
  <si>
    <t>ACP forwarded to RO per memo dated June 30, 2022. The respondent is Loreto Valdez. With Order of Finality received on Dec. 03, 2024 promulgated on July 31, 2023 with Docket No. R2-ED-2023-0168</t>
  </si>
  <si>
    <t>4 Samak lumber</t>
  </si>
  <si>
    <t>The respondent is Edimar Contillo. Result of ACP forwarded to RO dated June 30, 2022</t>
  </si>
  <si>
    <t>February 21, 2022</t>
  </si>
  <si>
    <t>1 unit motorcycle (Euro 150) with kulong-kulong)</t>
  </si>
  <si>
    <t>ACP forwarded to RO per Memo dated June 30, 2022</t>
  </si>
  <si>
    <t>February 28, 2022</t>
  </si>
  <si>
    <t>Paranum, Lal-lo, Cag.</t>
  </si>
  <si>
    <t>1 pc. Narra round log</t>
  </si>
  <si>
    <t>The respondents are Ian Jay Pelotin, Romeo Pelotin, Dominador Invierno, Sr. and Dominador Invierno, Jr.</t>
  </si>
  <si>
    <t>With Order of Finality received on August 3, 2026 with docket number R2-ED-2022-0004 promulgated on January 4, 2022</t>
  </si>
  <si>
    <t>March 10, 2022</t>
  </si>
  <si>
    <t>So. Batangan, Piña Este, Gattaran, Cag.</t>
  </si>
  <si>
    <t>4 pcs. CHW flitches</t>
  </si>
  <si>
    <t>1 unit STHIL Chainsaw</t>
  </si>
  <si>
    <t>ACP conducted on March 31 &amp; April 20, 2022 and forwarded to RO thru Memo dated July 5, 2022. With Order of Finality received on Dec. 03, 2024 promulgated on May 29,2023 with R2-ED-2023-0077</t>
  </si>
  <si>
    <t>April 6, 2021</t>
  </si>
  <si>
    <t>Cabanbanan Sur, Gonzaga, Cag.</t>
  </si>
  <si>
    <t>May 17, 2022</t>
  </si>
  <si>
    <t>So. Malasin, Casambalangan, Sta. Ana, Cag.</t>
  </si>
  <si>
    <t xml:space="preserve">52 pcs. White Lauan lumber </t>
  </si>
  <si>
    <t>10 pcs Red Lauan lumber</t>
  </si>
  <si>
    <t>1 unit L300 Mitsubishi w/ Plate No. NSO 349</t>
  </si>
  <si>
    <t>On April 23, 2021, resolution issued by PPO prepared by Atty. Francis Reyes, Investigation Prosecutor and was approved by Atty. Ronel Nicolas, Provincial Prosecutor stating that the complaint filed against Gerald Sioquin, Edmund Barreto &amp; Regina Vallejo was dismissed for lack of probable cause. The ACP forwarded to RO</t>
  </si>
  <si>
    <t>The respondent is Wilfredo Fragata. The ACP was conducted on June 13, 2022, result thereof was forwarded to RO per Memo dated July 11, 2022</t>
  </si>
  <si>
    <t>April 14, 2021</t>
  </si>
  <si>
    <t>Dagupan, Lal-lo, Cagayan</t>
  </si>
  <si>
    <t>July 14, 2022</t>
  </si>
  <si>
    <t>9 pcs. Red Lauan lumber</t>
  </si>
  <si>
    <t>1 unit Hand Tractor w/ Trailer (kuliglig)</t>
  </si>
  <si>
    <t>PNP Station of Lal-lo</t>
  </si>
  <si>
    <t>Submitted thru radmes dated March 4, 2020</t>
  </si>
  <si>
    <t>The identified owner is Lary B. Bacaycay and Jayson Bacaycay</t>
  </si>
  <si>
    <t>April 15, 2021</t>
  </si>
  <si>
    <t>So. Bagsang, Sta. Clara, Gonzaga, Cag.</t>
  </si>
  <si>
    <t>Under admin confiscation proceeding</t>
  </si>
  <si>
    <t>Smart, Gonzaga, Cag.</t>
  </si>
  <si>
    <t>3 pcs. Gmelina manufactured forest products</t>
  </si>
  <si>
    <t>1 unit Isuzu Sojen White w/ Plate No. MAD 985</t>
  </si>
  <si>
    <t>A case was filed against Gilbert Arcibal, Loreto Tablos, Dennis Irorita &amp; Roberto Tablos at PPO Aparri, Cag. on Apilr 16, 2021 docketed under NPS No. II-02a-INQ-21D-00128</t>
  </si>
  <si>
    <t>April 20, 2021</t>
  </si>
  <si>
    <t>Parada, Batu, Sta. Ana, Cag.</t>
  </si>
  <si>
    <t>1 unit Motorcycle Rusi 175) with kulong-kulong</t>
  </si>
  <si>
    <t>The identified offender is Rodel Samortin</t>
  </si>
  <si>
    <t>April 21, 2021</t>
  </si>
  <si>
    <t>Utan, Allacapan, Cagayan</t>
  </si>
  <si>
    <t>PNP elements of Allacapan, Cagayan</t>
  </si>
  <si>
    <t>9 pcs. Miscellanous species flitches</t>
  </si>
  <si>
    <t>PNP Station Allacapan</t>
  </si>
  <si>
    <t>The identified offender is Wilfredo Salem</t>
  </si>
  <si>
    <t>April 23, 2021</t>
  </si>
  <si>
    <t>Magrafil, Gonzaga, Cagayan</t>
  </si>
  <si>
    <t>2 pcs. Red Lauan flitches</t>
  </si>
  <si>
    <t>The identified offender is Joel Ibea</t>
  </si>
  <si>
    <t>April 24, 2021</t>
  </si>
  <si>
    <t>Purok 2, Casitan, Gonzaga, Cag.</t>
  </si>
  <si>
    <t>PNP elements Gonzaga</t>
  </si>
  <si>
    <t>1 pc. White Lauan flitches</t>
  </si>
  <si>
    <t>1 unit assembled chainsaw</t>
  </si>
  <si>
    <t>The identified offender is Gerardo Bernaldis</t>
  </si>
  <si>
    <t>April 29, 2021</t>
  </si>
  <si>
    <t>Visitacion, Sta. Ana, cag.</t>
  </si>
  <si>
    <t>February 13, 2020</t>
  </si>
  <si>
    <t>34 pcs. Rede Lauan lumber &amp; 2 pcs. Kamagong lumber</t>
  </si>
  <si>
    <t>So. Dapir, Sta. Margarita, Baggao, Cagayan</t>
  </si>
  <si>
    <t>The identified offender is Dennis Agcaoili</t>
  </si>
  <si>
    <t>May 1, 2021</t>
  </si>
  <si>
    <t>Boundary of Macabanguc, Aparri, Cag.</t>
  </si>
  <si>
    <t>19 pcs. Miscelaneous flitches/lumber</t>
  </si>
  <si>
    <t>1 unit TECOMEC chainsaw</t>
  </si>
  <si>
    <t>LGU Baggao compound</t>
  </si>
  <si>
    <t>PCP Bangag, Aparri</t>
  </si>
  <si>
    <t>ON-GOING Administrative Adjudication Proceedings</t>
  </si>
  <si>
    <t>The identified offender are Ronald Fuggay &amp; Dominador Tacata</t>
  </si>
  <si>
    <t>March 2, 2020</t>
  </si>
  <si>
    <t>Gangauan, Amulung, Cagayan</t>
  </si>
  <si>
    <t>May 2, 2021</t>
  </si>
  <si>
    <t>17th IB PA and CENRO Alcala</t>
  </si>
  <si>
    <t>Sitio Dumasag, Casambalangan, Sta. Ana, Cag.</t>
  </si>
  <si>
    <t>PNP elements Sta. Ana</t>
  </si>
  <si>
    <t>1 pc. Tangisang Bayawak &amp; 2 pcs. White Lauan lumber</t>
  </si>
  <si>
    <t>The identified offender are Antonio Raquino, Arnel Ramos, Jhony Fred Pascual &amp; Raymond Ramos</t>
  </si>
  <si>
    <t>May 3, 2021</t>
  </si>
  <si>
    <t>PNP elements of Buguey, Cagayan</t>
  </si>
  <si>
    <t>92 pcs. White Luan lumber/ flitches</t>
  </si>
  <si>
    <t>1 unit STIHL Chainsaw</t>
  </si>
  <si>
    <t>PNP Station Buguey, Cagayan</t>
  </si>
  <si>
    <t>A case was filed against Rogelio Radam at RTC Branch 9, Aparri, Cag. docketed under Crim. Case No. II-15799 for violation of RA 9175 and Crim. Case No. II-15800 for violation of PD 705</t>
  </si>
  <si>
    <t>PNP Sta. Ana police Station under the custody of Pat. Mark Darwin Torino</t>
  </si>
  <si>
    <t>ACP scheduled on July 28, 2022</t>
  </si>
  <si>
    <t>May 5, 2021</t>
  </si>
  <si>
    <t>Cabayu, Gattaran, Cag.</t>
  </si>
  <si>
    <t>28 pcs. Gmelina lumber &amp; flitches</t>
  </si>
  <si>
    <t>The identified offender is Charmel Agcaoili</t>
  </si>
  <si>
    <t>July 22, 2022</t>
  </si>
  <si>
    <t>May 6, 2021</t>
  </si>
  <si>
    <t>8 pieces White Lauan flitches</t>
  </si>
  <si>
    <t>The identified offender is Michael Vicente</t>
  </si>
  <si>
    <t>Confiscated in favor of the government dated May 31, 2021</t>
  </si>
  <si>
    <t>March 10, 2020</t>
  </si>
  <si>
    <t>May 8, 2021</t>
  </si>
  <si>
    <t>San Vicente, Sta. Ana, Cag.</t>
  </si>
  <si>
    <t>KM12, Sta. Margarita, Baggao, Cagayan</t>
  </si>
  <si>
    <t>MENRO Baggao personnel</t>
  </si>
  <si>
    <t>19 pcs. Tangisang Bayawak lumber</t>
  </si>
  <si>
    <t xml:space="preserve">9 pcs CHW </t>
  </si>
  <si>
    <t>So. Bubo, Sta. Clara, Sta. Ana, Cag.</t>
  </si>
  <si>
    <t>MENRO Compound</t>
  </si>
  <si>
    <t>The identified owner is Benedicto Natabio</t>
  </si>
  <si>
    <t>May 11, 2021</t>
  </si>
  <si>
    <t>Canagatan, Baggao, Cagayan</t>
  </si>
  <si>
    <t>Ipil. Gonzaga, Cag</t>
  </si>
  <si>
    <t>MENRO and CENRO</t>
  </si>
  <si>
    <t>22 PCS. gMELINA LOGS</t>
  </si>
  <si>
    <t>40 pcs. Binuang lumber</t>
  </si>
  <si>
    <t>ONFISCATED IN FAVOR OF THE GOVERNMENT DATED OCTOBER 13, 2021</t>
  </si>
  <si>
    <t>March 21, 2020</t>
  </si>
  <si>
    <t>Awallan, Baggao, Cagayan</t>
  </si>
  <si>
    <t>5 Tanguile</t>
  </si>
  <si>
    <t>Municipality of Baggao</t>
  </si>
  <si>
    <t>March 23, 2020</t>
  </si>
  <si>
    <t>1 unit motorcycle (Euro) w/ kulong-kulong w/ Plate No. BAI-653</t>
  </si>
  <si>
    <t>PNP Station Gonzaga under the custody of PSSg. Cherles Recolizado</t>
  </si>
  <si>
    <t>3 CHW</t>
  </si>
  <si>
    <t>The respondents are Reynold Siwagan &amp; Rey Paz</t>
  </si>
  <si>
    <t>Alucao, Sta. Teresita, Cag.</t>
  </si>
  <si>
    <t>PNP elements of Sta. Teresita</t>
  </si>
  <si>
    <t>48 pcs. Red Lauan &amp; White Lauan lumber</t>
  </si>
  <si>
    <t>PNP Station of Sta. Teresita</t>
  </si>
  <si>
    <t>A case was filed against Nerwin Sapla &amp; Darwin Sapla at RTC Branch 9, Aparri, Cag. docketed under Criminal Case No. II-15805 for violation of PD 705</t>
  </si>
  <si>
    <t>May 18, 2021</t>
  </si>
  <si>
    <t>Barangay Aguiguican, Gattaran, Cagayan</t>
  </si>
  <si>
    <t>30 pcs. Gmelina</t>
  </si>
  <si>
    <t>PNP Sta. Ana under the custody of PMSgt. Rommel Legaspi</t>
  </si>
  <si>
    <t>ACP scheduled on August 3, 2022</t>
  </si>
  <si>
    <t>R2-ED-2023-0197 received on March 26, 2024 Promulgated on Feb 13, 2024</t>
  </si>
  <si>
    <t>Donated to LGU Alcala</t>
  </si>
  <si>
    <t>Confiscated in favor of the government dated May 28, 2021</t>
  </si>
  <si>
    <t>With Order of Finality received on Dec. 03, 2024 promulgated on July 13, 2023 with Docket No. R2-ED-2023-0147</t>
  </si>
  <si>
    <t>May 20, 2021</t>
  </si>
  <si>
    <t>25 pcs. Miscellaneous lumber</t>
  </si>
  <si>
    <t>1 unit Motorcycle (Rusi 125) with kulong-kulong w/ Plate No. BG 8763</t>
  </si>
  <si>
    <t>July 30, 2022</t>
  </si>
  <si>
    <t>Cunig, Gattaran, Cagayan</t>
  </si>
  <si>
    <t xml:space="preserve">16 pcs. Banglas, 10 pcs. Narra and 3 pcs. Gmelina lumbers </t>
  </si>
  <si>
    <t>CENRO Aparri</t>
  </si>
  <si>
    <t>The respodent is Mario Tasipit</t>
  </si>
  <si>
    <t>August 3, 2022</t>
  </si>
  <si>
    <t>PNP Gonzaga/ PSSg. Esmer Pattaguan</t>
  </si>
  <si>
    <t>The respondent is Lolimo Agbayani</t>
  </si>
  <si>
    <t>August 4, 2022</t>
  </si>
  <si>
    <t>Villa, Sta. Teresita, Cagayan</t>
  </si>
  <si>
    <t>1 unit Euro 150 with kulong-kulong</t>
  </si>
  <si>
    <t>April 3, 2020</t>
  </si>
  <si>
    <t>The respondent is Medy Sabal</t>
  </si>
  <si>
    <t>August 9, 2022</t>
  </si>
  <si>
    <t>Cabanbanan, Gonzaga, Cag.</t>
  </si>
  <si>
    <t>San Antonio, Baggao, Cagayan</t>
  </si>
  <si>
    <t>22 pcs. Red lauan lumber</t>
  </si>
  <si>
    <t>MENRO personnel</t>
  </si>
  <si>
    <t>1 unit Isuzu Elf with Plate No. RFH 279</t>
  </si>
  <si>
    <t>5 pcs Narra flitches</t>
  </si>
  <si>
    <t>The respondent is Danilo Viernes</t>
  </si>
  <si>
    <t>Centro 13, Aparri, Cag.</t>
  </si>
  <si>
    <t>1 unit motorized kuliglig</t>
  </si>
  <si>
    <t>The respondent is Ricky Taba</t>
  </si>
  <si>
    <t>August 10, 2022</t>
  </si>
  <si>
    <t>San Vicente, Gattaran, Cag.</t>
  </si>
  <si>
    <t>7 pcs. Gmelina &amp; 1 pc. Tangisang Bayawak Rond Log</t>
  </si>
  <si>
    <t>The respondent is Joaquin Melad</t>
  </si>
  <si>
    <t>August 17, 2022</t>
  </si>
  <si>
    <t>Tapel, Gonzaga, Cagayan</t>
  </si>
  <si>
    <t>210 pcs. White Lauan lumber</t>
  </si>
  <si>
    <t>The respondents are Garth C. Mines, Erwin Andaya, Oscar Mines and Glen Andaya</t>
  </si>
  <si>
    <t>1 unit TMX 155 with kulong-kulong</t>
  </si>
  <si>
    <t>The respondent is Martin Seriaco</t>
  </si>
  <si>
    <t>August 19, 2022</t>
  </si>
  <si>
    <t>PNP Station of Buguey</t>
  </si>
  <si>
    <t>15 pcs. Red Lauan and White Lauan lumber</t>
  </si>
  <si>
    <t>Under admin confisction proceeding</t>
  </si>
  <si>
    <t>one (1) unit Rusi 150 Red w/ kulong-kulong</t>
  </si>
  <si>
    <t>The respondent are Joey Calderon &amp; Ericson Cayaban. ACP conducted on September 6, 2022</t>
  </si>
  <si>
    <t>August 22, 2022</t>
  </si>
  <si>
    <t>Ipil, Gonzaga, Cag.</t>
  </si>
  <si>
    <t>9 pcs. Bagbag lumber</t>
  </si>
  <si>
    <t>one (1) unit Honda TMX 125 black w/ kulong-kulong</t>
  </si>
  <si>
    <t>May 22, 2021</t>
  </si>
  <si>
    <t>The respondent is Jethro Bandonil. ACP conducted on September 8, 2022</t>
  </si>
  <si>
    <t>So. Arungan, Isca, Gonzaga, Cag.</t>
  </si>
  <si>
    <t>7 pcs Bagbag lumber</t>
  </si>
  <si>
    <t>18 pcs. Mahogany lumber</t>
  </si>
  <si>
    <t>one (1) unit Euro 150 Black w/ kulong-kulong</t>
  </si>
  <si>
    <t>The respondents are Marlon Pantaleon &amp; Ronel Ortiguez. ACP conducted on September 8, 2022</t>
  </si>
  <si>
    <t>August 26, 2022</t>
  </si>
  <si>
    <t xml:space="preserve"> 1 unit chainsaw</t>
  </si>
  <si>
    <t>for administrative Confiscation proceeding</t>
  </si>
  <si>
    <t>The identified offender are Ruben Doctolero, Ronel Doctonero, Dominador Tungpalan &amp; Rodel Agcaoili</t>
  </si>
  <si>
    <t>September 1, 2022</t>
  </si>
  <si>
    <t>25 pcs. Red Lauan lumber</t>
  </si>
  <si>
    <t>May 26, 2021</t>
  </si>
  <si>
    <t>Centro, Sta. Ana, Cag.</t>
  </si>
  <si>
    <t>one (1) unit MB Van Green w/ Plate No. WBG-430</t>
  </si>
  <si>
    <t>14 pcs. premium species</t>
  </si>
  <si>
    <t>October 1, 2022</t>
  </si>
  <si>
    <t>1 unit Mercedez Benz MB 100 Plate No. BDX-247</t>
  </si>
  <si>
    <t>Tambuli, Allacapan, Cag.</t>
  </si>
  <si>
    <t>The respondent is Michael Lagundino</t>
  </si>
  <si>
    <t>PENR Office</t>
  </si>
  <si>
    <t>1 unit Motoposh Pinoy 155 w/ kulong-kulong</t>
  </si>
  <si>
    <t>Conducted ACP for submision to RO</t>
  </si>
  <si>
    <t>May 27, 2021</t>
  </si>
  <si>
    <t>October 8, 2022</t>
  </si>
  <si>
    <t>Tangatan, Sta. Ana, Cag.</t>
  </si>
  <si>
    <t>4 pcs. Round Logs Mahogany &amp; 3 pcs. Round logs Mango</t>
  </si>
  <si>
    <t>12 pcs. Kamagong and Narra lumbers</t>
  </si>
  <si>
    <t>1 unit MB Van w/ Plate No. BDX-247</t>
  </si>
  <si>
    <t>Backiling Elementary School under the custody of Barangay Captain Ruel Eduva</t>
  </si>
  <si>
    <t>Result of ACP forwarded to RO</t>
  </si>
  <si>
    <t>October 15, 2022</t>
  </si>
  <si>
    <t>Utan, Allacapan, Cag.</t>
  </si>
  <si>
    <t>Aragao, Buyun, Sta. Teresita, Cag.</t>
  </si>
  <si>
    <t>PNP elements od Sta. Teresita</t>
  </si>
  <si>
    <t>40 pcs. Red Lauan lumbers</t>
  </si>
  <si>
    <t>January 14, 2018/So. Alitontong, Gattu, Pamplona, Cag.</t>
  </si>
  <si>
    <t>The respondent is Conrado Bayaw Lutoc</t>
  </si>
  <si>
    <t>57 pcs. CHW lumbers</t>
  </si>
  <si>
    <t>May 31, 2021</t>
  </si>
  <si>
    <t>Dungeg, Sta. Ana, Cag.</t>
  </si>
  <si>
    <t>9 pcs. White Lauan lumber &amp; 11 pcs. Red Lauan lumber</t>
  </si>
  <si>
    <t>1 unit Honda Motorcycle w/ kulong-kulong</t>
  </si>
  <si>
    <t>October 16, 2022</t>
  </si>
  <si>
    <t>PNP Station of Sta. Ana under the custody of PSSg. Melvic de Castro</t>
  </si>
  <si>
    <t>Apprehended by Member of Masi Monitoring Center. The admin proceeding was conducted last February 15, 2018. 1.2 cu.m. donated to Tuguegarao West Central School and utilized for the repair of PENRO Office, ORDER of FINALITY dated October 14, 2018</t>
  </si>
  <si>
    <t>The respondent is Narwin S. Cadang</t>
  </si>
  <si>
    <t>February 13, 2018/ Piggatan, Alcala, Cag.</t>
  </si>
  <si>
    <t>Victor Garcia</t>
  </si>
  <si>
    <t>19 pcs. Red Lauan lumber</t>
  </si>
  <si>
    <t>1 unit HondaMotorcycle w/ kulong-kulong</t>
  </si>
  <si>
    <t>The respondent is Marlon Garduque</t>
  </si>
  <si>
    <t>1 unit Rusi Motorcycle w/ kulong-kulong</t>
  </si>
  <si>
    <t>The respondent is Jojo Battung</t>
  </si>
  <si>
    <t>So. San Francisco, Brgy. Ipil, Gonzaga, Cagayan</t>
  </si>
  <si>
    <t>The admin proceedign was conducted 3x March 13, April, 13 &amp; May 15, 2018. Confiscated in favor of the government dated May 24, 2021. 500.0 BD.FT. donated to MGB</t>
  </si>
  <si>
    <t>June 1, 2021</t>
  </si>
  <si>
    <t>Notice of Issuance of Finality received on August 3, 2026 with docket number R2-ED-2021-0049 promulgated on May 24, 2021</t>
  </si>
  <si>
    <t>22 Gmelina</t>
  </si>
  <si>
    <t>LGU Compound, San Jose, Baggao</t>
  </si>
  <si>
    <t>Result of ACP forwarded to RO per Memo of PENRO dated November 25, 2022</t>
  </si>
  <si>
    <t>With Order of Confiscation received on May 22, 2024 promulgated on March 11, 2024 with Docket No. R2-Ed-2024-00103</t>
  </si>
  <si>
    <t>Bonifacio St. Minanga, Aparri, Cag.</t>
  </si>
  <si>
    <t>15 sacks charcoal</t>
  </si>
  <si>
    <t>1 unit Rusi 125 w/ kulong-kulong</t>
  </si>
  <si>
    <t>February 17, 2018/ Gattu, Pamplona, Cag.</t>
  </si>
  <si>
    <t>Silagan, Allacapan, Cag.</t>
  </si>
  <si>
    <t>PNP elements of Allacapan</t>
  </si>
  <si>
    <t>6 pcs. Gmelina lumber</t>
  </si>
  <si>
    <t>1 unit Rusi motorcycle (Rusi 150) w/ kulong-kulong</t>
  </si>
  <si>
    <t>The respondent is Erick Flores</t>
  </si>
  <si>
    <t>So. Nanugtungan, Amunitan, Gonzaga, Cag.</t>
  </si>
  <si>
    <t>1 unit Rhinomec Chainsaw</t>
  </si>
  <si>
    <t>The respodents are Jessie Peralta &amp; Jherial Pascual</t>
  </si>
  <si>
    <t>June 3, 2021</t>
  </si>
  <si>
    <t>Capiddigan, Gattaran, Cag.</t>
  </si>
  <si>
    <t>Masi Monitoring Center</t>
  </si>
  <si>
    <t>35 pcs. Malabayabas, 25 pcs. Antipolo &amp; 47 pcs. Tangisang Bayawak lumber/ flitches</t>
  </si>
  <si>
    <t>A case was filed against Cliffor Matias at PPO Aparri on June 4, 2021 docketed under NPS No. II-02a-INV-21F-00220</t>
  </si>
  <si>
    <t>June 7, 2021</t>
  </si>
  <si>
    <t>Sitio Catammugan, Dagupan, Allacapan, Cag.</t>
  </si>
  <si>
    <t>2 pcs. Antipolo lumber and 2 pcs. Narra flitches</t>
  </si>
  <si>
    <t>The admin proceeding was conducted last February 26, 2018. Confiscated in favor of the govrnment dated July 2, 2018. Donated to Philippine Marine Group based at Sta. Ana. oRDER FINAL AND EXECUTORY DATED NOVEMBER 4, 2020</t>
  </si>
  <si>
    <t>With Order of Finality received on October 15, 2024 promulgated on March 11, 2024 with Docket No. R2-ED-2024-00103</t>
  </si>
  <si>
    <t>PNP Station of Allacapan/PSSg. Ericson Bermedi</t>
  </si>
  <si>
    <t>Inquest filing against Danny Abuyuan &amp; Robert Abuyuan at the office of the PPO Ballesteros, Cag.</t>
  </si>
  <si>
    <t>June 8, 2021</t>
  </si>
  <si>
    <t>Felipe Tuzon, Camalaniugan, Cag.</t>
  </si>
  <si>
    <t>13 pcs. Antipolo lumbers</t>
  </si>
  <si>
    <t>The respondent is Baltazar Galiza &amp; Relie de Leon. Result of ACP forwarded to RO</t>
  </si>
  <si>
    <t>June 15, 2021</t>
  </si>
  <si>
    <t>Rapuli, Sta, Ana, Cag.</t>
  </si>
  <si>
    <t>1 unit Hand Tractor</t>
  </si>
  <si>
    <t>PNP Station of Sta. Ana</t>
  </si>
  <si>
    <t>The respodents are Mark Jasper Gorospe &amp; Raymart Quizzagan</t>
  </si>
  <si>
    <t>June 16, 2021</t>
  </si>
  <si>
    <t>32 Red Lauan lumber</t>
  </si>
  <si>
    <t>Abandoned. Under ACP</t>
  </si>
  <si>
    <t>June 17, 2021</t>
  </si>
  <si>
    <t>So. Laya, Ipil, Gonzaga, Cag.</t>
  </si>
  <si>
    <t>22 pcs. Mangachapui lumber</t>
  </si>
  <si>
    <t>The respondents are Nestor Jose &amp; Nestor Palpalatoc</t>
  </si>
  <si>
    <t>June 19, 2021</t>
  </si>
  <si>
    <t>February 17, 2018/Bagu, Pamplona, Cag.</t>
  </si>
  <si>
    <t>Eastern Cagayan Maritime Police Station, Diora, Zinungan, Sta. Ana, cag.</t>
  </si>
  <si>
    <t>26 pcs. CHW lumbers</t>
  </si>
  <si>
    <t>June 23, 2021</t>
  </si>
  <si>
    <t>Tapel, Gonzaga, Cag.</t>
  </si>
  <si>
    <t>12 pcs. Gmelina &amp; Red Lauan lumber</t>
  </si>
  <si>
    <t>2 units chainsaw</t>
  </si>
  <si>
    <t>The respondent is Ruben Altajeros</t>
  </si>
  <si>
    <t>14 pieces Narra &amp; Tangisang Bayawak lumber</t>
  </si>
  <si>
    <t>PNP Station Sta. Ana/PCPL Buguina</t>
  </si>
  <si>
    <t>The respondent is Mario Marano</t>
  </si>
  <si>
    <t>July 1, 2021</t>
  </si>
  <si>
    <t>Rapuli, Sta. Ana</t>
  </si>
  <si>
    <t>1 unit Motorcycle (Euro 150) with kulong-kulong w/ Plate No. BG-8763</t>
  </si>
  <si>
    <t>PNP Station of Sta. Ana/ PPSg Melvic Cris de Castro</t>
  </si>
  <si>
    <t>The respondent is Kian Viloria</t>
  </si>
  <si>
    <t>The admin proceeding was conducted last February 26, 2018. Confiscated in favor of the goverment. Donated to Philippine Marine Group based at Sta. Ana</t>
  </si>
  <si>
    <t>Bitag Grande, Baggao, Cagayan</t>
  </si>
  <si>
    <t>February 23, 2018/ So. Dasilig, Quibal, Penablanca, Cag.</t>
  </si>
  <si>
    <t xml:space="preserve">1 unit Motorcycle </t>
  </si>
  <si>
    <t>Loui Calimag</t>
  </si>
  <si>
    <t>262 pcs. CHW lumbers</t>
  </si>
  <si>
    <t>The respondent is Pepito Viloria</t>
  </si>
  <si>
    <t>July 3, 2021</t>
  </si>
  <si>
    <t>Sitio Katiwayan, Rapuli, Sta. Ana, Cagayan</t>
  </si>
  <si>
    <t>Dominador Castillejos</t>
  </si>
  <si>
    <t>6 sacks of charcoal</t>
  </si>
  <si>
    <t>The respondent is Herminio Vicente</t>
  </si>
  <si>
    <t>July 5, 2021</t>
  </si>
  <si>
    <t>Sta. Clara, Sta. Ana, Cag.</t>
  </si>
  <si>
    <t>PNP elements of Sta. Ana, Cagayan</t>
  </si>
  <si>
    <t>31 pcs. Red Lauan lumber &amp; one (1) pc. Round log of Kamagong</t>
  </si>
  <si>
    <t>PNP Station of Sta. Ana/ PAT AC Bryale Tagayuna</t>
  </si>
  <si>
    <t>The respondents are Oliver Balaan, Jimrex Garcia &amp; Alvin Agraan</t>
  </si>
  <si>
    <t>July 6, 2021</t>
  </si>
  <si>
    <t>Sitio Parabat, Dungeg, Sta. Teresita, Cag.</t>
  </si>
  <si>
    <t>2 units assembled chainsaw</t>
  </si>
  <si>
    <t>PENRO Sub-Office Compound</t>
  </si>
  <si>
    <t>The repondents are Marebel Tinido, Ikong Ocampo &amp; John Doe</t>
  </si>
  <si>
    <t>July 7, 2021</t>
  </si>
  <si>
    <t>So. Butan, San Vicente, Sta. Ana, Cag.</t>
  </si>
  <si>
    <t>Task Force Lingkod Cagayan</t>
  </si>
  <si>
    <t>The admin proceeding was conducted last April 23, May 7 &amp; 21, 2018. Donated to Alcala Rural High School. Confiscated in favor of the government dated August 6, 2018. Order of FINALITY dated November 4, 2020</t>
  </si>
  <si>
    <t>PNP Station of Sta. Ana/PSSg Benson Bambilin</t>
  </si>
  <si>
    <t>The respondents are Modesto Tugaron, Rommel Natabio, Ronald Natabio &amp; Michael Agriam</t>
  </si>
  <si>
    <t>April 20, 2018/Brgy. Libag, Tuguegarao City</t>
  </si>
  <si>
    <t xml:space="preserve">No permit to transport (van w/ plate No. TYN-325) </t>
  </si>
  <si>
    <t>15 pcs. Narra flitches</t>
  </si>
  <si>
    <t>The respondent is Robert Arellano</t>
  </si>
  <si>
    <t>July 14, 2021</t>
  </si>
  <si>
    <t>So. Lubac, San Vicente, Sta. Ana, Cag.</t>
  </si>
  <si>
    <t>10 pcs Narra lumber</t>
  </si>
  <si>
    <t>PNP Station of Sta. Ana/PAT Mark Gellama</t>
  </si>
  <si>
    <t>The respondents are June Pateg, Bobot Ranay &amp; Bullet Ranay</t>
  </si>
  <si>
    <t>3 pcs. Gmelina flitches</t>
  </si>
  <si>
    <t>1 unit chainsaw (MS 391)</t>
  </si>
  <si>
    <t>The respondents are Jaime Rodriguez, Sr. Rommel Manuel, Julie Rosete</t>
  </si>
  <si>
    <t>Flourishing, Gonzaga, Cagayan</t>
  </si>
  <si>
    <t>34 pcs. Red Lauan lumber</t>
  </si>
  <si>
    <t>A criminal case was filed against Jowarski "Bong" Sibbaluca at Regional Trial Court Branch 5, Tuguegarao City docketed under Criminal Case No. 19585/ II-03-INQ-018D-00083. The admin proceedings were scheduled three (3) times on June 15, July 16 &amp; 30, 2018</t>
  </si>
  <si>
    <t>1 unit motorcycle (Rusi 150) w/ kulong-kulong</t>
  </si>
  <si>
    <t>The respondent is Joel Andalet</t>
  </si>
  <si>
    <t>July 2, 2018/Dalauig, Alcala, Cagayan</t>
  </si>
  <si>
    <t>July 15, 2021</t>
  </si>
  <si>
    <t>So. Caglan, Sta. Clara, Gonzaga, cag.</t>
  </si>
  <si>
    <t>71 pieces Gmelina lumbers</t>
  </si>
  <si>
    <t>11 pcs. White Lauan lumber</t>
  </si>
  <si>
    <t>6 Narra</t>
  </si>
  <si>
    <t>1 unit motorcycle (Euro 150) w/ kulong-kulong and 1 unit chainsaw</t>
  </si>
  <si>
    <t>The respondent is Herwin Ace Latagan</t>
  </si>
  <si>
    <t>Tagumay, Gattaran, Cag.</t>
  </si>
  <si>
    <t>56 pcs. Gmelina lumber</t>
  </si>
  <si>
    <t>PNP Station of Gattaran/ PCPL Nilert Galla</t>
  </si>
  <si>
    <t>The respondents are Ricky Fantalgo &amp; Pedro Catolos, Jr.</t>
  </si>
  <si>
    <t>With order of finality received on march 24, 2025 with docket nu,ber r2-ed-2023-00214 date promulgated February 15, 2025</t>
  </si>
  <si>
    <t>July 16, 2021</t>
  </si>
  <si>
    <t>S. Namuyucan, San Jose, Gonzaga, cag.</t>
  </si>
  <si>
    <t>5 pcs. Ipil lumber</t>
  </si>
  <si>
    <t>The admin. Proceeding was conducted last July 13, 2018. Confiscated in favor of the government dated October 5, 2018. Donated to Highway Patrol Group , PPO Tuguegarao City. Order of FINALITY dated Octyober 21, 2020</t>
  </si>
  <si>
    <t>July 5, 2018/San Roque, Peñablanca, Cag.</t>
  </si>
  <si>
    <t>The respondent is Danilo Lorenzo</t>
  </si>
  <si>
    <t>17 pieces Gmelina lumbers</t>
  </si>
  <si>
    <t>July 19, 2021</t>
  </si>
  <si>
    <t>1 unit chainsaw (Oregon)</t>
  </si>
  <si>
    <t>4 pcs. Round logs of White Lauan</t>
  </si>
  <si>
    <t>Headquarters Regional Maritime Unit 2, Barangay Punta, Aparri, Cag.</t>
  </si>
  <si>
    <t>The respondents are Edel Adulay &amp; Wilbert Navarra</t>
  </si>
  <si>
    <t>July 22, 2021</t>
  </si>
  <si>
    <t>1 unit motorcycle (Rusi Macho 175) w/ kulong-kulong &amp; Plate No. 478 BCS</t>
  </si>
  <si>
    <t>PNP Station of Sta. Ana/PCPL Ar-jay Agueran</t>
  </si>
  <si>
    <t>The respondent is Stewart Illustricimo</t>
  </si>
  <si>
    <t>The admin. Proceeding was conducted last July 13, 2018. Confiscated in favor of the government dated October 5, 2018. Donated to Highway Patrol Group , PPO Tuguegarao City. Order of FINALITY dated November 4, 2020</t>
  </si>
  <si>
    <t>July 18, 2018/ Gattu, Pamplona, Cagayan</t>
  </si>
  <si>
    <t>April 28, 2020</t>
  </si>
  <si>
    <t>Temblique,Baggao, Cagayan</t>
  </si>
  <si>
    <t>The admin. Proceeding was conducted last August 3, 2018. Donated to Philippine Marine Group based at Sta. Ana. Confiscated in favor of the government dated December 14, 2018. Ordered final and excutory dated February 15, 2021. An Order of Finality was received on Dec. 09, 2024 promulgated on Dec. 14, 2018 with Docket No. R2-F-1335</t>
  </si>
  <si>
    <t>July 18, 2018/Zitanga, Ballesteros, Cag.</t>
  </si>
  <si>
    <t>21 pcs. CHW lumbers</t>
  </si>
  <si>
    <t>The admin proceeding was conducted on August 28, 2018. Donated to Philippine Marine Group based at Sta. Ana. Confiscated in favor of the government dated December 14, 2018. Order of FINALITY October 26, 2020</t>
  </si>
  <si>
    <t>July 23, 2018/ Baliuag, Peñablanca, Cag.</t>
  </si>
  <si>
    <t xml:space="preserve">No permit to transport (PUJ w/ Plate No. BVV-392) </t>
  </si>
  <si>
    <t>55 pieces CHW lumbers</t>
  </si>
  <si>
    <t>July 26, 2021</t>
  </si>
  <si>
    <t>Tamboli, Allacapan, Cagayan</t>
  </si>
  <si>
    <t>11 Gmelina</t>
  </si>
  <si>
    <t>The admin proceeding was conducted on November 22, 2018. Confiscated in favor of the government dated August 9, 2019. The motion for reconsideration is denied per order dated November 4, 2019.  Mr. Raymund Lattao submitted Notice of Appeal to the Office of the DENR sECRETARY DATED nOVEMBER 29, 2019</t>
  </si>
  <si>
    <t>May 2, 2020</t>
  </si>
  <si>
    <t>9 pcs. Antipolo lumber</t>
  </si>
  <si>
    <t>PNP Station of Allacapan</t>
  </si>
  <si>
    <t>The respondent is Emilio Onnagan</t>
  </si>
  <si>
    <t>So. Barabat, Dungeg, Sta. Teresita, Cag.</t>
  </si>
  <si>
    <t>PNP elements of Sta. Teresita, Cagayan</t>
  </si>
  <si>
    <t>29 pcs Red Lauan Lumber</t>
  </si>
  <si>
    <t>July 27, 2018/ Bagu, Pamplona, Cagayan</t>
  </si>
  <si>
    <t xml:space="preserve">No permit to transport (1 Unit Kulong-Kulong) </t>
  </si>
  <si>
    <t>The respondent is Gilbert Tabu</t>
  </si>
  <si>
    <t>July 28, 2021</t>
  </si>
  <si>
    <t>Ipil, Gonzaga, Cagayan</t>
  </si>
  <si>
    <t>PNP elements of Gonzaga, Cagayan</t>
  </si>
  <si>
    <t>20 pcs Molave Lumber</t>
  </si>
  <si>
    <t>6 pcs Banacao Lumbers</t>
  </si>
  <si>
    <t>Confiscated in favor of the government dated June 2, 2021</t>
  </si>
  <si>
    <t>CONFISCATED IN FAVOR OF THE GOVERNMENT DATED DECEMBER 14,2022</t>
  </si>
  <si>
    <t>PNP Station of Gonzaga, Cagayan</t>
  </si>
  <si>
    <t>The identified respondents are Gerald Trinidad &amp; Jowel Pataray</t>
  </si>
  <si>
    <t>July 29, 2021</t>
  </si>
  <si>
    <t>Dungeg, Sta. Ana, Cagayan</t>
  </si>
  <si>
    <t xml:space="preserve">8 pcs Red Lauan Lumber </t>
  </si>
  <si>
    <t xml:space="preserve">1 unit Chainsaw </t>
  </si>
  <si>
    <t>PNP Station of Sta. Ana, Cagayan under custody of Pat. Mhark Gallardo</t>
  </si>
  <si>
    <t>July 30, 2018/ Salongsong, Sta. Praxedes, Cagayan</t>
  </si>
  <si>
    <t>Reyvelino aka Bong Salvador, Gerald Miranda &amp; Geofrey Miranda</t>
  </si>
  <si>
    <t xml:space="preserve">No permit   (1 Unit chainsaw) </t>
  </si>
  <si>
    <t>July 30, 2021</t>
  </si>
  <si>
    <t>Casambalangan, Sta.Ana, Cagayan</t>
  </si>
  <si>
    <t>CENRO Ilarde C. Viernes, MENRO John Rey C. Maximo, Benjamin C. Ruiz &amp; PCPL Haniel Buguina</t>
  </si>
  <si>
    <t>24 pcs Red Lauan, 27 pcs Kamagong, 6 pcs Palosapis &amp; 4 pcs Tuai Flitches</t>
  </si>
  <si>
    <t>1 unit Mitsubishi Wing Van 10 wheeler bearing Plate No. NAP 7477</t>
  </si>
  <si>
    <t>PNP Station of Sta. Ana, Cagayan under custody of PCPL Haniel Buguina</t>
  </si>
  <si>
    <t>Jordan D. Ramos, Ariel P. Balibalita, Robert T. Gac-ang &amp; Melchor D. Lee</t>
  </si>
  <si>
    <t>July 31, 2021</t>
  </si>
  <si>
    <t>August 25, 2018/ Baliuag, Peñablanca, Cag.</t>
  </si>
  <si>
    <t>18 pcs White Lauan Lumber &amp; 8 pcs Round Logs</t>
  </si>
  <si>
    <t>Gregorio Eleher</t>
  </si>
  <si>
    <t>Bagunot, Baggao, Cagayan</t>
  </si>
  <si>
    <t>12 Tanguile</t>
  </si>
  <si>
    <t>Kuliglig with Trailer</t>
  </si>
  <si>
    <t>Confiscated in favor of the government dated December 28, 2018. Ordered final and executory dated February 15, 2021</t>
  </si>
  <si>
    <t>So, Kawayan, Sta. Margarita, Baggao, Cagayan</t>
  </si>
  <si>
    <t>MENRO Baggao and CENRO Personnel</t>
  </si>
  <si>
    <t>September 4, 2018/Gattu, Pamplona, Cagayan</t>
  </si>
  <si>
    <t>Under admin confisation proceedings.temporary placed under the custody of Rogelio Bernal</t>
  </si>
  <si>
    <t>Juni 1, 2020</t>
  </si>
  <si>
    <t>341 PCS Red Lauan, Tanguile, Banacao and Narra</t>
  </si>
  <si>
    <t>LGU Compound San Jose Baggao cagayan</t>
  </si>
  <si>
    <t>Confiscated in favor of the government dated June 15, 2021</t>
  </si>
  <si>
    <t>June 2, 2020</t>
  </si>
  <si>
    <t>181 CHW Lumber</t>
  </si>
  <si>
    <t>The identified offender is Judy Fabillar. CONFISCATED in favor of the government dated July 14, 2021</t>
  </si>
  <si>
    <t>Masi Monitoring Checkpoint</t>
  </si>
  <si>
    <t>So. Dolores, Mocag, Baggao, Cagayan</t>
  </si>
  <si>
    <t>Confiscated in favor of the government dated October 29, 2018. Donated to Tuguegarao West Central School. Ordered final and executory dated November 3, 2020</t>
  </si>
  <si>
    <t>September 5, 2018/ Bagu, Pamplona, Cag.</t>
  </si>
  <si>
    <t>Reymon Castro</t>
  </si>
  <si>
    <t>CHARCOAL+F168:F169</t>
  </si>
  <si>
    <t>Confiscated in favor of the government dated October 29, 2018. Donated to Tuguegarao West central School and the rest were utilized for the manufacture of picture frame for Citizens Charter, etc. of PENRO. Ordered final and executory dated November 3, 2020</t>
  </si>
  <si>
    <t>36 CHW</t>
  </si>
  <si>
    <t>October 6, 2018/ Libertad Abulug, Cagayan</t>
  </si>
  <si>
    <t>20 pcs. Tanguile lumbers</t>
  </si>
  <si>
    <t>The admin proceeding was conducted on November 15, 2018</t>
  </si>
  <si>
    <t>PNP Station of Buguey, Cagayan under custody of PPSg.Domster Jake Fronda</t>
  </si>
  <si>
    <t>The identified respondents are Rolando Reboldea &amp; Edmon Cardenas</t>
  </si>
  <si>
    <t>August 2, 2021</t>
  </si>
  <si>
    <t>Centro, Lal-lo, Cagayan</t>
  </si>
  <si>
    <t>16 pcs Narra Lumber</t>
  </si>
  <si>
    <t xml:space="preserve">DENR-CENRO Aparri </t>
  </si>
  <si>
    <t>The identified respondent is Valentino Ramos</t>
  </si>
  <si>
    <t>August 7, 2021</t>
  </si>
  <si>
    <t>Capalutan, Allacapan, Cagayan</t>
  </si>
  <si>
    <t>PNP elements of Allacapan, Cagayan &amp; MENRO Allacapan</t>
  </si>
  <si>
    <t>12 pcs Tanguile &amp; 1 pc White Lauan Flitches</t>
  </si>
  <si>
    <t>PNP Station of Allacapan, Cagayan under custody of PSMS Rex Q. Mallilllin</t>
  </si>
  <si>
    <t>The identified respondent is Jowy Viernes, Florante Butac</t>
  </si>
  <si>
    <t>August 9, 2021</t>
  </si>
  <si>
    <t>October 17, 2022</t>
  </si>
  <si>
    <t>Batangan, Gonzaga, Cagayan</t>
  </si>
  <si>
    <t>So. Tuktukaraw, Amunitan, Gonzaga, Cag.</t>
  </si>
  <si>
    <t>6 pcs. White Lauan round logs</t>
  </si>
  <si>
    <t>with order of finality received March 20,2025 with docket number R2-ED-2023-00199</t>
  </si>
  <si>
    <t>Sanny Balagat</t>
  </si>
  <si>
    <t>With Order of Finality received on October 15, 2024 promulgated on March 06, 2024 with Docket No. R2-ED-2024-0029</t>
  </si>
  <si>
    <t>November 16, 2022</t>
  </si>
  <si>
    <t>So, San Francisco, Ipil, Gonzaga, Cagayan</t>
  </si>
  <si>
    <t>7 pcs. Tanguile lumber</t>
  </si>
  <si>
    <t>For ACP. The respondent is Fredie Paz</t>
  </si>
  <si>
    <t>November 22, 2022</t>
  </si>
  <si>
    <t>For ACP. Wilsen Tolen &amp; Oliver Viernes</t>
  </si>
  <si>
    <t>October 17, 2018/ Masi, Pamplona, Cagayan</t>
  </si>
  <si>
    <t>33 pcs. Red Lauan lumbers</t>
  </si>
  <si>
    <t>25 pcs Red Lauan lumber</t>
  </si>
  <si>
    <t>The admin proceeding was conducted on January 24, 2019. Confiscated in favor of the government dated September 13, 2019. 22 pcs. Donated to Regional trial Court and 10 pcs. Utilized for PENRO Nipa Hut</t>
  </si>
  <si>
    <t>October 18, 2018/ Abbangkeruan, Pamplona, Cagayan</t>
  </si>
  <si>
    <t>19 pcs. Red Lauan lumbers</t>
  </si>
  <si>
    <t>46 CHW</t>
  </si>
  <si>
    <t>The admin proceeding was conducted on January 24, 2019. Confiscated in favor of the government dated September 13, 2019. Utilized for the construction of Nipa Hut</t>
  </si>
  <si>
    <t>November 16, 2018/ Masi, Pamplona, Cagayan</t>
  </si>
  <si>
    <t>The admin proceeding was conducted on January 24, 2019. Confiscated in favor of the government dated August 22, 2019. Utilized for repair of PENRO Accounting. Order of FINALITY dated October 26, 2020</t>
  </si>
  <si>
    <t>November 27, 2018/ Bagu, Pamplona, Cagayan</t>
  </si>
  <si>
    <t xml:space="preserve">No claimant (1 set Table Circular Saw) </t>
  </si>
  <si>
    <t>84 pcs. Red/Tanguile lumbers</t>
  </si>
  <si>
    <t>PNP Pamplona</t>
  </si>
  <si>
    <t>The admin proceeding was conducted on January 24, 2019. Confiscated in favor of the government dated September 13, 2019. Utlized for the construction of PENRO Nipa Hut</t>
  </si>
  <si>
    <t>December 5, 2018/ Casitan, Pamplona, Cagayan</t>
  </si>
  <si>
    <t>1 unit motorcycle (RUSI 150 Blue) with kulong-kulong</t>
  </si>
  <si>
    <t>Jomar Fernando &amp; Domingo Gumarang</t>
  </si>
  <si>
    <t>August 10, 2021</t>
  </si>
  <si>
    <t>30 pcs Red Lauan lumber</t>
  </si>
  <si>
    <t>1 unit motorcycle (RUSI 125 ) with kulong-kulong</t>
  </si>
  <si>
    <t>Anthony Beltran &amp; Samuel Saliganan</t>
  </si>
  <si>
    <t>50 pcs Red Lauan lumber</t>
  </si>
  <si>
    <t>1 unit motorcycle (TMX 155 ) with kulong-kulong</t>
  </si>
  <si>
    <t>Jhonny dela Cruz &amp; Joel Irorita</t>
  </si>
  <si>
    <t>So. Mansarong, Sta. Margarita, Baggao, cagayan</t>
  </si>
  <si>
    <t>1 unit motorcycle (EURO) with kulong-kulong</t>
  </si>
  <si>
    <t>Marvin Parcasio</t>
  </si>
  <si>
    <t xml:space="preserve"> August 10, 2021</t>
  </si>
  <si>
    <t>40 pcs Red Lauan lumber</t>
  </si>
  <si>
    <t>1 unit motorcycle (HONDA TMX) with kulong-kulong</t>
  </si>
  <si>
    <t>Marlon Calibuso</t>
  </si>
  <si>
    <t>August 14, 2021</t>
  </si>
  <si>
    <t>So. Bigoc, Alucao, Sta. Teresita, cag.</t>
  </si>
  <si>
    <t>PNP elements of Sta. teresita</t>
  </si>
  <si>
    <t>16 pcs. Red Lauan flitches</t>
  </si>
  <si>
    <t>The respondent is Guilbert Teweg Udam</t>
  </si>
  <si>
    <t>August 19, 2021</t>
  </si>
  <si>
    <t>Sta. Clara, Gonzaga, cag.</t>
  </si>
  <si>
    <t>46 pcs. Red Lauan lumber/ flitches</t>
  </si>
  <si>
    <t>The respondents are Ciejay Yatar &amp; Tito Sunio</t>
  </si>
  <si>
    <t>August 21, 2021</t>
  </si>
  <si>
    <t>So. Abbot, Cabiraoan, Gonaga, cag.</t>
  </si>
  <si>
    <t>25 pcs. Red Lauan lumber &amp; flitches</t>
  </si>
  <si>
    <t>2 unit chainsaw</t>
  </si>
  <si>
    <t>The respondent is Larry Rabelo</t>
  </si>
  <si>
    <t>September 1, 2021</t>
  </si>
  <si>
    <t>Casitan, Gonzaga, Cag.</t>
  </si>
  <si>
    <t>45 pcs. Red Lauan lumber</t>
  </si>
  <si>
    <t>1 unit Honda TMX bearing Plate No. BG 9911 with kulong-kulong</t>
  </si>
  <si>
    <t>The respondents are Rofel Tabula &amp; Gerald Tabula</t>
  </si>
  <si>
    <t>100 pcs red lauan</t>
  </si>
  <si>
    <t>Confiscated in favor of the government dated December 23, 2021. With Order of Finality received on Dec. 03, 2024 promulgated on June 15, 2023 with Docket No. R2-ED-2023-0139</t>
  </si>
  <si>
    <t>June 22, 2020</t>
  </si>
  <si>
    <t>CENRO PERSONNEL</t>
  </si>
  <si>
    <t>32 PCS. Red Lauan</t>
  </si>
  <si>
    <t>1 unit Motorize Kulong-kulong (Rusi 175 color blue)</t>
  </si>
  <si>
    <t>Submitted thru radmes dated June 25, 2020</t>
  </si>
  <si>
    <t>July 2, 2020</t>
  </si>
  <si>
    <t>280 bamboo poles</t>
  </si>
  <si>
    <t>3 units improvised kulong-kulong</t>
  </si>
  <si>
    <t>Admin. Proceedings was conducted on September 18, 2020Deposited at CENRO Compound</t>
  </si>
  <si>
    <t>September 3, 2021</t>
  </si>
  <si>
    <t>Assasi, Baggao, Cag.</t>
  </si>
  <si>
    <t>elements of PNP Baggao and CENRO personnel</t>
  </si>
  <si>
    <t>220Gmelina Lumbers/Flitches</t>
  </si>
  <si>
    <t>Crim. Case was filed against Rene Espiritu y Apalisoc w/ NPS Docket No. INQ-20G-00146 on July 4, 2020. With Order of Finality received on Dec. 03, 2024 promulgated on Feb. 06, 2023 with Docket No. R2-ED-2023-0018</t>
  </si>
  <si>
    <t>CENRO Alcala personnel</t>
  </si>
  <si>
    <t>6 Gmelina dinning sets</t>
  </si>
  <si>
    <t>jeepney VBD-898</t>
  </si>
  <si>
    <t>Realease to the repondents the galvanized Isuzu Jeepney bearing plate no. VBD 898 as weel as the 6 gmelina dining sets</t>
  </si>
  <si>
    <t>Valley cove, Sta. Margarita, Baggao, Cagayan</t>
  </si>
  <si>
    <t>DENR, Marines, MENRO and PNP Baggao Personnel</t>
  </si>
  <si>
    <t>6 pcs of kamagong flitches</t>
  </si>
  <si>
    <t>Philippine Navy NAVAL Base of Sta. Ana, Cagayan</t>
  </si>
  <si>
    <t>The undertaking of appropriate action ABANDONED</t>
  </si>
  <si>
    <t>August 12, 2020</t>
  </si>
  <si>
    <t>So. Riggaay, Hacienda Intal, Baggao, Cagayan</t>
  </si>
  <si>
    <t>2 units 070 stihl chainsaw</t>
  </si>
  <si>
    <t>August 15, 2020</t>
  </si>
  <si>
    <t>Zone 3, San Miguel, Baggao, Cagayan</t>
  </si>
  <si>
    <t>PNP Baggao and CENRO Alcala personnel</t>
  </si>
  <si>
    <t>148 pcs of assorted</t>
  </si>
  <si>
    <t>Inquest case against John Michael Besas &amp; Valen Acob was filed at PPO on Sept. 4, 2021 docketedunder NPS No. II-02a-INQ-211-00290 for violation of RA 9175</t>
  </si>
  <si>
    <t>Result of ACP forwarded to RO dated April 27, 2022. With Order of Finality received on Dec. 03, 2024 promulgated on Feb. 10, 2023 with Docket No. R2-Ed-2023-0015</t>
  </si>
  <si>
    <t>Dalin, Baggao, Cagayan</t>
  </si>
  <si>
    <t>20 pcs of Assorted lumbers</t>
  </si>
  <si>
    <t>under Admin. Proceedings to Ronie apay Jose</t>
  </si>
  <si>
    <t>Annayatan, Baggao, Cagayan</t>
  </si>
  <si>
    <t>MENRO Personnel</t>
  </si>
  <si>
    <t>18 pcs of Narra and Kamagong Lumbers</t>
  </si>
  <si>
    <t>Inquest case against Wilfredo Gamay &amp; Stepwaren Gamay was filed at PPO on Sept. 4, 2021 docketedunder NPS No. II-02a-INQ-211-00291 for violation of RA 9175</t>
  </si>
  <si>
    <t>1 rusco suzuki multicab NBG-9573</t>
  </si>
  <si>
    <t>September 7, 2020</t>
  </si>
  <si>
    <t>September 9, 2021</t>
  </si>
  <si>
    <t>San Kawayan, Sta. Margarita, Baggao, Cagayan</t>
  </si>
  <si>
    <t>PNP elements of Sta. Teresita, personnel of PIU/PDEU &amp; PMFC 4MP</t>
  </si>
  <si>
    <t>13 pcs Narra</t>
  </si>
  <si>
    <t xml:space="preserve">4 pcs. Red Lauan flitches </t>
  </si>
  <si>
    <t>Confiscated in favor of the government dated May 24, 2021</t>
  </si>
  <si>
    <t>The respondent is Narciso Humadal</t>
  </si>
  <si>
    <t>September 10, 2020</t>
  </si>
  <si>
    <t>With order of resolution received on January 8, 2025 with docket number r2-ed-2024-164 date promulgated September 5, 2024</t>
  </si>
  <si>
    <t xml:space="preserve">13 pcs mayapis </t>
  </si>
  <si>
    <t>Confiscated in favor of the government dated July 14, 2021</t>
  </si>
  <si>
    <t>San Francisco, Baggao, Cagayan</t>
  </si>
  <si>
    <t>PNP Baggao, LGU Baggao and CENRO Alcala personnel</t>
  </si>
  <si>
    <t>14 pcs Assorted Lumbers</t>
  </si>
  <si>
    <t xml:space="preserve">With Order of Resolution received on Jan. 23, 2024 promulgated on Dec. 12, 2023 with Docket No. R2-ED-2023-00284.Update RO re: the case filed against the respondent with order of finality received on march 20,2025 </t>
  </si>
  <si>
    <t>September 14, 2021</t>
  </si>
  <si>
    <t>Aridowen, Sta. teresita, Cag.</t>
  </si>
  <si>
    <t>PNP elements of Sta. Teresita, cag.</t>
  </si>
  <si>
    <t>3 pcs. Red Lauan fltiches</t>
  </si>
  <si>
    <t>The respondent is Efren Taloza</t>
  </si>
  <si>
    <t>September 16, 2021</t>
  </si>
  <si>
    <t>Labben, Allacapan, Cag.</t>
  </si>
  <si>
    <t>12 pcs. Gmelina log &amp; lumber</t>
  </si>
  <si>
    <t>The respondent is Arnolfo Covita. The admin proceeding conducted on Nov. 3, 2021</t>
  </si>
  <si>
    <t>under Administrative Proceedings to Reynante Gamata Cariaga</t>
  </si>
  <si>
    <t>September 22, 2021</t>
  </si>
  <si>
    <t>So. Limasan, Tangatan, Sta. Ana, Cag.</t>
  </si>
  <si>
    <t>1 unit Euro 150 w/ kulong-kulong</t>
  </si>
  <si>
    <t>The respondent is Apolinario Santiago. The admin hearing conducted on November 9, 2021</t>
  </si>
  <si>
    <t>September 29, 2021</t>
  </si>
  <si>
    <t>21 pcs. Red Lauan lumber</t>
  </si>
  <si>
    <t>October 2, 2020</t>
  </si>
  <si>
    <t>1 set Cleopatra sala set (Narra)</t>
  </si>
  <si>
    <t>L300 UJB-564</t>
  </si>
  <si>
    <t>October 5, 2020</t>
  </si>
  <si>
    <t>MENRO Baggao Personnel</t>
  </si>
  <si>
    <t>13 pcs Tindalo Lumbers</t>
  </si>
  <si>
    <t>CONFISCATED in favor of the government dated May 31, 2021</t>
  </si>
  <si>
    <t>October 21, 2020</t>
  </si>
  <si>
    <t>Malalatan, Alcala, Cagayan</t>
  </si>
  <si>
    <t>7 pcs softwood</t>
  </si>
  <si>
    <t>Temporary custody of Kagawad Restituta Aguada</t>
  </si>
  <si>
    <t>So. Marus, Haciendam Intal, Baggao, Baggao</t>
  </si>
  <si>
    <t>CENRO, MENRO and PNP Baggao personnel</t>
  </si>
  <si>
    <t xml:space="preserve">2 pcs red lauan </t>
  </si>
  <si>
    <t>under Administrative Proceedings to George Reyes</t>
  </si>
  <si>
    <t>December 2, 2020</t>
  </si>
  <si>
    <t>Sta. Margarita, Baggao, Cagayan</t>
  </si>
  <si>
    <t xml:space="preserve">Under admin. temporary custody of MENRO </t>
  </si>
  <si>
    <t>with order of resolution received on January 8, 2025 with docket number R2-ED-2024-00085 date promulgated September 20,2024</t>
  </si>
  <si>
    <t xml:space="preserve">MENRO, PNP Baggao and CENRO Personnel </t>
  </si>
  <si>
    <t xml:space="preserve">7 pcs red lauan </t>
  </si>
  <si>
    <t>under Administrative Proceedings to Libertino Rebolledo. Confiscated in favor of the government dated June 1, 2021</t>
  </si>
  <si>
    <t>January 17, 2022</t>
  </si>
  <si>
    <t>The respondent is Dominador Vasquez. The admin hearing conducted on Nov. 3, 2021</t>
  </si>
  <si>
    <t>With Order of Finality received on Octover 15, 2024 with Docket No. R2-ED-2024-0090 promulgated on April 01, 2024</t>
  </si>
  <si>
    <t>Nangalasawan, Amulung, Cagayan</t>
  </si>
  <si>
    <t>September 30, 2021</t>
  </si>
  <si>
    <t>26 pcs. White Lauan lumber</t>
  </si>
  <si>
    <t>The respondent is Roberto Gonzales. The admin hearing conducted on November 9, 2021</t>
  </si>
  <si>
    <t>With Order of Resolution received on May 22, 2024 promulgated on March 11, 2024 with Docket No. R2-ED-2024-00102</t>
  </si>
  <si>
    <t>October 18, 2021</t>
  </si>
  <si>
    <t>The respondent is Jefferson Dagan &amp; Guillermo Barcena. The admin hearing conducted on November 9, 2021</t>
  </si>
  <si>
    <t>October 21, 2021</t>
  </si>
  <si>
    <t xml:space="preserve">
So. Colanto, Visitacion, Sta. Ana, Cag.</t>
  </si>
  <si>
    <t>42 pcs. Red Lauan lumber &amp; 20 pcs. Narra lumbers</t>
  </si>
  <si>
    <t>The respondent is Bong Bautista. The admin hearing conducted on November 10, 2021. With Order of Finality received on Dec. 03, 2024 promulgated on June 05, 2023 with Docket No. R2-ED-2023-0088</t>
  </si>
  <si>
    <t>So. Intik, Sta. Clara, Sta. Ana, Cag.</t>
  </si>
  <si>
    <t>The respondent is Johnlock Gerardo. The admin hearing conducted on November 10, 2021</t>
  </si>
  <si>
    <t>October 30, 2021</t>
  </si>
  <si>
    <t>33 pcs. Red Lauan lumber</t>
  </si>
  <si>
    <t>1 unit Maton 150 bearing Plate No. 4455 BS with kulong-kulong</t>
  </si>
  <si>
    <t>PNP Station Sta. Ana/PMSg. Romuel Legaspi</t>
  </si>
  <si>
    <t>The respondent is Jonathan Banayat</t>
  </si>
  <si>
    <t>Paranum, Lal-lo, Cagayan</t>
  </si>
  <si>
    <t>PNP elements Lal-lo</t>
  </si>
  <si>
    <t>2 pcs. Gmelina flitches</t>
  </si>
  <si>
    <t>The respondent is Francisco Burgos, Jr.</t>
  </si>
  <si>
    <t>November 1, 2021</t>
  </si>
  <si>
    <t>December 19, 2019</t>
  </si>
  <si>
    <t>23 pieces tops &amp; branches of Madre de cacao</t>
  </si>
  <si>
    <t>Min-dump truck w/ Plate no. NAD 8291</t>
  </si>
  <si>
    <t>The respondents are Roel Cabilisa, Reynaldo Annang, Joel Cabling, Francisco Cabling, Sr., Agustin Espejo, Jr. Rexjun Jacob, Isidro Manuel &amp; Jupiter Natividad</t>
  </si>
  <si>
    <t xml:space="preserve">The alleged owner is Abelardo Sabban y Pader. A case was filed docketed under Case No. 02-INQ-22A-00207. ACP forwarded to RO </t>
  </si>
  <si>
    <t>November 5, 2021</t>
  </si>
  <si>
    <t>29 pcs. White Lauan lumber</t>
  </si>
  <si>
    <t>1 unit motorcycle Rusi 125 with kulong-kulong</t>
  </si>
  <si>
    <t>PNP Station Gonzaga/PCPL Renato Lopez, Jr.</t>
  </si>
  <si>
    <t>The respondent is Jonathan Buemio</t>
  </si>
  <si>
    <t>30 pcs. White Lauan lumber</t>
  </si>
  <si>
    <t>Villarey, Piat, Cagayan</t>
  </si>
  <si>
    <t>The respondent is Roger Urbina &amp; Rolly Soller</t>
  </si>
  <si>
    <t>November 7, 2021</t>
  </si>
  <si>
    <t>Labben, Allacapan, cag.</t>
  </si>
  <si>
    <t>4 pcs. Acacia lumber</t>
  </si>
  <si>
    <t>1 unit hand tractor w/ trailer</t>
  </si>
  <si>
    <t>PNP Station of Allacapan/PCPL Jun Jun Noveno</t>
  </si>
  <si>
    <t>The respondents are Romeo dela Rosa &amp; Joey Duran</t>
  </si>
  <si>
    <t>November 9, 2021</t>
  </si>
  <si>
    <t>Rapuli, Sta. Ana, Cag.</t>
  </si>
  <si>
    <t>January 26, 2022 (10:00 PM)</t>
  </si>
  <si>
    <t>PNP Station of Sta. Ana/PAT Rowel Simon</t>
  </si>
  <si>
    <t>The respondent is Orlando Fernandez</t>
  </si>
  <si>
    <t>Members of PNP Piat, Cag.</t>
  </si>
  <si>
    <t>3 pcs. White Lauan lumber</t>
  </si>
  <si>
    <t>Finished Narra door w/ casing/frame glass</t>
  </si>
  <si>
    <t>1 unit TMX 155 w/ kulong-kulong</t>
  </si>
  <si>
    <t>PNP Station Gonzaga/ PSSg. Erick Caliva</t>
  </si>
  <si>
    <t>The respondent is Pepito Tablac</t>
  </si>
  <si>
    <t>7 pcs. Red &amp; Whtie Lauan lumber</t>
  </si>
  <si>
    <t>The respondents are Bayani Balanta &amp; Zaldy Peralta</t>
  </si>
  <si>
    <t>Taytay, Baggao, cag.</t>
  </si>
  <si>
    <t>490 PCS. Red Lauan lumber</t>
  </si>
  <si>
    <t>1 unit Nissan Pick-up w/ Plate No. BBY 616</t>
  </si>
  <si>
    <t>CENRO Solana</t>
  </si>
  <si>
    <t>The admin proceeding was conducted on February 18, 2020 and endorsed to Region on May 21, 2020</t>
  </si>
  <si>
    <t>Parog Parog, Solana, Cag.</t>
  </si>
  <si>
    <t xml:space="preserve"> CENRO Personnel and PNP Solana</t>
  </si>
  <si>
    <t>42 pcs. Gmelina lumber</t>
  </si>
  <si>
    <t>Under ACP. The alleged owner is Michael Domingo</t>
  </si>
  <si>
    <t>With order of finality received on March 24, 2025 with docket number R2-ED-2023-00195 date promulgated february 15, 2025</t>
  </si>
  <si>
    <t>Apprehended thru Search Warrant against Robert S. Miranda</t>
  </si>
  <si>
    <t>PROVINCE OF CAGAYAN FOR CY 2023</t>
  </si>
  <si>
    <t>Centro Norte, Sto. Niño, Cagayan</t>
  </si>
  <si>
    <t>7 pcs. Narra flitches</t>
  </si>
  <si>
    <t xml:space="preserve">No. of Insidence </t>
  </si>
  <si>
    <t xml:space="preserve">So. Hotspring, Asinga-via, Baggao, Cagayan </t>
  </si>
  <si>
    <t>5 pcs. White Lauan lumbers</t>
  </si>
  <si>
    <t xml:space="preserve">Date of Apprehension </t>
  </si>
  <si>
    <t>admin proceeding was conducted on August 28, 2020</t>
  </si>
  <si>
    <t>February 16, 2020</t>
  </si>
  <si>
    <t>Mallummin, Tuao, Cagayan</t>
  </si>
  <si>
    <t>33 pcs. White Lauan lumbers</t>
  </si>
  <si>
    <t>2 units Honda motorcycles</t>
  </si>
  <si>
    <t>Name of claimant/owner</t>
  </si>
  <si>
    <t>July 25, 2021</t>
  </si>
  <si>
    <t>CONFISCATED IN FAVOR OF THE GOCVERNMENT DATED FEBRUARY 15, 2023</t>
  </si>
  <si>
    <t>Estimated value</t>
  </si>
  <si>
    <t>Sinaragat, So. Baguio Point, Penablanca, Cag.</t>
  </si>
  <si>
    <t>Barangay Hall of Asinga-via, Baggao, Cag.</t>
  </si>
  <si>
    <t>Place Impounded</t>
  </si>
  <si>
    <t>PENRO, Sub-Office, MENRO and PNP Penablanca and Phil. Coast Guard</t>
  </si>
  <si>
    <t>60 pcs. CHW lumber/flitches</t>
  </si>
  <si>
    <t>Result of ACP is forwarded to RO per Memo of the PENRO dated October 18, 2022</t>
  </si>
  <si>
    <t>Gagabutan West, Rizal, Cagayan</t>
  </si>
  <si>
    <t>Chainsaw</t>
  </si>
  <si>
    <t>With Order of Finality received on March 25, 2026 promulgated on May 27, 2025 with Docket No. R2-ED-2024-411</t>
  </si>
  <si>
    <t>February 12, 2022</t>
  </si>
  <si>
    <t>So. Estancia, Tamban, Alcala, Cag.</t>
  </si>
  <si>
    <t>PNP Alcala &amp; CENRO Personnel</t>
  </si>
  <si>
    <t>PNP Rizal</t>
  </si>
  <si>
    <t>34 pcs. Red Lauan lumber/ flitches</t>
  </si>
  <si>
    <t>So. Bauio Point/ Quilendirino - Purok Leader</t>
  </si>
  <si>
    <t>Under the temporary custody of Barangay Kagawad Margarita Capili</t>
  </si>
  <si>
    <t>The respondent is Jone Real. Result of ACP forwarded to RO per Memo dated June 6, 2022. With judgement found guilty beyond reasonable doubt of the crime charged. With Order of Finality received on Dec. 03, 2024 promulgated on Feb. 21, 2023 with Docket No. R2-ED-2023-0024</t>
  </si>
  <si>
    <t xml:space="preserve">Abandoned. </t>
  </si>
  <si>
    <t>Date of ACP Conducted</t>
  </si>
  <si>
    <t>Order of Resolution</t>
  </si>
  <si>
    <t>CONFISCATED IN FAVOR OF THE GOCVERNMENT DATED JANUARY 13,2023. With Order of Finality received on Dec. 03, 2024 promulgated on Jan. 13, 2023 with Docket No. R2-ED-2023-0006</t>
  </si>
  <si>
    <t>12 pcs. Red Lauan lumber/ flitches</t>
  </si>
  <si>
    <t>A criminal case was filed thru inquest proceedings against Mr. Felipe Gannaban on May 19, 2020 NPS no. II-02T-INQ-20B-00018. Admin proceeding was conducted on July 14, 2020</t>
  </si>
  <si>
    <t>Order of Finality</t>
  </si>
  <si>
    <t>February 18, 2022</t>
  </si>
  <si>
    <t>Km 15, So. Daligadig, Sta. Margarita, Baggao, Cag.</t>
  </si>
  <si>
    <t>44 pcs. Mayapis lumber</t>
  </si>
  <si>
    <t>Angang, Tuao, Cag.</t>
  </si>
  <si>
    <t>Remarks</t>
  </si>
  <si>
    <t>PNP Tuao, 4th MP, 1st CPMFC</t>
  </si>
  <si>
    <t>109 pcs. Red lauan lumber</t>
  </si>
  <si>
    <t>1 unit Jitney w/ Plate No. BVT-310</t>
  </si>
  <si>
    <t xml:space="preserve">CONFISCATED in favor of the government dated November 22, 2021. The Motion for Reconsideration filed by Basilio Bayog is hereby denied for lack of merit per Order dated April 19, 2022. </t>
  </si>
  <si>
    <t>With Order of Finality received on Dec. 03, 2024 promulgated on June 23, 2023 with Docket No. R2-ED-2023-0125</t>
  </si>
  <si>
    <t>Purok 6, Cato, Tuao, cag.</t>
  </si>
  <si>
    <t>CENRO Personnel, LGU and PNP Tuao</t>
  </si>
  <si>
    <t>78 pcs. Gmelina lumber</t>
  </si>
  <si>
    <t>Admin Proceedings was conducted on August 11 &amp; 14, 2020. With Order of Finality received on Dec. 03, 2024 promulgated on June 15, 2023 with Docket No. R2-ED-2023-0105</t>
  </si>
  <si>
    <t>April 14, 2020</t>
  </si>
  <si>
    <t>Brgy. Annaguan, Rizal, Cagagayn</t>
  </si>
  <si>
    <t>CENRO, PNP Rizal and BLGU Annaguan personnel</t>
  </si>
  <si>
    <t>10 pcs CHW flitches</t>
  </si>
  <si>
    <t>33, 115.00</t>
  </si>
  <si>
    <t>Donated to LGU of Rizal, Cagayan</t>
  </si>
  <si>
    <t>April 15 &amp; 16, 2020</t>
  </si>
  <si>
    <t>Brgy. Niug Norte and Sidiran, Sto. Niño, Cag.</t>
  </si>
  <si>
    <t>CENRO and PNP Sto. Niño Personnel</t>
  </si>
  <si>
    <t xml:space="preserve">14 pcs Gmelina Flitches </t>
  </si>
  <si>
    <t>CENRO Commpound</t>
  </si>
  <si>
    <t>The Administrative Confiscation Proceedings was conducted on July 28, 2020 Blotter entry No. 2020-04-442 and 2020-04-450</t>
  </si>
  <si>
    <t>CONFISCATED IN FAVOR OF THE GOVERNMENT DATED DECEMBER 13,2022</t>
  </si>
  <si>
    <t>Sidiran, Sto. Niño, Cagayan</t>
  </si>
  <si>
    <t>3 pcs. Antipolo flitches</t>
  </si>
  <si>
    <t>March 17, 2022</t>
  </si>
  <si>
    <t xml:space="preserve">So. Dapir, Sta. Margarita, Baggao, Cag. </t>
  </si>
  <si>
    <t>Dabbac Grande, Baggao, Cag.</t>
  </si>
  <si>
    <t>PNP Baggao and CENRO personnel</t>
  </si>
  <si>
    <t>The respodents are Dionisio Matalang &amp; Eduardo Soriano. Result of ACP forwarded to RO dated June 6, 2022. With Order of Finality received on Dec. 03, 2024 promulgated on Feb. 17, 2023 with Docket No. R2-ED-2023-0011</t>
  </si>
  <si>
    <t>With Order of Resolution received on Jan. 15, 2024 promulgated Nov. 08, 2023 with Docket No. R2-ED-2023-00258</t>
  </si>
  <si>
    <t>1 unit kulong-kulong w/ Euro 150 w/ engine 161FMJG21035</t>
  </si>
  <si>
    <t>The identified offender is Steward Antonio</t>
  </si>
  <si>
    <t>February 19, 2020</t>
  </si>
  <si>
    <t>So. Caburao, Bagunot, Baggao, Cag.</t>
  </si>
  <si>
    <t>8 pcs.Softwood</t>
  </si>
  <si>
    <t>With Order of finality received on March 20,2025 with docket number R2-ED-2023-00258</t>
  </si>
  <si>
    <t>CENRO and PNP Rizal Personnel</t>
  </si>
  <si>
    <t>35 pcs CHW flitches/lumbeers</t>
  </si>
  <si>
    <t>April 25, 2020</t>
  </si>
  <si>
    <t>CENRO and PNP Piat Personnel</t>
  </si>
  <si>
    <t>7 pcs flitches/lumbers</t>
  </si>
  <si>
    <t>The identified offender is Jhong Saleste &amp; Mariloy Marcelo</t>
  </si>
  <si>
    <t>April 30, 2020</t>
  </si>
  <si>
    <t>6 pcs. Bañacao</t>
  </si>
  <si>
    <t>Zone 4, Dabbac Grande, Baggao, Cag.</t>
  </si>
  <si>
    <t>Brgy. San Luis, Tuao, Cag.</t>
  </si>
  <si>
    <t>CENRO and PNP Tuao Personnel</t>
  </si>
  <si>
    <t>1 pcs Mahogany</t>
  </si>
  <si>
    <t xml:space="preserve">Qty./ form </t>
  </si>
  <si>
    <t>14 pcs. White Lauan lumber</t>
  </si>
  <si>
    <t>Vol. (cu.m.)</t>
  </si>
  <si>
    <t>under Administrative Confiscation Proceedings Blotter entry No. 2020-04-445</t>
  </si>
  <si>
    <t>With Order of Resolution received on June 13, 2024 promulgated April. 01, 2024 with Docket No. R2-ED-2024-00101</t>
  </si>
  <si>
    <t>May 3, 2020</t>
  </si>
  <si>
    <t>Barancuag, Tuao, Cag.</t>
  </si>
  <si>
    <t>under Administrative Confiscation Proceedings dated August 18, 2020 Blotter entry No. 2020-05-267</t>
  </si>
  <si>
    <t>Brgy. Mungo, Tuao, Cag.</t>
  </si>
  <si>
    <t>under Administrative Confiscation Proceedings dated August 18, 2020 Blotter entry No. 2020-05-264</t>
  </si>
  <si>
    <t>Brgy. Calaoagan, Piat, Cag.</t>
  </si>
  <si>
    <t>12 pcs Gmelina Lumbers</t>
  </si>
  <si>
    <t>Notice of Issuance of Order received on July 7, 2026 with docket number R2-ED-2021-0159 promulgated on June 25, 2026</t>
  </si>
  <si>
    <t>Brgy. Dungao, Sto. Niño, Cag.</t>
  </si>
  <si>
    <t>CENRO and PNP Sto. Niño, Cagayan</t>
  </si>
  <si>
    <t>6 pcs narra Flitches</t>
  </si>
  <si>
    <t>Vol. (bd.ft.)</t>
  </si>
  <si>
    <t>January 7, 2021 (4:30 am)</t>
  </si>
  <si>
    <t>The respondents are Eduardo Soriano, Dionisio Matalang and Jeffrey Pattaui. Result of ACP forwarded to RO per memo dated October 17, 2022</t>
  </si>
  <si>
    <t>March 28, 2022</t>
  </si>
  <si>
    <t>51 pieces Gmelina lumbers</t>
  </si>
  <si>
    <t>under Administrative Confiscation Proceedings Blotter entry No. 2020-05-517</t>
  </si>
  <si>
    <t>Brgy. Bulagao, Tuao, Cag.</t>
  </si>
  <si>
    <t>PNP Tuao Personnel and BLGU Bulagao, Tuao Personnel</t>
  </si>
  <si>
    <t>3 pcs Gmelina Flitches</t>
  </si>
  <si>
    <t>under Administrative Confiscation Proceedings Blotter entry No. 2020-05-303. With Order of Finality received on Dec. 03, 2024 promulgated on June 02, 2023 with Docket No. R2-ED-2023-0079</t>
  </si>
  <si>
    <t>May 20, 2020</t>
  </si>
  <si>
    <t>Brgy. Catarauan, Piat, Cag.</t>
  </si>
  <si>
    <t>PNP Tuao and BLGU Catarauan, Piat personnel</t>
  </si>
  <si>
    <t>6 pcs Gmelina Lumber</t>
  </si>
  <si>
    <t>1 unit Chainnsaw</t>
  </si>
  <si>
    <t>May 21, 2020</t>
  </si>
  <si>
    <t>Brgy. San Vicente, Tuao, Cag.</t>
  </si>
  <si>
    <t>MENRO Baggao, PNP Baggao and CENRO Personnel</t>
  </si>
  <si>
    <t>37 pcs. Dao, Mangachapui and Tindalo</t>
  </si>
  <si>
    <t>With Order of Resolution received on Dec. 23, 2023 promulgated on Oct. 20, 2023 with Docket No. R2-ED-2023-00246</t>
  </si>
  <si>
    <t>Confiscated in favor of the gvernment dated December 7, 2021</t>
  </si>
  <si>
    <t>Taribubu, Tuao, Cag.</t>
  </si>
  <si>
    <t>9 pcs Red Lauan and 8 pcs Gmelina Lumber</t>
  </si>
  <si>
    <t>1 unit Honda TMX 155 with Kulong-Kulong</t>
  </si>
  <si>
    <t>under Administrative Confiscation Proceedings Blotter entry No. 2020-05-309</t>
  </si>
  <si>
    <t>1 unit Green Utility vehicle w/ Plate No. XAL-795</t>
  </si>
  <si>
    <t>Brgy. Lallayug, Tuao, Cag.</t>
  </si>
  <si>
    <t>I unit Chainsaw</t>
  </si>
  <si>
    <t>under Administrative Confiscation Proceedings Blotter entry No. 2020-05-320</t>
  </si>
  <si>
    <t>Barangay Minanga, Piat, Cagayan</t>
  </si>
  <si>
    <t>24 pcs. CHW</t>
  </si>
  <si>
    <t>PNP Baggao/ PSMS Raquel Tagudin</t>
  </si>
  <si>
    <t>The offender is Roy Ananey</t>
  </si>
  <si>
    <t>The driver is Bernardo Jove and the owner is Elizabeth Lagoc. ACP was conducted on April 4, 2022 and forwarded to RO per Memo dated May 19, 2022</t>
  </si>
  <si>
    <t>June 22, 2022</t>
  </si>
  <si>
    <t>Sta. Margarita, Baggao, Cag.</t>
  </si>
  <si>
    <t>288 pcs. Red Lauan lumber</t>
  </si>
  <si>
    <t>With Order of Finality received on Dec. 03, 2024 promulgated on Aug. 04, 2024 with Docket No. R2-ED-2023-0171</t>
  </si>
  <si>
    <t>June 10, 2020</t>
  </si>
  <si>
    <t>Villa, laida, Tuao, cagayan</t>
  </si>
  <si>
    <t>elements of PNP Tuao</t>
  </si>
  <si>
    <t>7 pcs nymp tree and 4 pcs gmelina</t>
  </si>
  <si>
    <t>With Order of Resolution received on Jan. 05, 2024 promulgated on Oct. 31, 2023 with Docket No. R2-ED-2023-00254.order of finality received on March 24, 2025</t>
  </si>
  <si>
    <t>The identified owner is Mr. Nelson Miranda of Bulagao, Tuao, cag.</t>
  </si>
  <si>
    <t>Bugnay, Tuao, Cagayan</t>
  </si>
  <si>
    <t>19 pcs Gmelina Lumber and 1 round post</t>
  </si>
  <si>
    <t>under Admin Proceedings Blotter Entry No. 2020-07-363</t>
  </si>
  <si>
    <t>Order of Confiscation received on July 24, 2024 promulgated on July 08, 2024 with Docket No. R2-ED-2024-0080</t>
  </si>
  <si>
    <t>July 7, 2020</t>
  </si>
  <si>
    <t>Sto. Tomas, Tuao, Cag.</t>
  </si>
  <si>
    <t>elements of PNP TUao</t>
  </si>
  <si>
    <t>17 pcs Gmelina Lumber</t>
  </si>
  <si>
    <t>Under admin confisation proceedings. With Order of Finality received on Dec. 03, 2024 promulgated on June 05, 2023 with Docket No. R2-ED-2023-0082</t>
  </si>
  <si>
    <t>Date Recorded/Received</t>
  </si>
  <si>
    <t>Brgy. Mabitbitnong, Sto. Niño, Cagayan</t>
  </si>
  <si>
    <t>PNP Sto. Niño personnel</t>
  </si>
  <si>
    <t>5 pcs Gmelina Flitches</t>
  </si>
  <si>
    <t>under Admin Proceedings Blotter Entry No. 2020-07-673 ??????</t>
  </si>
  <si>
    <t>August 31, 2020</t>
  </si>
  <si>
    <t>Balagan, Sto. Nino, Cagayan</t>
  </si>
  <si>
    <t>A case was filed against the respondent, Joie Delos Santos docketed under NPS No. II-02-INV-22-F-00215. ACP  conducted Aug. 15, 2022</t>
  </si>
  <si>
    <t>CENRO and PNP Sto. Nino Personnel</t>
  </si>
  <si>
    <t>3 pcs CHW</t>
  </si>
  <si>
    <t>CONFISCATED in favor of the government dated June 23, 2021</t>
  </si>
  <si>
    <t>With Order of Finality received on Oct. 15, 2024 promulgated on April 16, 2024 with Docket No. R2-ED-2024-0109</t>
  </si>
  <si>
    <t>October 28, 2020</t>
  </si>
  <si>
    <t>Brgy Dungao Sto Niño Cagayan</t>
  </si>
  <si>
    <t>Members of the PNP Sto. Niño Cagayan</t>
  </si>
  <si>
    <t>3 pcs Mahogany lumbers and 1 unfinished door panel</t>
  </si>
  <si>
    <t>1 unit non serviceable electric drill bit and 1 pc chisel</t>
  </si>
  <si>
    <t>Under admin confisation proceedings. With Order of Finality received on Dec. 03, 2024 promulgated on June 05, 2023 with Docket No. R2-ED-2023-0083</t>
  </si>
  <si>
    <t>November 26, 2020</t>
  </si>
  <si>
    <t>Brgy Batu Rizal Cagayan</t>
  </si>
  <si>
    <t>Docket Number</t>
  </si>
  <si>
    <t>Elements of PNP Rizal cagayan</t>
  </si>
  <si>
    <t>5 pcs red lauan lumber and flitches</t>
  </si>
  <si>
    <t>July 6, 2022</t>
  </si>
  <si>
    <t>Date Promulgated</t>
  </si>
  <si>
    <t>December 03, 2020</t>
  </si>
  <si>
    <t>Centro Sur, Sto. Niño, Cagayan</t>
  </si>
  <si>
    <t>PNP Sto. Niño &amp;Task Force Lingkod Cagayan</t>
  </si>
  <si>
    <t>32 pcs Assorted Lumbers</t>
  </si>
  <si>
    <t>With Order of Resolution received on Jan. 23, 2024 promulgated on Nov. 22, 2023 with Docket No. R2-ED-2023-00300.Update RO re: the case filed against the respondent With order of finality received on March 19,2025 with docket number R2-ED-2023-00300</t>
  </si>
  <si>
    <t>So. Daligadig, Sta. Margarita, Cagayan</t>
  </si>
  <si>
    <t>78 pcs. Red Lauan and Mangachapui lumber</t>
  </si>
  <si>
    <t>December 13, 2020</t>
  </si>
  <si>
    <t>Barangay 02, Enrile, Cagayan</t>
  </si>
  <si>
    <t>PNP Enrile &amp; LGU Enrile</t>
  </si>
  <si>
    <t>3 pcs Miscellaneous species round post</t>
  </si>
  <si>
    <t>With Order of Resolution received on Jan. 23, 2024 promulgated on Nov. 22, 2023 with Docket No. R2-ED-2023-00300.Update RO re: the case filed against the respondent. 
With Order of Finality received on Oct. 15, 2024 with Docket No. R2-ED-2024-0030 promulgated on March 01, 2024.</t>
  </si>
  <si>
    <t>December 18, 2020</t>
  </si>
  <si>
    <t>Zone 4 Barangay Sampaguita, Solana, Cagayan</t>
  </si>
  <si>
    <t>11 pcs Gmelina lumbers &amp; 4 Gmelina slabs</t>
  </si>
  <si>
    <t>With Order of Resolution received on May. 03, 2024 promulgated on March 01, 2024 with Docket No. R2-ED-2024-0030.Update RO re: the case filed against the respondent</t>
  </si>
  <si>
    <t>Centro Norte, Sto. Nino, Cag.</t>
  </si>
  <si>
    <t>PNP Sto. Nino</t>
  </si>
  <si>
    <t>44 pcs. Red Lauan and Anabiong lumber</t>
  </si>
  <si>
    <t>With Order of Resolution received on Oct. 11, 2024 promulgated on August 28, 2024 with Docket No. R2-ED-2024-0055</t>
  </si>
  <si>
    <t>The identified respondent is Rosemarie Lazo. Result of admin proceeding forwarded to RO per memo dated September 1, 2021</t>
  </si>
  <si>
    <t>January 18, 2021</t>
  </si>
  <si>
    <t>Hacienda Intal, Baggao, Cag.</t>
  </si>
  <si>
    <t>40 pcs. Lamio</t>
  </si>
  <si>
    <t>Result of ACP forwarded to RO dated November 16, 2022</t>
  </si>
  <si>
    <t>With Order of Confiscation received on July 24, 2024 promulgated on July 08, 2024 with Docket No. R2-Ed-2024-00146</t>
  </si>
  <si>
    <t>Brgy. Curva, Pamplona, Cagayan</t>
  </si>
  <si>
    <t>355 pcs. Imported lumber</t>
  </si>
  <si>
    <t>The identified offender is Mr. Julius Pagulayan</t>
  </si>
  <si>
    <t>order of finality received on March 24, 2025 with docket number R2-ED-2023-00210 date promulgated February 15, 2025</t>
  </si>
  <si>
    <t>January 19, 2021</t>
  </si>
  <si>
    <t>Isuzu Elf w/ Plate No. BCL-351</t>
  </si>
  <si>
    <t>July 16, 2022</t>
  </si>
  <si>
    <t>19 pcs Gmelina lumber</t>
  </si>
  <si>
    <t>A case was filed against the respondent, Reynaldo Diaz docketed under NPS No. II-02-INQ-226-00114</t>
  </si>
  <si>
    <t>July 28, 2022</t>
  </si>
  <si>
    <t>Zone 2, Hacienda Intal, Baggao, Cagayan</t>
  </si>
  <si>
    <t>13 pcs. Red Lauan lumbers</t>
  </si>
  <si>
    <t>So. Cabalongan, Hacienda Intal Baggao, Cag.</t>
  </si>
  <si>
    <t>1 unit kulong-kulong</t>
  </si>
  <si>
    <t>The respondents are Jovenal Domingo, Kenjie Viray and Jaypee Danga. Result of ACP forwarded to RO per Memo dated October 17, 2022</t>
  </si>
  <si>
    <t>August 11, 2022</t>
  </si>
  <si>
    <t>PNP Station, Pamplona, Cag.</t>
  </si>
  <si>
    <t>So. Pagapag, Sta. Margarita, Baggao, Cagayan</t>
  </si>
  <si>
    <t>4 pcs. Bagtikan flitches</t>
  </si>
  <si>
    <t>Under adjudication proceddings Release by CENRO Sanchez Mira</t>
  </si>
  <si>
    <t>Result of ACP forwarded to RO per Memo dated November 10, 2022</t>
  </si>
  <si>
    <t>With Order of Confiscation received on May 22, 2024 promulgated on April 01, 2024 with Docket No. R2-ED-2024-0099. With Order of Finality received on October 15, 2024 promulgated on April 01, 2024 with Docket No. R2-ED-2024-099</t>
  </si>
  <si>
    <t>September 9, 2022 (1:06PM)</t>
  </si>
  <si>
    <t>Sitio Daligadig, Sta. Margarita, Baggao, Cagayan</t>
  </si>
  <si>
    <t>PENRO Task force, PNREO and CENRO Alcala personnel</t>
  </si>
  <si>
    <t>53 pieces Mayapis and Bolong-eta lumber/flitches</t>
  </si>
  <si>
    <t>32 pcs. CHW lumber</t>
  </si>
  <si>
    <t>February 17, 2020</t>
  </si>
  <si>
    <t>Guiddam Abulug Cagayan</t>
  </si>
  <si>
    <t>203 pcs assorted lumber</t>
  </si>
  <si>
    <t>Isuzu Elf w/ Plate No. TKF 963</t>
  </si>
  <si>
    <t>CENRO Sanchez Mira Compound</t>
  </si>
  <si>
    <t>Santiago, Sanchez Mira, cag.</t>
  </si>
  <si>
    <t>PNP Sanchez Mira</t>
  </si>
  <si>
    <t>43 pieces Tanguile lumber</t>
  </si>
  <si>
    <t>4 units motrcycle with kulong-kulong</t>
  </si>
  <si>
    <t xml:space="preserve"> Result of ACP forwarded to RO dated March 28, 2022. (late reported by CENRO not included on Annual 2020)</t>
  </si>
  <si>
    <t>Libertad, Abulug, Cagayan</t>
  </si>
  <si>
    <t>PNP Abulug Police Station</t>
  </si>
  <si>
    <t>8 pcsTanguile Lumbers</t>
  </si>
  <si>
    <t>Mini Dump Trunk Mitsubishi Canter 
Plate No. AAT 3026</t>
  </si>
  <si>
    <t>A Crim. Case no. 33-2922-20 was filed on May 26, 2020.GUILTY. CONFISCATED in favor of the government dated November 8, 201</t>
  </si>
  <si>
    <t>June 26, 2020</t>
  </si>
  <si>
    <t>Sitio San Jose, Brgy. Taggat, Claveria, Cagayan</t>
  </si>
  <si>
    <t>10 pcs Tanguile Lumbers</t>
  </si>
  <si>
    <t>Cosfiscation Scheduled on July 14, 21 and 28, 2020. CONFISCATED in favor of Govrnment dated October 12, 2020. With Order of Finality received on Nov. 12, 2024 promulgated on Oct. 12, 2020 with Docket No. R2-ED-2020-0097</t>
  </si>
  <si>
    <t>January 29, 2021</t>
  </si>
  <si>
    <t>So. Nagragadian, Hacienda Intal, Baggao, Cag.</t>
  </si>
  <si>
    <t>Satellite Office of Capitol at Nassiping, Gattaran, cagayan</t>
  </si>
  <si>
    <t>Result of ACP forwarded to RO per Memo of the PENRO dated December 2, 2022</t>
  </si>
  <si>
    <t>With Order of Finality received on Oct. 15, 2024 promulgated on January 08, 2024 with Docket No. R2-ED-2024-0008</t>
  </si>
  <si>
    <t>September 9, 2022 (2:13PM)</t>
  </si>
  <si>
    <t xml:space="preserve">92 pieces Narra, Mangachapui, Tindalo, White Lauan and Malamaceda lumber/flitches </t>
  </si>
  <si>
    <t>Abandoned. Confiscated in favor of the government dated Oct. 26, 2021</t>
  </si>
  <si>
    <t>January 28, 2021</t>
  </si>
  <si>
    <t>Awallan, Baggao, Cag.</t>
  </si>
  <si>
    <t>MENRO, PNP Baggao &amp; CENRO Personnel</t>
  </si>
  <si>
    <t xml:space="preserve">12 pcs. Mayapis lumber </t>
  </si>
  <si>
    <t>Abandoned. With Order of Finality received on Dec. 03, 2024 promulgated on May 15, 2023 with Docket No. R2-ED-2023-0061</t>
  </si>
  <si>
    <t>January 31, 2021</t>
  </si>
  <si>
    <t>So. Hotspring, Asinga via, Baggao, Cag.</t>
  </si>
  <si>
    <t>5 pcs. White Lauan</t>
  </si>
  <si>
    <t>February 9, 2021</t>
  </si>
  <si>
    <t>1 mini chainsaw (STIHL)</t>
  </si>
  <si>
    <t>With Order of Resolution received on Dec. 15, 2023 promulgated on Oct. 17, 2023 with Docket No. R2-ED-2023-00241</t>
  </si>
  <si>
    <t>Capalilian, Pamplona, Cagayan</t>
  </si>
  <si>
    <t>So. Manuli, Bitag Grande, Baggao, Cag.</t>
  </si>
  <si>
    <t>18 pcs Mahogany flitches</t>
  </si>
  <si>
    <t>Brgy. Hall of Capalilian, pamplona, cagayn</t>
  </si>
  <si>
    <t>February 10, 2021</t>
  </si>
  <si>
    <t xml:space="preserve"> under Administrative Proceedings . ABANDONED</t>
  </si>
  <si>
    <t>Km. 12, So. Daligadig, Sta. Margarita, Baggao, Cag.</t>
  </si>
  <si>
    <t>23 Narra &amp; CHW lumber/flitches</t>
  </si>
  <si>
    <t>The identified offender is Lorendo Dalere. A case was filed at PPO Tuguegarao City docketed under NPS No. II-02-INQ-21B-21B-00039. Result of ACP forwarded to RO per memo dated December 28, 2021</t>
  </si>
  <si>
    <t>Order of Finality received on August 6, 2026 with docket number R2-ED-2022-0064 promulgated on July 7, 2022</t>
  </si>
  <si>
    <t>August 16, 2020</t>
  </si>
  <si>
    <t>Casitan, Pamplona, Cagayan</t>
  </si>
  <si>
    <t>PNP Pamplona and CENRO Sanchez Mira</t>
  </si>
  <si>
    <t>25 pcs Tanguile Lumber</t>
  </si>
  <si>
    <t>So. Tabuan, Mocag, Baggao, Cag.</t>
  </si>
  <si>
    <t>PNP Baggao &amp; CENRO Personnel</t>
  </si>
  <si>
    <t>1 UNIT KULONG-KULONG</t>
  </si>
  <si>
    <t>The respondent is Jimmy Bosas. Result of ACP forwarded to RO per memo dated November 26, 2021. A case was filed at PPO Tugegarao City on February 11, 2021 docketed under NPS No. I-02a-INQ-21B-00040</t>
  </si>
  <si>
    <t>February 14, 2021</t>
  </si>
  <si>
    <t>Taguntungan, Baggao, cagayan</t>
  </si>
  <si>
    <t>The respondent is Richard Tolentino &amp; Elson Tolentino</t>
  </si>
  <si>
    <t>February 15, 2021</t>
  </si>
  <si>
    <t>Zone 6, San Miguel, baggao, Cag.</t>
  </si>
  <si>
    <t>under Administrative Proceedings, ABANDONED</t>
  </si>
  <si>
    <t>15 pcs. Red &amp;White Lauan</t>
  </si>
  <si>
    <t>Tabba, Pamplona, Cagayan</t>
  </si>
  <si>
    <t>LGU Pampona and CENRO Personnel</t>
  </si>
  <si>
    <t>170 pcs Tanguile Lumber</t>
  </si>
  <si>
    <t>LGU Pamplona Compound</t>
  </si>
  <si>
    <t>Retrieval from the inventoried uprooted trees. admin proceedings confiscation was conducted on September 24, 2020</t>
  </si>
  <si>
    <t>September 9, 2020</t>
  </si>
  <si>
    <t>Sitio Cabayo, Brgy. Langagan, Sanchez mira</t>
  </si>
  <si>
    <t>CENRO Sanchez Mira Personnel</t>
  </si>
  <si>
    <t>29 pcs Tanguile Lumbers</t>
  </si>
  <si>
    <t>CONFISCATED in favor of the government dated March 24, 2022</t>
  </si>
  <si>
    <t>Bacsay Cataraoan sur, Claveria, Cagayan</t>
  </si>
  <si>
    <t>292 pcs Tanguile and Mayapis Lumber</t>
  </si>
  <si>
    <t>Under custody of brgy. Hall.</t>
  </si>
  <si>
    <t xml:space="preserve"> The Admin Proceedings was conducted on October 2, 2020. Retrieval from the inventoried uprooted trees</t>
  </si>
  <si>
    <t>With Order of Resolution received on Jan. 15, 2024 promulgated on Nov. 24, 2023 with Docket No. R2-ED-2023-00276 with order of finality received on March 21, 2025</t>
  </si>
  <si>
    <t>Jan. 05,2023</t>
  </si>
  <si>
    <t>Tabbugan, Claveria, Cagayan</t>
  </si>
  <si>
    <t xml:space="preserve">CENRO Personnel </t>
  </si>
  <si>
    <t>86 pcs CHW Lumbers</t>
  </si>
  <si>
    <t>February 18, 2021</t>
  </si>
  <si>
    <t xml:space="preserve"> The Admin Proceedings was conducted on October 1, 2020. Retrieval from the inventoried uprooted trees</t>
  </si>
  <si>
    <t>Zone 7, San Miguel, Baggao, Cag.</t>
  </si>
  <si>
    <t>September 11, 2020</t>
  </si>
  <si>
    <t>Taggat Sur Claveria Cagayan</t>
  </si>
  <si>
    <t>8 pcs Tanguile lumber</t>
  </si>
  <si>
    <t>September 13, 2020</t>
  </si>
  <si>
    <t>Gattu, Paplona, Cagayan</t>
  </si>
  <si>
    <t>Abandoned. CONFISCATED in favor of the government dated Oct. 26, 2021</t>
  </si>
  <si>
    <t>35 pcs Tanguile Lumber</t>
  </si>
  <si>
    <t>CONFISCATED in favor of the government dated March 28, 2022</t>
  </si>
  <si>
    <t>September 14, 2020</t>
  </si>
  <si>
    <t>30 pcs Tanguile Lumbers</t>
  </si>
  <si>
    <t>Notice of Issuance of Order received on June 9, 2026 with docket number R2-ED-2022-0115 and date promulgated May 25, 2026</t>
  </si>
  <si>
    <t>September 17, 2020</t>
  </si>
  <si>
    <t>Macatel, Sta. Praxedez, Cagayan</t>
  </si>
  <si>
    <t>LGU Sta. Praxedez and CENRO Personnel</t>
  </si>
  <si>
    <t>29 pcs CHW Lumber</t>
  </si>
  <si>
    <t>September 9, 2022 (4:06PM)</t>
  </si>
  <si>
    <t>LGU Sta. Praxedez compound</t>
  </si>
  <si>
    <t>Retrieval from the inventoried uprooted trees. admin proceeding was conducted on October 9, 2020</t>
  </si>
  <si>
    <t>14 pieces Red Lauan lumbers</t>
  </si>
  <si>
    <t>San Juan, Sta. Praxedes, Cagayan</t>
  </si>
  <si>
    <t>20 pcs CHW Lumber</t>
  </si>
  <si>
    <t>admin proceeding was conducted on October 9, 2020</t>
  </si>
  <si>
    <t>September 20, 2020</t>
  </si>
  <si>
    <t>Union, Claveria, Cagayan</t>
  </si>
  <si>
    <t>966 pcs CHW Lumbers</t>
  </si>
  <si>
    <t xml:space="preserve"> The Admin Proceedings was conducted on October 8, 2020. Retrieval from the inventoried uprooted trees</t>
  </si>
  <si>
    <t>Bangag, Aparri, Cagayan</t>
  </si>
  <si>
    <t>PNP Aparri, INTEL Pmaplona and CENRO Sanchez Mira</t>
  </si>
  <si>
    <t>2 pcs round logs tibeg and malapapaya</t>
  </si>
  <si>
    <t>2 chainsaw assemnled</t>
  </si>
  <si>
    <t>Brgy. Kagawad of Bangag, Appari and PNP Apparri, Cag.</t>
  </si>
  <si>
    <t>Date recieved February 17, 2025, date promulgated December 5, 2024 with docket number R2-ED-2024-0050</t>
  </si>
  <si>
    <t>December 02, 2020</t>
  </si>
  <si>
    <t>CENRO and PNP Pamplona</t>
  </si>
  <si>
    <t>40 pcs. Tanguile and Kamagong lumber</t>
  </si>
  <si>
    <t>September 15, 2022 (5:00PM)</t>
  </si>
  <si>
    <t>So. Birao, Hacienda Intal, Baggao, Cagayan</t>
  </si>
  <si>
    <t xml:space="preserve">10 pcs. White Lauan flitches </t>
  </si>
  <si>
    <t>Robert M.Cabanglan</t>
  </si>
  <si>
    <t>MENRO Baggao Engr. Villamor Tuscano</t>
  </si>
  <si>
    <t>With Order of Finality received on March 21, 2025 with docket number r2-ed-2023-00192 date promulgated February 15, 2025</t>
  </si>
  <si>
    <t>8 pcs. narra lbr.2pcs. Lauan lbr.</t>
  </si>
  <si>
    <t>Sitio Caburao, Bagunot, Baggao, Cagayan</t>
  </si>
  <si>
    <t>18 pcs Softwood lumber</t>
  </si>
  <si>
    <t>With Order of Resolution received on Jan. 23, 2024 promulgated on Nov. 9, 2023 with Docket No. R2-ED-2023-00278</t>
  </si>
  <si>
    <t>September 16, 2022</t>
  </si>
  <si>
    <t xml:space="preserve">With order of finality received on March 19, 2025 </t>
  </si>
  <si>
    <t>CENRO Personnel and MENRO Baggao</t>
  </si>
  <si>
    <t>8 pcs of Narra flitches</t>
  </si>
  <si>
    <t>Dalicunan, Remus, Cag.</t>
  </si>
  <si>
    <t>4 pcs. Red Lauan</t>
  </si>
  <si>
    <t>The identified offender is Marlon Diza. A case was filed at PPO Tuguegarao City on February 24, 2021 docketed under NPS No. II-02-INQ-21B-00060. Result of ACP forwarded to RO</t>
  </si>
  <si>
    <t>Notice of Issuance of Order received on May 25, 2026 with docket number R2-ED-2022-0114 and date promulgated May 18, 2026</t>
  </si>
  <si>
    <t>CONFISCATED in favor of the government dated October 15, 2021</t>
  </si>
  <si>
    <t>December 07, 2020</t>
  </si>
  <si>
    <t>Culao, Claveria, Cagayan</t>
  </si>
  <si>
    <t>CENRO and MPS Claveria</t>
  </si>
  <si>
    <t>36 pcs. Tanguile lumber</t>
  </si>
  <si>
    <t>September 22, 2022</t>
  </si>
  <si>
    <t>KM 16 Sta. Margarita, Baggao,Cagayan</t>
  </si>
  <si>
    <t>Order of Resolution received on January 23, 2024 promulgated on Dec. 13, 2023 with Docket No. R2-ED-2023-00280</t>
  </si>
  <si>
    <t>MENRO Baggao, PNP Baggao &amp; PNREO</t>
  </si>
  <si>
    <t>49 pcs Red Lauan lumbers</t>
  </si>
  <si>
    <t>Awaiting Order of Resolution</t>
  </si>
  <si>
    <t>ACP conducted April 26, 2023 (criminal charge against Marlex Belmonte)</t>
  </si>
  <si>
    <t>Zone 6, Awallan, Baggao, Cag.</t>
  </si>
  <si>
    <t>PNP Bagga, Intel Operatives of 1st CPMFC, 2nd MPF and CENRO</t>
  </si>
  <si>
    <t>13 PCS. White Lauan lumbers</t>
  </si>
  <si>
    <t>So. Marus, Hacienda Intal, Baggao,  Cagayan</t>
  </si>
  <si>
    <t>13 pcs red lauan</t>
  </si>
  <si>
    <t>With Order of Finality received on August 3, 2026 with docket number R2-ED-2022-0057</t>
  </si>
  <si>
    <t>PENR OFFICE</t>
  </si>
  <si>
    <t>With order of finality dated march 24, 2025 with docket number R2-Ed-2023-00229</t>
  </si>
  <si>
    <t>February 25, 2021</t>
  </si>
  <si>
    <t>Zone 6 Awallan, Baggao, Cag.</t>
  </si>
  <si>
    <t>25 PCS. chw LUMBERS</t>
  </si>
  <si>
    <t>The identified offenders are Dino Mitua, et.al.</t>
  </si>
  <si>
    <t>So. Daligadig, Baggao, cag.</t>
  </si>
  <si>
    <t>MENRO Baggao &amp; CENRO Personnel</t>
  </si>
  <si>
    <t>9 pcs. Mangachapui</t>
  </si>
  <si>
    <t>Motorcycle (Rusi) with kulong-kulong</t>
  </si>
  <si>
    <t>Temporary custody of Ruel Paguigan of Sta. Margarita, Baggao, cag.</t>
  </si>
  <si>
    <t>PNP,Gonzaga cust.Pat.Junevel Paguirigan</t>
  </si>
  <si>
    <t>So. Masisit, Assassi, Baggao, Cag.</t>
  </si>
  <si>
    <t>ACP DAO 97-32 date jan.1,2023</t>
  </si>
  <si>
    <t>24 pcs. Gmelina &amp; White Lauan</t>
  </si>
  <si>
    <t>CONFISCATED in favor of the government dated December 21, 2021</t>
  </si>
  <si>
    <t>May 12, 2020</t>
  </si>
  <si>
    <t>Manga, Peñablanca, Cag.</t>
  </si>
  <si>
    <t>PENRO Personnel and PNP Peñablanca</t>
  </si>
  <si>
    <t>729 CHW lumber</t>
  </si>
  <si>
    <t>CONFISCATED in favor of the government dated July 14, 2021. 914.0 bd.ft. utilized for depository area of PENRO, 942.9 bd.ft. utilized at CAVAPROMS, 1,596.0 bd.ft. utilized for Office improvements, 2,000 bd.ft. donated to CPPO, and 1,000 bd.ft. donated to 77th Infantry Batallion, Nanguillattan, Penablanca, cag.</t>
  </si>
  <si>
    <t>May 18, 2020</t>
  </si>
  <si>
    <t>Lapi, Peñablanca, cag.</t>
  </si>
  <si>
    <t>PENRO PERSONNEL</t>
  </si>
  <si>
    <t>138 pcs. CHW and Molave lumbers</t>
  </si>
  <si>
    <t>The admin proceeding was conducted, result was forwarded per our Memo dated May 28, 2020. A vol. of 997.0 bd.ft. donated to CPPO, and 853.0 bd.ft. utilized at the roofdeck of PENRO</t>
  </si>
  <si>
    <t>February 28, 2021</t>
  </si>
  <si>
    <t xml:space="preserve">So. Kagubatan, Hacienda Intal, Baggao, Cagayan </t>
  </si>
  <si>
    <t>33 pcs. Red Lauan</t>
  </si>
  <si>
    <t>March 2, 2021</t>
  </si>
  <si>
    <t>16 pcs. Red Lauan</t>
  </si>
  <si>
    <t>March 3, 2021</t>
  </si>
  <si>
    <t>Km. 12, So. Daligadig, Margarita, Baggao, Cagayan</t>
  </si>
  <si>
    <t xml:space="preserve">13 pcs. Banacao lumbers </t>
  </si>
  <si>
    <t>So. Nararan, Lapi, Peñablanca, cag.</t>
  </si>
  <si>
    <t>39 pcs. CHW flitches</t>
  </si>
  <si>
    <t>Marh 4, 2021</t>
  </si>
  <si>
    <t>Zone 3, Misafu, Hacienda Intal, Baggao, Cag.</t>
  </si>
  <si>
    <t>34 pcs. CHW</t>
  </si>
  <si>
    <t>March 5, 2021</t>
  </si>
  <si>
    <t>So. Lanay, Sta. Margarita, Baggao, Cag.</t>
  </si>
  <si>
    <t>Km. 10, So. Daligadig, Sta. Margarita, Baggao, cag.</t>
  </si>
  <si>
    <t>9 pcs. Banacao lumbers</t>
  </si>
  <si>
    <t>January 19, 2022</t>
  </si>
  <si>
    <t>Mungo, Tuao, Cag.</t>
  </si>
  <si>
    <t>22 pieces Gmelina lumber</t>
  </si>
  <si>
    <t xml:space="preserve">1 unit chainsaw </t>
  </si>
  <si>
    <t>Under Administrative Confiscation Proceedings. Edison Durian… Additional hearing conducted on Feb. 05, 2024</t>
  </si>
  <si>
    <t>February 16, 2022 (9:35 AM)</t>
  </si>
  <si>
    <t>a CASE WAS FILED AGAINST Dante Miguel, et.al. docketed under NPS No. II-02-INV-20F-00666, admin confis. Proceedings on July 20, 2020,  Forwarded to Regional Office, CONFISCATED in the favor of government dated October 20, 2020. A vol. of 552.0 bd.ft. donated to Cataggamman Pardo Elemetary School, 509.2 bd.ft. donated Regional Prosecutor, 669.2 donated to DILG-RO2,  527.5 bd.ft. donated to PDEA, and 260.0 bd.ft. With Order of Finality recedived on Nov. 12, 2024 promulgated on Oct. 20, 2020 with Docket No. R2-ED-2020.00106</t>
  </si>
  <si>
    <t>March 6, 2021</t>
  </si>
  <si>
    <t>10 Narra lumber</t>
  </si>
  <si>
    <t>March 8, 2021</t>
  </si>
  <si>
    <t>Km. 14. So. Daligadig, Sta. Margarita, Baggao, cag.</t>
  </si>
  <si>
    <t>19 pcs. Kamagong and Red Lauan</t>
  </si>
  <si>
    <t>Jan. 09,2023</t>
  </si>
  <si>
    <t>March 14, 2021</t>
  </si>
  <si>
    <t>San Jose, Baggao, Cag.</t>
  </si>
  <si>
    <t>The identified respondent is Rema Joy Lacaba</t>
  </si>
  <si>
    <t>Sta. Felicitias, Sto. Niño, Cag.</t>
  </si>
  <si>
    <t>12 pcs. Red Lauan flitches</t>
  </si>
  <si>
    <t>Result of ACP forwarded to RO per Memo dated June 6, 2022</t>
  </si>
  <si>
    <t>March 15, 2021</t>
  </si>
  <si>
    <t>Annafatan, Amulung West, Cagayan</t>
  </si>
  <si>
    <t>Feb. 8, 2022</t>
  </si>
  <si>
    <t>PNP Amulung and CENRO personnel</t>
  </si>
  <si>
    <t>Cato, Tuao, Cagayan</t>
  </si>
  <si>
    <t>28 pcs. Red Lauan lumbers</t>
  </si>
  <si>
    <t>8 pcs. Gmelina</t>
  </si>
  <si>
    <t>Notice of Issuance of Order received</t>
  </si>
  <si>
    <t>Notice of Issuance of Order received on July 1, 2026 with docket number R2-Ed-2022-0119, promulgated on June 23, 2026</t>
  </si>
  <si>
    <t>Feb. 16, 2022</t>
  </si>
  <si>
    <t>Capissayan, Gat., Cag.</t>
  </si>
  <si>
    <t>The identified respondent is William Cordova</t>
  </si>
  <si>
    <t>With order of finality received on March 19,2025 with docket number R2-ED-2023-0056</t>
  </si>
  <si>
    <t>March 18, 2021</t>
  </si>
  <si>
    <t>Cataruan, Amulung, cag.</t>
  </si>
  <si>
    <t>Sisim, Penablanca, cag.</t>
  </si>
  <si>
    <t>LGU Amulung &amp; CENRO personnel</t>
  </si>
  <si>
    <t>60 pcs. CHW lumbers</t>
  </si>
  <si>
    <t>11 pcs. Mango lumber</t>
  </si>
  <si>
    <t>LGU Amulung</t>
  </si>
  <si>
    <t>The identified respondent are Francisco Basiuang &amp; Sammy Boy Felix</t>
  </si>
  <si>
    <t>March 23, 2021</t>
  </si>
  <si>
    <t>Baculod, Amulung, Cag.</t>
  </si>
  <si>
    <t>PNP Amulung and CENRO Alcala</t>
  </si>
  <si>
    <t>12 pcs Red Lauan lumber</t>
  </si>
  <si>
    <t>ACP is on-going</t>
  </si>
  <si>
    <t>1 unit van (orange) w/ Plate No. WTD-812</t>
  </si>
  <si>
    <t>With Order of Finality received on Nove. 12, 2024 promulgated on May 26, 2023 with Docket No. R2-ED-2023-0071</t>
  </si>
  <si>
    <t>Joseph s. Balino</t>
  </si>
  <si>
    <t>7 pcs narra lbr.</t>
  </si>
  <si>
    <t>The respondent is Maximino Lucas y Antonio</t>
  </si>
  <si>
    <t>March 30, 2022</t>
  </si>
  <si>
    <t>With order of finality received on MArch 19, 2025 with docket number R2-ED-2023-00243</t>
  </si>
  <si>
    <t>7 pcs. Gmelina flitches</t>
  </si>
  <si>
    <t>Abolo, Amulung West, Cagayan</t>
  </si>
  <si>
    <t>1 unit motorcycle kulong-kulong</t>
  </si>
  <si>
    <t>Under ACP. Abandoned</t>
  </si>
  <si>
    <t>13 pcs. Red Lauan</t>
  </si>
  <si>
    <t>Notice of Issuance of Order received on August 3, 2026, with docket number R2-ED-2022-0118 promulgated on July 21, 2026</t>
  </si>
  <si>
    <t>The identified owner and driver is Mr. Jerwin "Berong" Pagulayan of Mangga, Penablanca, Cagayan. A case was filed docketed under NPS No. II-02-INV-20F-00672</t>
  </si>
  <si>
    <t>June 11, 2022</t>
  </si>
  <si>
    <t>Batu, Enrile, Cagayan</t>
  </si>
  <si>
    <t>PNP personnel</t>
  </si>
  <si>
    <t>7 Gmelina lumbers and flitches</t>
  </si>
  <si>
    <t>PNP Enrile</t>
  </si>
  <si>
    <t>8 Gmelina lumbers and flitches</t>
  </si>
  <si>
    <t>Notice of Issance of Order received on July 7, 2026, promulgated on July 2, 2026</t>
  </si>
  <si>
    <t>The identified respondent are Romel Narag &amp; Junbee Dansalan</t>
  </si>
  <si>
    <t>July 13, 2022</t>
  </si>
  <si>
    <t>General Balao, Solana, Cagayan</t>
  </si>
  <si>
    <t>March 30, 2021</t>
  </si>
  <si>
    <t>1 pc. Felled Acacia tree</t>
  </si>
  <si>
    <t>San Antonio, Baggao, Cag.</t>
  </si>
  <si>
    <t>16 pcs. Binuang lumber</t>
  </si>
  <si>
    <t>Under the custody of PNP while the chainsaw is under the custody of CENRO</t>
  </si>
  <si>
    <t>The identified offender is Leonardo Camaddo</t>
  </si>
  <si>
    <t>With order of finality received on March 20,2025 with docket number r2-ed-2023-00231 date promulgated february 15, 2025</t>
  </si>
  <si>
    <t>September 5, 2022</t>
  </si>
  <si>
    <t>Villa Maria, Enrile, Cagayan</t>
  </si>
  <si>
    <t>11 pcs. Gmelina lumber</t>
  </si>
  <si>
    <t>So. Mansarong, Sta. Margarita, Baggao, cag.</t>
  </si>
  <si>
    <t>4 pcs. Narra lumber</t>
  </si>
  <si>
    <t>For ACP</t>
  </si>
  <si>
    <t>CONFISCATED in favor of the government dated December 14 2022</t>
  </si>
  <si>
    <t>September 9, 2022</t>
  </si>
  <si>
    <t>Angang, Tuao, Cagayan</t>
  </si>
  <si>
    <t>April 3, 2021</t>
  </si>
  <si>
    <t>94 pcs. Gmelina lumbers</t>
  </si>
  <si>
    <t>PNP Baggao and CENRO Alcala</t>
  </si>
  <si>
    <t>28 pcs. Gmelina/lumbers/flitches</t>
  </si>
  <si>
    <t>1 unit motorcycle w/ sidecar (kulong-kulong)</t>
  </si>
  <si>
    <t>September 11, 2022</t>
  </si>
  <si>
    <t>Matalao, Sto. Niño, Cag.</t>
  </si>
  <si>
    <t>PNP Sto. Niñ0</t>
  </si>
  <si>
    <t>7 pcs. Guijo lumbers</t>
  </si>
  <si>
    <t>1 unit motorized banca</t>
  </si>
  <si>
    <t>September 15, 2022</t>
  </si>
  <si>
    <t>Masi, Rizal, Cagayan</t>
  </si>
  <si>
    <t>PENRO Cagayan and 17th Infantry Battalion Philippine Army</t>
  </si>
  <si>
    <t>86 pcs. Red and White Lauan lumbers/flitches</t>
  </si>
  <si>
    <t>Aguinaldo St. Centro 10, Tuguegarao City</t>
  </si>
  <si>
    <t>The respondent is Jhenelyn Padaong</t>
  </si>
  <si>
    <t xml:space="preserve">PENRO CTF and elements of Provincial Intelligence Unit, Cagayan Provincial Police </t>
  </si>
  <si>
    <t>43 pcs. CHW lumbers</t>
  </si>
  <si>
    <t>Sept. 27, 2022</t>
  </si>
  <si>
    <t>Km 11, So. Daligadig, Sta. Margarita, baggao, Cag.</t>
  </si>
  <si>
    <t>21 pcs. CHW &amp; Narra</t>
  </si>
  <si>
    <t>9 pieces White Lauan lumber</t>
  </si>
  <si>
    <t>CONFISCATED IN FAVOR OF THE GOVERNMENT DATED JANUARY 06.2023. With Order of Finality received on Dec. 03, 2024 promulgated on Jan. 06, 2023 with Docket No. R2-ED-2023-0005</t>
  </si>
  <si>
    <t>with order of resolution received on March 13, 2024 with docket number R2-ED-2024-235 date promulgated 10/17/2024</t>
  </si>
  <si>
    <t>April 7, 2021</t>
  </si>
  <si>
    <t>Casingsingan, Amulung, Cag.</t>
  </si>
  <si>
    <t>Sep. 28, 2022</t>
  </si>
  <si>
    <t>Barangay Villa Maria, Enrile, Cagyan</t>
  </si>
  <si>
    <t>1 pc. Gmelina and 10 pcs. Bagalunga</t>
  </si>
  <si>
    <t>11 pcs Gmelina lumber</t>
  </si>
  <si>
    <t>1 unit chainsaw bearing serial no. 1620200</t>
  </si>
  <si>
    <t>The idenfitifed offender is Carmelito Geron. Result of admin proceeding was forwarded to RO per Memo dated December 27, 2021</t>
  </si>
  <si>
    <t>With Resolution Order received on Jan. 15, 2024 promulgated on Nov. 23, 2023 with Docket No. r2-ED-2023-00277</t>
  </si>
  <si>
    <t>Order of Finality received on August 6, 2026 with docket number R2-ED-2022-0096</t>
  </si>
  <si>
    <t>Sep. 29, 2022</t>
  </si>
  <si>
    <t>Nangalasawan, Amulung, cag.</t>
  </si>
  <si>
    <t>Lanna, Enrile, Cagayan</t>
  </si>
  <si>
    <t>7 pcs. Gmelina flitches/lumbers and slab</t>
  </si>
  <si>
    <t xml:space="preserve">9 Gmelina </t>
  </si>
  <si>
    <t>one unit chainsaw</t>
  </si>
  <si>
    <t>The identified offender is Jacinto Doca</t>
  </si>
  <si>
    <t>For ACP; with order of resolution received on January 8, 2025 with docket number R2-ED-2024-174 date promulgated October 9, 2024</t>
  </si>
  <si>
    <t>With order of finality received on March 19,2025 with docket number R2-ED-2023-0055</t>
  </si>
  <si>
    <t>PNP Gattaran cust Micheal Bulan</t>
  </si>
  <si>
    <t>April 19, 2021</t>
  </si>
  <si>
    <t>1 unit Hyundai Van w/o plate No.</t>
  </si>
  <si>
    <t>Barangay Matalao, Sto. Niño, Cagayan</t>
  </si>
  <si>
    <t>105 Gmelina lumber</t>
  </si>
  <si>
    <t>7 pcs Guijo lumber</t>
  </si>
  <si>
    <t>1 motorized banca</t>
  </si>
  <si>
    <t>With Order of Resolution received on Jan. 23, 2024 promulgated on Dec. 12, 2023 with Docket No. R2-ED-2023-00285</t>
  </si>
  <si>
    <t>3 Offenders(Valentino Pascual, Samuel Galang &amp; Raymund Malana)</t>
  </si>
  <si>
    <t>Oct. 18, 2022</t>
  </si>
  <si>
    <t>Liwan Norte, Enrile, Cagayan</t>
  </si>
  <si>
    <t>2 pcs. Gmelina round logs</t>
  </si>
  <si>
    <t>The respondent is Edwin Galzote &amp; Warlito Robles ACP conducted May 24, 2021, June 7, 2021 and  Counter Affidavit; Order for Release of Chainsaw Aug.01, 2022)</t>
  </si>
  <si>
    <t>Nov. 5, 2022</t>
  </si>
  <si>
    <t>Capaccuan, Rizal, Cag.</t>
  </si>
  <si>
    <t>A CASE was filed againts JOMAR FERRER y DANAO case number 21241 for violation of PD 705 at RTC Branch 5  CRIM. GUILTY beyond reasonable doubt of the crime charged, imprisonment for 6 months to 2 yrs and 4 months of prison Correccional and fine of 12, 458 which half of the confis. lumber by Judge JEZARENE C. AQUINO. Confiscated in favor of the government dated October 29, 2020. Ordered final and executory dated April 12, 2022</t>
  </si>
  <si>
    <t>June 29, 2020</t>
  </si>
  <si>
    <t>So. Abucay, Quibal, Penablanca, Cag.</t>
  </si>
  <si>
    <t>PENRO Cagayan Task Force</t>
  </si>
  <si>
    <t>40 pcs. CHW lumbers/flitches</t>
  </si>
  <si>
    <t>CONFISCATED in favor of the Government dated November 17, 2020. Deteriorated (impounded at the front of PENRO). With Order of Finality received on Nov. 12, 2024 promulgated on Nov. 17, 2020 with Docket No. R2-ED-2020-0138</t>
  </si>
  <si>
    <t>65 pcs. CHW lumbers/flitches</t>
  </si>
  <si>
    <t>CONFISCATED in favor of the government dated November 17, 2021. Deteriorated (impounded at the front of PENRO)With Order of Finality received on Nov. 12, 2024 promulgated on Nov. 17, 2020 with Docket No. R2-ED-2020-0138</t>
  </si>
  <si>
    <t>Baliuag, Penablanca, Cag.</t>
  </si>
  <si>
    <t>PENRO Cagayan Task Force, PNP Penablanca and CPPO</t>
  </si>
  <si>
    <t>17 pcs. White Lauan flitches</t>
  </si>
  <si>
    <t>Offender Reynate Mabborang</t>
  </si>
  <si>
    <t>April 22, 2021</t>
  </si>
  <si>
    <t>Zone 6, San Miguel, Baggao, cag.</t>
  </si>
  <si>
    <t>19 pcs. Gmelina lumber</t>
  </si>
  <si>
    <t>The identified offender is Ricardo Ortiga</t>
  </si>
  <si>
    <t>01/22/2025</t>
  </si>
  <si>
    <t>R2-ED-2024-227</t>
  </si>
  <si>
    <t>An inquest proceedings was conducted against Renato Bautista of Baliuag, penablanca, Cag. Docketed under NPS No. II-02-INQ-20G-00148</t>
  </si>
  <si>
    <t>Barsat West, Baggao, cag.</t>
  </si>
  <si>
    <t>6 Gmelina &amp; Bagalunga</t>
  </si>
  <si>
    <t>With Order of Finality received on August 3, 2026 with docket number R2-ED-2021-0103 promulgated on October 13, 2021</t>
  </si>
  <si>
    <t>The identified offender is Angel Roberedo. A case was filed gainst the respondent at PPO Tuguegarao City docketed under NPS No. II-02-INQ-21D-00120. Result of ACP forwarded to RO per memo dated December 13, 2021</t>
  </si>
  <si>
    <t>8 Gmelina &amp; Bagalunga</t>
  </si>
  <si>
    <t>LGU-Baggao MENRO Frederik C. Tomas</t>
  </si>
  <si>
    <t>The identified offender is Charles Estrande /Already endorsed thru PENRO for resolution</t>
  </si>
  <si>
    <t>April 28, 2021</t>
  </si>
  <si>
    <t>Caratacat, Amulung, cag.</t>
  </si>
  <si>
    <t>15 Gmelina &amp; Bagalunga</t>
  </si>
  <si>
    <t>The identified offenders area Napoleon Suguitan &amp; Joffrey Miguel. A criminal case was filed at TC Branch 5, Tuguegarao City docketed under NPS No. II-02-INV-21D-00243. Result of ACP already forwarded to RO per Memo dated December 27, 2021</t>
  </si>
  <si>
    <t>Assassi, baggao, cag.</t>
  </si>
  <si>
    <t>30 pcs. Gmelina lumber</t>
  </si>
  <si>
    <t>The identified offender is Wilmer Andaya</t>
  </si>
  <si>
    <t>The identified offender is Irene Quistin</t>
  </si>
  <si>
    <t>May 19, 2021</t>
  </si>
  <si>
    <t>Magogod, Amulung, Cag.</t>
  </si>
  <si>
    <t>July 10, 2020</t>
  </si>
  <si>
    <t>12 pcs. Gmelina lumber</t>
  </si>
  <si>
    <t>Camasi, Peñablanca, Cag.</t>
  </si>
  <si>
    <t>237 pcs. CHW lumbers</t>
  </si>
  <si>
    <t>The identified offender is Manuel Ignacio</t>
  </si>
  <si>
    <t>Apprehended thru Search Warrant No. 05-2020..a case was filed against Ms. Esmeralda Furigay NPS Docket No. II-02-INV-20I-00827  for violation of PD 705 Sec. 77. Confiscated in favor of the government dated May 24, 2021</t>
  </si>
  <si>
    <t>Zone 6, Masin, Alcala, Cag.</t>
  </si>
  <si>
    <t>With Order of Finality received on August 3, 2026 with docket number R2-ED-2021-0049 promulgated on May 24, 2026</t>
  </si>
  <si>
    <t>25 pcs. Gmelina lumbers</t>
  </si>
  <si>
    <t>July 11, 2020</t>
  </si>
  <si>
    <t>40 sacks charcoal</t>
  </si>
  <si>
    <t>The admin proceeding already conducted and forwarded to RO dated August 25, 2021</t>
  </si>
  <si>
    <t>Minanga, Penablanca, Cag.</t>
  </si>
  <si>
    <t>25 pcs. CHW lumbers/ flitches</t>
  </si>
  <si>
    <t>Brgy. Mangga, Peñablanca Cagayan</t>
  </si>
  <si>
    <t>The identified respondent is Laine S. Natividad and Jessie Durwin</t>
  </si>
  <si>
    <t>4 pcs Door panels</t>
  </si>
  <si>
    <t>With Order of Resolution received on May 22, 2024 promulgated on April 01, 2024 with Docket No. R2-ED-2024-00107</t>
  </si>
  <si>
    <t>June 6, 2021</t>
  </si>
  <si>
    <t>So. Dapir, Baggao, Cag.</t>
  </si>
  <si>
    <t>33 PCS. Molave, Kamagong and Narra</t>
  </si>
  <si>
    <t>The identified offender is Tolentino Guitelen</t>
  </si>
  <si>
    <t>With order of finality received on March 20,2025 with docket number R2-ED-2023-00219</t>
  </si>
  <si>
    <t>Hacienda Intal, Baggao, cag.</t>
  </si>
  <si>
    <t xml:space="preserve">13 pcs. Gmelina </t>
  </si>
  <si>
    <t>The identified is Reymund Dumayag</t>
  </si>
  <si>
    <t>June 9, 2021</t>
  </si>
  <si>
    <t>Alba Baggao</t>
  </si>
  <si>
    <t>83 pcs Gmelina and Mahogany</t>
  </si>
  <si>
    <t>Truman Ulep &amp;Rodrigo Tehero/folder already endorsed thru PENRO for resolution</t>
  </si>
  <si>
    <t>4 pcs narra</t>
  </si>
  <si>
    <t>Jan. 19,2023</t>
  </si>
  <si>
    <t>Francisco Pascual identified offender/folder already endorsed thru PENRO for resolution</t>
  </si>
  <si>
    <t>With Order of Resolution received on May 20, 2024 promulgated on March 06, 2024 with Docket No. R2-ED-2024-0097. With Order of Finality received on October 17, 2024 promulgated on March 06, 2024 with Docket No. R2-ED-2024-0097</t>
  </si>
  <si>
    <t>June 10, 2021</t>
  </si>
  <si>
    <t>Lasilat Baggao</t>
  </si>
  <si>
    <t>3pcs Kamachili</t>
  </si>
  <si>
    <t>Peterson Paguila identified offender/folder already endorsed thru PENRO for resolution. With Order of Finality received on Dec. 03, 2024 promulgated on June 03, 2023 with Docket No. R2-Ed-2023-0143</t>
  </si>
  <si>
    <t>Monte Alegre, Amulung, Cagayan</t>
  </si>
  <si>
    <t>Baran, Ballesteros, Cagayan</t>
  </si>
  <si>
    <t>Intel Operatives of PNP Ballesteros</t>
  </si>
  <si>
    <t>Jojo Agbayani</t>
  </si>
  <si>
    <t>Maton with Kulong Kulong (BK 9835)</t>
  </si>
  <si>
    <t>So. C. Versosa Pallagao</t>
  </si>
  <si>
    <t xml:space="preserve">PNP Station of Abulug </t>
  </si>
  <si>
    <t>Result of admin proceeding was forwarded to RO per Memo dated August 17, 2021</t>
  </si>
  <si>
    <t xml:space="preserve">3 pcs. Narra </t>
  </si>
  <si>
    <t>The person involved is Mario Domingo Result of ACP already forwarded to RO per memo dated March 28, 2022</t>
  </si>
  <si>
    <t>July 20, 2020</t>
  </si>
  <si>
    <t>Abandoned/under administrative confiscation proceedings</t>
  </si>
  <si>
    <t>PENRO Cagayan Task Force, PNP Penablañca and Brgy. Tanod</t>
  </si>
  <si>
    <t>July 8, 2021</t>
  </si>
  <si>
    <t>So. Marus Baggao</t>
  </si>
  <si>
    <t>14 pcs. Red Lauan</t>
  </si>
  <si>
    <t>7 pcs abandoned lumber/flitches</t>
  </si>
  <si>
    <t>So. Birao,Hacienda Intal, Baggao</t>
  </si>
  <si>
    <t>8 pcs White Lauan and 8 Pcs Red Lauan</t>
  </si>
  <si>
    <t>So. Birao, Hacienda Intal (porok leader)</t>
  </si>
  <si>
    <t>Abbangkeruan, Pamplona, Cagayan</t>
  </si>
  <si>
    <t>10 pieces of White lauan lumbers</t>
  </si>
  <si>
    <t>RUSI 175 motocycle bearing a plante no. BE228090 with kalong-kalong</t>
  </si>
  <si>
    <t>So. Arimit, Baggao</t>
  </si>
  <si>
    <t>1 Pcs chainsaw</t>
  </si>
  <si>
    <t>CENRO Alcala/Aida S. Adap</t>
  </si>
  <si>
    <t>22 pcs Narra and Kamagong</t>
  </si>
  <si>
    <t>July 23, 2021</t>
  </si>
  <si>
    <t>San Miguel Baggao, Cagayan</t>
  </si>
  <si>
    <t>PNP and CENRO Alcala</t>
  </si>
  <si>
    <t>5 pcs Gmelina flitches</t>
  </si>
  <si>
    <t>LGU Baggao</t>
  </si>
  <si>
    <t>A case was filed against Jojo Agbayani at RTC Branch 5, Tuguegarao City docketed under NPS No. II--INQ-21G-00230 on July 24, 2021. Result of ACP forwarded to RO per memo dated December 10, 2021</t>
  </si>
  <si>
    <t>With Order of Resolution received on Oct. 11, 2024 promulgated on September 5, 2024 with docket No. R2-ED-2024-0077</t>
  </si>
  <si>
    <t>CENRO Sanchez Mira, Cagayan/FIII Manuel B. Alcantara</t>
  </si>
  <si>
    <t>The offender is Rexy Baluscang. ACP is on-going</t>
  </si>
  <si>
    <t>February 11, 2022</t>
  </si>
  <si>
    <t>The admin proceeding was conducted on August 18, 2021. A criminal case was filed against Domingo Rafael and Dixon Ortega at RTC Branch 5, Tuguegarao City docketed under NPS No. INQ-216-00230. With Order of Finality received on Dec. 03, 2024 promulgated on June 15, 2023 with Docket No. R2-ED-2023-0137</t>
  </si>
  <si>
    <t>Pata East, Claveria, Cagayan</t>
  </si>
  <si>
    <t>PNP Claveria</t>
  </si>
  <si>
    <t xml:space="preserve">2 round logs and 1 fliches of Gmelina </t>
  </si>
  <si>
    <t>15 Narra and Molave</t>
  </si>
  <si>
    <t>one (1) unit JCK baby chainsaw</t>
  </si>
  <si>
    <t>Claveria PNP Station/ PSSg Francis Tamayo</t>
  </si>
  <si>
    <t>Nicasio Danao</t>
  </si>
  <si>
    <t>August 6, 2021</t>
  </si>
  <si>
    <t>San Isidro Baggao Cagayan</t>
  </si>
  <si>
    <t>Hadji DC Arda, Larry DC. Arda and Melvic DC. Arda</t>
  </si>
  <si>
    <t>36 pcs Gmelina lumber</t>
  </si>
  <si>
    <t>The admin proceeding was conducted on August 18, 2021. A criminal case was filed against Romy Matammu at PPO Tuguegarao City on August 7, 2021 docketed under NPS No. II-02-INQ-21H-00248</t>
  </si>
  <si>
    <t>August 12, 2021</t>
  </si>
  <si>
    <t>For resolution. With Order of Finality received on Nov. 12, 2020 promulagted on Dec. 14, 2020 with Docket No. R2-ED-2020-0148</t>
  </si>
  <si>
    <t>So. Hot Spring, Asinga Via</t>
  </si>
  <si>
    <t>16 pcs Mayapis</t>
  </si>
  <si>
    <t>Abandoned/for endorsement to PENRO</t>
  </si>
  <si>
    <t>So. Natabbatan, Brgy. Lapi, Peñablanca, Cag.</t>
  </si>
  <si>
    <t>With Order of Confiscation received on Jan. 16, 2025 promulgated on November 22, 2024 with docket No. R2-ED-2024-219</t>
  </si>
  <si>
    <t>Masi, Pamplona, Cagayan</t>
  </si>
  <si>
    <t>2nd Mobile Force Company based at Curva, Pamplona, Cag.</t>
  </si>
  <si>
    <t>23 pcs undocumented CHW lumber/flitches</t>
  </si>
  <si>
    <t>70 pcs. Tabguile lumbers</t>
  </si>
  <si>
    <t>10 pcs Tanguile</t>
  </si>
  <si>
    <t>August 23, 2021</t>
  </si>
  <si>
    <t>Mocag Baggao, Cagayan</t>
  </si>
  <si>
    <t>PNP Baggao and DCENRO</t>
  </si>
  <si>
    <t>4 pcs Narra flitches</t>
  </si>
  <si>
    <t>The admin proceeding was conducted on October 13, 2021. A case was filed against Roderick Natividad at PPO Tuguegrao City on August 24, 2021 docketed under NPS No. II-02-INQ-21H-00261</t>
  </si>
  <si>
    <t>With order of finality received on March 19,2025 with docket number R2-ED-2023-00189</t>
  </si>
  <si>
    <t>Nemesio S. Dalipe</t>
  </si>
  <si>
    <t>August 26, 2021</t>
  </si>
  <si>
    <t>10 pcs. R lauan lbr.</t>
  </si>
  <si>
    <t>7 pcs Red Lauan lumber</t>
  </si>
  <si>
    <t>Mateo Cabaro and Marlo Cabaro</t>
  </si>
  <si>
    <t>Bitag Grande Baggao Cagayan</t>
  </si>
  <si>
    <t>MENRO, PNP and CENRO Alcala</t>
  </si>
  <si>
    <t>68 pcs Tangisang Bayawak</t>
  </si>
  <si>
    <t>With Order of Resolution received on Jan. 15, 2024 promulgated on Nov. 24, 2023 with Docket No. R2-ED-2023-00270</t>
  </si>
  <si>
    <t xml:space="preserve">Jonel Natividad. A case as filed at PPO Tuguearao City on August 27, 2021 docketed under NPS o. II-02-INQ-21H-00263. Result of ACP forwarded to RO </t>
  </si>
  <si>
    <t>CONFISCATED in favor of the government dated December 14, 2020. With Order of Finality received on Nov. 12, 2020 promulagted on Dec. 14, 2020 with Docket No. R2-ED-2020-0148</t>
  </si>
  <si>
    <t>Namambalan, Penblanca, cag.</t>
  </si>
  <si>
    <t>PENRO Personnel, elements of Provincial Intelligence Unit and PNP Peñablanca</t>
  </si>
  <si>
    <t>Confiscated in favor of the government dated June 20, 2022</t>
  </si>
  <si>
    <t>August 31, 2021</t>
  </si>
  <si>
    <t>Asinga Via Baggao Cagayan</t>
  </si>
  <si>
    <t>Noel Lucas</t>
  </si>
  <si>
    <t>Bacsay Cataroan Norte, Claveria, Cagayan</t>
  </si>
  <si>
    <t>elements of Maritime Police Station</t>
  </si>
  <si>
    <t xml:space="preserve">nine (9) narra round logs and 3 narra lumber </t>
  </si>
  <si>
    <t>Maritime Police Station, Claveria, Cagayan/ PMSg Warlito D. Cabang</t>
  </si>
  <si>
    <t>Danny Lucas</t>
  </si>
  <si>
    <t>With Order of Finality received on March 21, 2025 with docket number r2-ed-2023-00191 date promulgated february 15, 2025</t>
  </si>
  <si>
    <t>CENRO Personnel AND Pamplona Maritime Police</t>
  </si>
  <si>
    <t>Christopher Gamata and Jay-r Rovero</t>
  </si>
  <si>
    <t>11 pcs. Tanguile lumber</t>
  </si>
  <si>
    <t>Sept. 2, 2021</t>
  </si>
  <si>
    <t>So. Mataracong Baggao Cagayan</t>
  </si>
  <si>
    <t>With Order of Finality received on Dec. 03, 2024 promulgated on Sept. 07, 2023 with Docket No. R2-Ed-2023-0176</t>
  </si>
  <si>
    <t>Sept 7, 2021</t>
  </si>
  <si>
    <t>Conception, Amulung</t>
  </si>
  <si>
    <t>1pc Dita</t>
  </si>
  <si>
    <t>PNP and DENR</t>
  </si>
  <si>
    <t>With Order of Finality received on August 3, 2026 with docket number R2-ED-2022-0083</t>
  </si>
  <si>
    <t>Sept 14, 2021</t>
  </si>
  <si>
    <t>Mocag, Baggao</t>
  </si>
  <si>
    <t>PNP &amp; CENRO personnel</t>
  </si>
  <si>
    <t>8 pcs Narra</t>
  </si>
  <si>
    <t>Danilo Mabugay/under administrative confiscation proceedings proceedings</t>
  </si>
  <si>
    <t>Sept. 15, 2021</t>
  </si>
  <si>
    <t>Mabini, Baggao</t>
  </si>
  <si>
    <t>PNP Maritime Nagtupacan, pamplona, Cagayan</t>
  </si>
  <si>
    <t>Confiscated in favor of the government dated June 27, 2022</t>
  </si>
  <si>
    <t>Narra, Gmelina and Bolong eta.</t>
  </si>
  <si>
    <t>February 23, 2022</t>
  </si>
  <si>
    <t>The identified offender is Donato Cesar. Result of ACP forwarded to RO per memo dated December 14, 2021. A case was filed at PPO Tuguegarao City docketed under NPS No. II-INQ-21I-00279</t>
  </si>
  <si>
    <t>Sept. 20, 2021</t>
  </si>
  <si>
    <t xml:space="preserve">15 pieces of Tanguile lumbers </t>
  </si>
  <si>
    <t>So. Pagapag, Sta. Margarita,</t>
  </si>
  <si>
    <t>19 Narra, Kamagong</t>
  </si>
  <si>
    <t>PNP Sta. Ana cust. Manuel S. Legaspi</t>
  </si>
  <si>
    <t>Order of Resolution received Jan. 23, 2024 promulgated on November 20, 2023 with Docket No. R2-ED-2023-00291.with order of finality received on March 19,2025</t>
  </si>
  <si>
    <t>ACP DAO 97-32</t>
  </si>
  <si>
    <t>Joseph Javier, Cesar Dumayag, Arnel Retorio, and Johnny Retorio</t>
  </si>
  <si>
    <t>September  20, 2021</t>
  </si>
  <si>
    <t>33 pcs Narra, Red Lauan, Anabiong</t>
  </si>
  <si>
    <t>WLM 526 Hyundai Van</t>
  </si>
  <si>
    <t>Eranio Soriano/under administrative confiscation proceedings proceedings</t>
  </si>
  <si>
    <t>Monte Alegre, Amulung</t>
  </si>
  <si>
    <t>CENRO Personne $ PNP Amulung</t>
  </si>
  <si>
    <t>4 pcs Gmelina</t>
  </si>
  <si>
    <t>Jenirose PiÑon under administrative confiscation proceedings</t>
  </si>
  <si>
    <t>October 5, 2021</t>
  </si>
  <si>
    <t>La Suerte, Amulung</t>
  </si>
  <si>
    <t>12 pcs Gmelina</t>
  </si>
  <si>
    <t>Arnulfo Ramirez/under administrative confiscation proceedings</t>
  </si>
  <si>
    <t>October 28, 2021</t>
  </si>
  <si>
    <t>Angguirit, Amulung</t>
  </si>
  <si>
    <t>7 pcs Himbabao</t>
  </si>
  <si>
    <t>John Miles Vicencio identified offender/folder already endorsed thru PENRO for resolution</t>
  </si>
  <si>
    <t>Abandoned, Confiscated in Favor of the Government, Admin proceedings was Conducted on August !7, 2020</t>
  </si>
  <si>
    <t>Larion Alto, Tuguegarao City</t>
  </si>
  <si>
    <t>Talaksan</t>
  </si>
  <si>
    <t>1 unit Van CRP 919</t>
  </si>
  <si>
    <t>The admin proceeding was conducted on August 28, 2020 and September 11, 2020. Forwarded to RO per memo dated September 13, 2021</t>
  </si>
  <si>
    <t>Sitio Santor, Brgy. Minanga, Peñablanca, Cagayan</t>
  </si>
  <si>
    <t>259 pcs CHW Lumber/Flitches</t>
  </si>
  <si>
    <t>With Order of Resolution received on Jan. 15, 2023 promulgated on Nov. 24, 2023 with Docket No. R2-ED-2023-00266. With Order of Finality received on Nov. 12, 2024 promulgated on Dec. 16, 2020 with Docket No. R2-ED-2020-0150</t>
  </si>
  <si>
    <t>CONFISCATED in favor of the government dated December 16, 2020. A of 997.0 bd.ft. donated to RECOM-RO2, 259.0 bd.ft. to BLGU Nannarian, Penablanca, Cag., 909.74 bd.ft. donated to RECOM-RO2, 527.0  bd.ft. donated to Provincial Prosecutors Office,  and 1,688.0 bd.ft. utilized for office improvements</t>
  </si>
  <si>
    <t>August 14, 2020</t>
  </si>
  <si>
    <t>Brgy. Sisim, Peñablanca, Cagayan</t>
  </si>
  <si>
    <t>ACP is on-going. With Order of Finality received on Nov. 12, 2024 promulgated on Oct. 10, 2023 with Docket No. R2-ED-2023-0201</t>
  </si>
  <si>
    <t>51 pcs of CHW Lumber</t>
  </si>
  <si>
    <t>Kia Van WFK 946</t>
  </si>
  <si>
    <t>PNP Peñablanca Compound</t>
  </si>
  <si>
    <t>Inquest proceeding was conducted before the Provincial Prosecutor Office Tug. City Docket No. II-02INQ-20-00198 Francisco Dalumay Y. Calayan</t>
  </si>
  <si>
    <t>March 4, 2022</t>
  </si>
  <si>
    <t>Brgy. San Roque, Peñablanca, Cagayan</t>
  </si>
  <si>
    <t>So. Muru, Siguiran, Abulug, Cagayan</t>
  </si>
  <si>
    <t>Gmelina and Ipil Lumber</t>
  </si>
  <si>
    <t xml:space="preserve">10 pieces of Tanguile lumbers </t>
  </si>
  <si>
    <t>PNP Abulug, Cagayan/ PMSgPCpl Nelson De Ocampo, Jr.</t>
  </si>
  <si>
    <t>The alleged suspect is Jomar Andres. CONFISCATED IN FAVOR GOVERNMENT DATED MARCH 22,2023. With Order of Finality received on Dec. 03, 2024 promulgated on March 22, 2023 with Docket No. R2-ED-2023-0040</t>
  </si>
  <si>
    <t>So. Cauguinganan, Pamplona, Cagayan</t>
  </si>
  <si>
    <t>PEM Sgt. Edgar Cabaya, CENRO Sanchez personnel and CENRO Calanasan</t>
  </si>
  <si>
    <t>67 pcs. Tanguile lumber</t>
  </si>
  <si>
    <t>Crim. Case was filed on October 30, 2020 against Maxie Sibbaluca y. Dabbay with crim case no. 21418 for PD 705 and crim case no. 21419 for Chainsaw act. GUILTY ORDERED Dated Nov. 19, 2020. The admin already conducted and forwarded to RO dated Sept. 8, 2021</t>
  </si>
  <si>
    <t>Submitted thru sport report. With Order of Finality received on Dec. 03, 2024 promulgated on May 26, 2023 with Docket No. R2-ED-2023-0074</t>
  </si>
  <si>
    <t>54 pcs. CHW Lumber</t>
  </si>
  <si>
    <t>March 30, 2022 (2:45 pm)</t>
  </si>
  <si>
    <t>Siguiran, Abulug, Cagayan</t>
  </si>
  <si>
    <t>under Adminstrative Confiscation Docket No. II-WV-20H-00793 to Jonard Sibbaluca y. Battung and Marcial Sibbaluca y. Gacias. The admin proceeding already conducted and forwarded to RO dated October 7, 2021. A criminal case was filed at PPO Tugugearao City docketed under NPS No. II-02-WV-20H-00793</t>
  </si>
  <si>
    <t>Ten (10) pieces Tanguile lumbers</t>
  </si>
  <si>
    <t>PNP Abulug/PCpl Nelson De Ocampo, Jr.</t>
  </si>
  <si>
    <t>Sitio Santor, Brgy. Nabbabalayan, Peñablanca, Cagayan</t>
  </si>
  <si>
    <t>Confiscated in favor of the government dated July 19, 2022</t>
  </si>
  <si>
    <t>PENRO Task Force and PPO Cagayan</t>
  </si>
  <si>
    <t>31 pcs CHW Lumber</t>
  </si>
  <si>
    <t>May 5, 2022</t>
  </si>
  <si>
    <t>May 03, 2024</t>
  </si>
  <si>
    <t>R2-ED-2024-0088</t>
  </si>
  <si>
    <t>April 01, 2024</t>
  </si>
  <si>
    <t>Oct. 15, 2024</t>
  </si>
  <si>
    <t>Jan 24, 2023</t>
  </si>
  <si>
    <t>Tanglagan, Gattaran, Cagayan</t>
  </si>
  <si>
    <t>9 pcs white lauan</t>
  </si>
  <si>
    <t>Mar 31, 2026</t>
  </si>
  <si>
    <t>R2-ED-2024-311</t>
  </si>
  <si>
    <t>Oct. 28, 2024</t>
  </si>
  <si>
    <t>The admin confisation Confiscation proceedings was conducted on September 28, 2020. Forwarded to REGIONAL OFFICE dated November 10, 2020. CONFISCATED in favor of the government dated January 11, 2021. 500.0 bd.ft. subject for donation to recipient of typhoon odette; and 300.0 bd.ft. Conference table of PENRO</t>
  </si>
  <si>
    <t>Zone 3, Brgy. Dodan, Peñablanca, cagayan</t>
  </si>
  <si>
    <t>PENRO Personnel, elements of PPO, PIU and PNP Peñablanca</t>
  </si>
  <si>
    <t>15 pcs assorted sized Flitches</t>
  </si>
  <si>
    <t>Search Warrant No. 2020-06 for violation of Section 77 of PD 705 issued by Hon. Olga L. Oleriana, Presiding judge of MTC Peñablanca, Cagayan dated Sept. 15, 2020 against  Michael M. Tallud, Charles M. Tallud and Ricky Batang. Result of admin proceeding was forwarded to RO per Memo dated September 3, 2021. A criminal case was filed at PPO Tuguegarao City on Sept. 16, 2020 docketed under NPS No. II-02-INV-019G-000835</t>
  </si>
  <si>
    <t>Callao Proper, Peñablanca, Cagayan</t>
  </si>
  <si>
    <t>12 CHW Lumbers</t>
  </si>
  <si>
    <t>1 unit van WRL-757</t>
  </si>
  <si>
    <t xml:space="preserve">  </t>
  </si>
  <si>
    <t>For admin. Proceeding to Elizabeth Tabucay  and Rodolfo Ligutan y Quequegan. Result of admin proceedings forwarded to RO per memo dated September 9, 2021</t>
  </si>
  <si>
    <t>With Order of Resolution received on August 14, 2024 promulgated July 30, 2024 with Docket No. R2-ED-2024-00149</t>
  </si>
  <si>
    <t>Gattu, Pamplona, Cagayan</t>
  </si>
  <si>
    <t xml:space="preserve">22 pieces of Tanguile lumbers </t>
  </si>
  <si>
    <t>Feb. 01,2023</t>
  </si>
  <si>
    <t>Sitio Calibong, Callungan, Sanchez Mira, Cagayan</t>
  </si>
  <si>
    <t>30 pcs undocumented common hardwood</t>
  </si>
  <si>
    <t>Notice of Issuance of an Order received on April 14, 2026 with docket number R2-ED-2022-0112 and date promulgated on March 25, 2026</t>
  </si>
  <si>
    <t>August 18, 2022</t>
  </si>
  <si>
    <t>Lucban, Abulug, Cagayan</t>
  </si>
  <si>
    <t>38 pcs. Tanguile lumbers</t>
  </si>
  <si>
    <t>Reported thru spot report</t>
  </si>
  <si>
    <t>August 28, 2022</t>
  </si>
  <si>
    <t>So. Cabaritan, Dana-ili, Abulug, Cagayan</t>
  </si>
  <si>
    <t xml:space="preserve">14 pieces of Tanguile lumbers </t>
  </si>
  <si>
    <t>1 unit van WTE-911</t>
  </si>
  <si>
    <t xml:space="preserve">under admin. Proceedings to Ruter Ligutan y Danao residents. Result of admin proceedings forwarded to RO per memo dated September 9, 2021 </t>
  </si>
  <si>
    <t>So.Laya, Sta. Isabel, Buguey, Cagayan</t>
  </si>
  <si>
    <t>USUZU Dump Truck with plate no. WEA 907</t>
  </si>
  <si>
    <t>January 17, 2021</t>
  </si>
  <si>
    <t>Virginia, Sto. Niño, Cagayan</t>
  </si>
  <si>
    <t>four (4) sets door jambs (Red Lauan)</t>
  </si>
  <si>
    <t>November 6, 2020</t>
  </si>
  <si>
    <t xml:space="preserve">MAZDA Pick-up w/ Plate </t>
  </si>
  <si>
    <t>With Order of Resolution received on July 08, 2024 promulgated on June 19, 2024 with Docket No. R2-ED-2024-00132</t>
  </si>
  <si>
    <t>Capaccuan, Rizal, Cagayan</t>
  </si>
  <si>
    <t>1 pc. Table top oval, 1 set door jamb (90x210) and 6 pcs. Narra lumber</t>
  </si>
  <si>
    <t>4 pcs. Narra &amp; white Lauan</t>
  </si>
  <si>
    <t>Under administrative confiscation proceedings. With Order of Finality received on Dec. 03, 2024 promulgated on June 02, 2023 with Docket No. R2-ED-2023-0080</t>
  </si>
  <si>
    <t>January 24, 2021</t>
  </si>
  <si>
    <t>Cataraoan, Piat, Cagayan</t>
  </si>
  <si>
    <t>PNP Abulug/PCpl Nelson de Ocampo</t>
  </si>
  <si>
    <t>The offender is Randy S. Bautista</t>
  </si>
  <si>
    <t>Annaguan, Rizal, Cag.</t>
  </si>
  <si>
    <t>6 pieces flitches and five (5) white lauan lumbers</t>
  </si>
  <si>
    <t>September 10, 2022</t>
  </si>
  <si>
    <t>Kittag, Sanchez Mira, Cagayan</t>
  </si>
  <si>
    <t xml:space="preserve">18 pieces of Tanguile lumbers </t>
  </si>
  <si>
    <t>7 pcs. White Lauan lumber</t>
  </si>
  <si>
    <t>Chainsaw with SN: SW190401194</t>
  </si>
  <si>
    <t>Hyundai Van (Grey) with Plate No. RBH 507</t>
  </si>
  <si>
    <t>PNP Sanchez Mira Station/PSSg Emer M. Labog</t>
  </si>
  <si>
    <t>Brgy. Minanga, Peñablanca, Cagayan</t>
  </si>
  <si>
    <t>10 pcs narra  and 31 pcs CHW flitches/lumber</t>
  </si>
  <si>
    <t>February 16, 2021</t>
  </si>
  <si>
    <t>So. Balisi, Gagabutan East, Rizal, Cagayan</t>
  </si>
  <si>
    <t>27 pcs. Narra lumber</t>
  </si>
  <si>
    <t xml:space="preserve">Confiscated in favor of the government dated January 8, 2021. A vol of 270.0 bd.ft. of Narra lumber donated to Amulung Parish Church for their door jambs and door panel </t>
  </si>
  <si>
    <t>with order of finality received on March 20,2025 with docket number R2-ED-2023-00193 date promulgated February 15, 2025</t>
  </si>
  <si>
    <t>September 13, 2022</t>
  </si>
  <si>
    <t>Barangay Minanga, Penablanca, Cag.</t>
  </si>
  <si>
    <t>PNREO and PENRO Task Force</t>
  </si>
  <si>
    <t xml:space="preserve">110 pieces of Tanguile lumbers </t>
  </si>
  <si>
    <t xml:space="preserve">133 pieces CHW lumber </t>
  </si>
  <si>
    <t>Roma Norte, Enriel, cag.</t>
  </si>
  <si>
    <t>Provincial Capitol</t>
  </si>
  <si>
    <t>8 pcs. Gmelina lumbers and round logs</t>
  </si>
  <si>
    <t>The lumber were derived from uprooted / drifted woods brought by typhoons Ulysses. Confiscated in favor of the government dated August 20, 2021</t>
  </si>
  <si>
    <t>Barangay Hall, Casitan, Pamplona, Cagayan/Brgy. Captain Alberto Pagarigan</t>
  </si>
  <si>
    <t>1 unit chainsaw (small ) and 1 unit chainsaw assembled</t>
  </si>
  <si>
    <t>Brgy. Namabbalan, Tuguegarao City, Cagayan</t>
  </si>
  <si>
    <t>Cabaritan West, Ballesteros, Cagayan</t>
  </si>
  <si>
    <t>PNP Ballesteros</t>
  </si>
  <si>
    <t xml:space="preserve">16 pieces of Mahogany and Antipolo Lumbers </t>
  </si>
  <si>
    <t>Gmelina Lumber, 2 set of cleopatra and 2 set of divan  (semi-finish product)</t>
  </si>
  <si>
    <t>Jeepney BVF-617</t>
  </si>
  <si>
    <t>PNP Station Ballesteros, Cagayan/PSMS Jacob Q. Manalang</t>
  </si>
  <si>
    <t>Sampaguita, Solana, Cag.</t>
  </si>
  <si>
    <t>PNP Compound at Carig Sur, Tuguegarao City</t>
  </si>
  <si>
    <t>Result of admin proceeding was forwarded to RO per Memo dated October 8, 2021. A criminal case was filed against Natazha Pagulayan, et.al. at Nationa Prosecution Office, Old City Hall Building, Tuguegarao City docketed under NPS No. II-03-INQ-00204</t>
  </si>
  <si>
    <t>40 Gmelina lumbers</t>
  </si>
  <si>
    <t>September 18, 2022</t>
  </si>
  <si>
    <t>December 25, 2020</t>
  </si>
  <si>
    <t>So. Namilagan, Sanchez Mira, Cagayan</t>
  </si>
  <si>
    <t xml:space="preserve">15 pieces of Mahogany lumbers </t>
  </si>
  <si>
    <t>300 bundles firewood</t>
  </si>
  <si>
    <t>1 unit KIA Besta Van w/ Plate No. UKK 866 and 1 STIHL Chainsaw with guidebar</t>
  </si>
  <si>
    <t>PNP Sanchez Mira Station/PMS Christofer G. Leaño</t>
  </si>
  <si>
    <t>March 31, 2021</t>
  </si>
  <si>
    <t>So. Groupings, Masi, Rizal, Cag.</t>
  </si>
  <si>
    <t>Michael P. Pascua, Gleenfield C. Porpus and Richard A. Tabuyo</t>
  </si>
  <si>
    <t>16 pcs. CHW lumber</t>
  </si>
  <si>
    <t>October 2, 2022 (4:00 PM)</t>
  </si>
  <si>
    <t>San Agustin, Abulug, Cagayan</t>
  </si>
  <si>
    <t>April 11, 2021</t>
  </si>
  <si>
    <t xml:space="preserve">5 pcs. Gmelina flitches </t>
  </si>
  <si>
    <t>Balagan, Sto. Nino, Cag</t>
  </si>
  <si>
    <t>6 pcs. Round logs and posts</t>
  </si>
  <si>
    <t>Under administrative confiscation proceedings. With Order of Finality received on Dec. 03, 2024 promulgated on June 05, 2023 with Docket No. R2-ED-2023-0085</t>
  </si>
  <si>
    <t xml:space="preserve">1 unit van with Plate No. CTV-556 </t>
  </si>
  <si>
    <t>Result of admin proceeding was forwarded to RO per Memo dated October 11, 2021. A criminal case was filed against Apolinario Dassil at PPO Tuguegarao City on December 26, 2020 docketed under NPS No. INQ-20L-00355</t>
  </si>
  <si>
    <t>PNP Buguey station</t>
  </si>
  <si>
    <t>Sta. Felicitas, Sto. Nino, cag.</t>
  </si>
  <si>
    <t>17 pcs. Narra, White Lauan, Red Lauan and Bangkal</t>
  </si>
  <si>
    <t>PNP Abulug Station/PSSg Ruben Bayani</t>
  </si>
  <si>
    <t>Submitted thru spot report</t>
  </si>
  <si>
    <t>With Order of Resolution received on January 15, 2024 promulgated on Nov. 08, 2023 with Docket No. R2-ED-2023-00259.
With Order of Finality received on Nov. 12, 2024 promulgated on Nov. 08, 2023 with Docket No. R2-ED_2023-00259</t>
  </si>
  <si>
    <t>October 3, 2022</t>
  </si>
  <si>
    <t>So. Cauguinganan, Masi, Pamplona, Cagayan</t>
  </si>
  <si>
    <t xml:space="preserve">87 pcs of Tanguile Lumbers </t>
  </si>
  <si>
    <t>Angang, Tuao</t>
  </si>
  <si>
    <t>20 pcs. Narra lumber</t>
  </si>
  <si>
    <t>1 unit Hyundai Grand Saloon Van XEE-250</t>
  </si>
  <si>
    <t>October 4, 2022 (12:45 PM)</t>
  </si>
  <si>
    <t>40 pcs Tanguile lumber</t>
  </si>
  <si>
    <t>PNP Pamplona Station</t>
  </si>
  <si>
    <t>April 26, 2021</t>
  </si>
  <si>
    <t>,So. Masin, Iraga, Solana</t>
  </si>
  <si>
    <t>PNP CIDG CPPO</t>
  </si>
  <si>
    <t>30 pcs. Gmelina lumber, flitches and posts</t>
  </si>
  <si>
    <t>October 29, 2022</t>
  </si>
  <si>
    <t>Namuac, Sanchez Mira, Cagayan</t>
  </si>
  <si>
    <t xml:space="preserve">6 pcs of White Lauan Lumbers </t>
  </si>
  <si>
    <t>1 unit LIFAN motorcycle</t>
  </si>
  <si>
    <t>May 13, 2021</t>
  </si>
  <si>
    <t>Capacuan, Rizal, Cag.</t>
  </si>
  <si>
    <t>PNP Station, Sanchez Mira, Cagayan/PCMS Bladimir B. Enteria</t>
  </si>
  <si>
    <t>The offender is Johanned Bagusto and Ulario Fariñas. Result of ACP forwarded to RO dated December 6, 2022</t>
  </si>
  <si>
    <t>5 pcs. Pili lumber</t>
  </si>
  <si>
    <t>December 5, 2022</t>
  </si>
  <si>
    <t>Zimigui River, So. Cauguingan, Masi, Pamplona, Cag.</t>
  </si>
  <si>
    <t>CENRO, PNREO and PNP Pamplona</t>
  </si>
  <si>
    <t>Illuru Sur, Rizal, Cag.</t>
  </si>
  <si>
    <t>20 pcs. Red Lauan and Gmelina lumber</t>
  </si>
  <si>
    <t>Result of admin was forwarded to RO per Memo dated October 28, 2021</t>
  </si>
  <si>
    <t>May 17, 2021</t>
  </si>
  <si>
    <t>Liwan Sur, Enrile, Cag</t>
  </si>
  <si>
    <t>36 Gmelina lumber</t>
  </si>
  <si>
    <t>Feb.03-2023</t>
  </si>
  <si>
    <t>Result of ACP already forwarded to RO dated January 3, 2022</t>
  </si>
  <si>
    <t>With Order of Resolution received on Oct. 11, 2024 promulgated on August 28, 2024 with docket No. R2-ED-2024-0066</t>
  </si>
  <si>
    <t>Sto. Tomas, Tuao, Cag</t>
  </si>
  <si>
    <t>26 Gmelina lumber</t>
  </si>
  <si>
    <t>Mabuno, Gattaran, Cag.</t>
  </si>
  <si>
    <t>1 unit hand tractor</t>
  </si>
  <si>
    <t>Nanungaran, Rizal, Cag.</t>
  </si>
  <si>
    <t>6 pcs. Rain tree flitches and lumber</t>
  </si>
  <si>
    <t>with order of finality received on March 21, 2025 with docket number R2-Ed-2023-00218 date promulgated february 17, 2025</t>
  </si>
  <si>
    <t>31 pcs polosapis lbr.</t>
  </si>
  <si>
    <t>May 25, 2021</t>
  </si>
  <si>
    <t>8 pcs of Bolos, 18 pcs. Anabiong &amp; 1 pcs Lanete tree</t>
  </si>
  <si>
    <t>June 21, 2024</t>
  </si>
  <si>
    <t>R2-ED-2024-00126</t>
  </si>
  <si>
    <t>R2-ED-2024-0126</t>
  </si>
  <si>
    <t>Feb. 07,2023</t>
  </si>
  <si>
    <t>Flourishing, Gonzaga, Cag.</t>
  </si>
  <si>
    <t>Joseph de ls Cruz</t>
  </si>
  <si>
    <t>11 pcs. Rlauan lbr.</t>
  </si>
  <si>
    <t xml:space="preserve">kulong TMX </t>
  </si>
  <si>
    <t>Respondents identified were Mr. Maximo Timbreza, Canuto Barsanera, Rodolfo Dela Cruz, Andres Madriaga, Boni Marcelino, Reymarl Dorado, Rey Marcelino &amp; Renato Domingo</t>
  </si>
  <si>
    <t>With Order of Resolution received on June 26, 2024 promulgated on April 24, 2024 with Docket No. R2-ED-2024-00129.
With Order of Finality received on Octover 15, 2024 with Docket No. R2-ED-2024-0129 promulgated on April 24, 2024</t>
  </si>
  <si>
    <t>PNP Gonzaga station</t>
  </si>
  <si>
    <t>So. Masilud, Duyun, Rizal, cag.</t>
  </si>
  <si>
    <t>on going ACP DAO 97-32</t>
  </si>
  <si>
    <t>4 pcs. Narra flitches and 6 pcs. Gmelina flitches</t>
  </si>
  <si>
    <t>May 29, 2021</t>
  </si>
  <si>
    <t>Balagan, Sto. Niño, Cag.</t>
  </si>
  <si>
    <t>PNP elements of Sto. Niño</t>
  </si>
  <si>
    <t>June 2, 2021</t>
  </si>
  <si>
    <t>San Juan, Tuao, Cag.</t>
  </si>
  <si>
    <t>PNP elements of Tuao</t>
  </si>
  <si>
    <t>18 pcs. Gmelina lumbers</t>
  </si>
  <si>
    <t>Result of ACP forwarded to RO per Memo dated January 6, 2022. The respondent is Rodolfo Batague.</t>
  </si>
  <si>
    <t>Abariongan Ruar, Sto. Niño, cag.</t>
  </si>
  <si>
    <t>1 pc. Gmelina flitch</t>
  </si>
  <si>
    <t>Result of ACP forwarded to RO per Memo dated December 27, 2021</t>
  </si>
  <si>
    <t>Namuccayan, Sto. Niño, Cag.</t>
  </si>
  <si>
    <t>125 pcs. Boho</t>
  </si>
  <si>
    <t>Masi, Rizal, cag.</t>
  </si>
  <si>
    <t>PNP elements of Rial, Cag.</t>
  </si>
  <si>
    <t>Result of ACP forwarded to RO per memo dated Janaury 5, 2021</t>
  </si>
  <si>
    <t>San Luis, Tuao, Cag.</t>
  </si>
  <si>
    <t>124 pcs. Narra lumbers/flitches</t>
  </si>
  <si>
    <t>Feb.07,2023</t>
  </si>
  <si>
    <t>1 unit Mirsubishi Fuso canter (closed van)</t>
  </si>
  <si>
    <t>Oscar Barcena</t>
  </si>
  <si>
    <t>15 pcs. Rlauan lbr.</t>
  </si>
  <si>
    <t>SUB-OFFICE</t>
  </si>
  <si>
    <t>The driver is Jerwin Jimenez and the real owner of the conveyance is Ricardo S. Mendrigon, Jr. both resident of San Miguel, Bulacan. The ACP was forwarded to RO per memo dated January 7, 2022</t>
  </si>
  <si>
    <t>With order of resolution received on January 8, 2025 with docket number r2-ed-2024-167 date promulgated September 20, 2024</t>
  </si>
  <si>
    <t>September 17, 2021</t>
  </si>
  <si>
    <t>PNP elements of Rizal</t>
  </si>
  <si>
    <t>13 pcs. Gmelina lumbers</t>
  </si>
  <si>
    <t>1 unit mini chainsaw (STHIL)</t>
  </si>
  <si>
    <t xml:space="preserve">kulong rusi </t>
  </si>
  <si>
    <t>Feb. 11, 2023</t>
  </si>
  <si>
    <t>Elmer Bitanga</t>
  </si>
  <si>
    <t>4 pcs. R Lauan</t>
  </si>
  <si>
    <t xml:space="preserve">PNP Gattaran </t>
  </si>
  <si>
    <t>case no NPS II-02-INV-03A-00007</t>
  </si>
  <si>
    <t>Feb. 14, 2023</t>
  </si>
  <si>
    <t>So., Pateng , Gonzaga, Cag.</t>
  </si>
  <si>
    <t>26 pcs. Rlauan &amp;W lauan</t>
  </si>
  <si>
    <t>R2-ED-2024-0089</t>
  </si>
  <si>
    <t>Feb.19, 2023</t>
  </si>
  <si>
    <t>PNP,Lallo,Cag.</t>
  </si>
  <si>
    <t>Felix Tabisaura</t>
  </si>
  <si>
    <t>15pcs. Wlauan lbr.</t>
  </si>
  <si>
    <t>PnP Lallo station</t>
  </si>
  <si>
    <t>January 3, 2021</t>
  </si>
  <si>
    <t>So. Bonorbor, Curva, Pamplona, Cagayan</t>
  </si>
  <si>
    <t>2nd PMFC, Curva, Pamplona, Cag.</t>
  </si>
  <si>
    <t>18 Gmelina flitches</t>
  </si>
  <si>
    <t>Feb.20, 2023</t>
  </si>
  <si>
    <t>2nd PMFC, Curva, Pamplona, Cagayan</t>
  </si>
  <si>
    <t>Abandoned. The ACP conducted on February 8, 2021</t>
  </si>
  <si>
    <t>Janaury 13, 2021</t>
  </si>
  <si>
    <t>15pcs. Red Lauan lumber</t>
  </si>
  <si>
    <t>PNP Pamplona, Cagayan/PCpt. Marlon U. Del Castillo</t>
  </si>
  <si>
    <t>The identified persons Felicisimo Bilas, Jr. A criminal case was filed docketed under NPS No. II-2SM-INQ-21A-00004. The ACP conducted on May 19, 2021</t>
  </si>
  <si>
    <t>January 21, 2021 (8:25 pm)</t>
  </si>
  <si>
    <t>Libertad, Abulug, Cag.</t>
  </si>
  <si>
    <t xml:space="preserve">23 pcs. Tanguile lumber </t>
  </si>
  <si>
    <t>Trailer Tractor (kuliglig)</t>
  </si>
  <si>
    <t>With Order of Resolution received on Dec. 23, 2023 promulgated on Oct. 17, 2023 with Docket No. R2-ED-2023-00247 with order of  finality received on March 19, 2025</t>
  </si>
  <si>
    <t>The offender is Melvin Corpuz. A criminal case was filed docketed under Crimnal Case No. 33-3088-2021.The ACP conducted on June 7, 2021</t>
  </si>
  <si>
    <t>Baran, Ballesteros, Cag.</t>
  </si>
  <si>
    <t>18 pcs. Gmelina flitches</t>
  </si>
  <si>
    <t>PNP Ballesteros/PSMSg Eduardo Serrano, Jr.</t>
  </si>
  <si>
    <t>Turned-over to CENRO. The identified respondent is Candida delos Santos. A criminal case was filed docketed under NPS No. II-2B-INV-021A-0049. Result of ACP forwarded on May 11, 2021</t>
  </si>
  <si>
    <t>Fugu, Ballesteros, Cagayan</t>
  </si>
  <si>
    <t>11 pcs. Antipolo lumbers</t>
  </si>
  <si>
    <t>PNP Ballesteros/PSMS Christian A. Dumayas</t>
  </si>
  <si>
    <t>Turned-over to CENRO. The identified respondent is Rex C. Cumiat.  criminal was filed docketed under NPS No. II-2B-INV-021A-0050. The ACP conducted on August 16, 2021</t>
  </si>
  <si>
    <t>Received Order of Confiscation on July 19, 2024, promulgated on July 01, 2024 with Docket No. R2-ED-2024-00136.
Received Order of Finality on Oct. 15, 2024 promulgated on July 01, 2024 with Docket No. R2-ED-2024-0136.</t>
  </si>
  <si>
    <t>Sto.Tomas, Claveria, Cag.</t>
  </si>
  <si>
    <t>2 pcs. Tanguile lumbers and 14 white lauan lumbers</t>
  </si>
  <si>
    <t>PNP Claveria/PMSg. Ryan T. Bascos</t>
  </si>
  <si>
    <t>The identified respondent is Romar Alupay. A criminal case was filed docketed under NPS No. II-2SM-INQ-21B-00131. Result of ACP forwarded pn May 11, 2021</t>
  </si>
  <si>
    <t>February 1, 2021</t>
  </si>
  <si>
    <t>C-1, Sanchez Mira, Cag.</t>
  </si>
  <si>
    <t xml:space="preserve">22 pcs. Tanguile lumbers </t>
  </si>
  <si>
    <t xml:space="preserve">The identified is Froilan Quina. A criminal case was filed docketed under NPS No. II-2SM-INQ-21B-00012. The ACP conducted on May 18, 2021 </t>
  </si>
  <si>
    <t>Lucban, Abulug, Cag.</t>
  </si>
  <si>
    <t>7 Gmelina lumber</t>
  </si>
  <si>
    <t>PNP Station Abulug/Pcpl Nelson de Ocampo</t>
  </si>
  <si>
    <t>With Order of Resolution received on Jan. 23, 2024 promulgated on Nov. 20, 2023 with Docket No. R2-ED-2023-00294</t>
  </si>
  <si>
    <t>The respondents are Efren B. Tanieca and Rodolfo B. Domingo. A crimnal case was filed docketed under Criminal Case No. 33-3063-2021. The admin proceeding was conducted on May 18  24, 2021.</t>
  </si>
  <si>
    <t>PNP Ballesteros/ PMSg Eduardo Serrano, Jr.</t>
  </si>
  <si>
    <t xml:space="preserve">The identified respondent is Prince Allan Mercado. A criminal case was filed docketed under Criminal Case No. 33-3065-2021. The ACP was conducted on May 24, 2021 </t>
  </si>
  <si>
    <t>PNP Abulug/ PCMS Alejandro Romina</t>
  </si>
  <si>
    <t>The identified respondent is Joel Padua.A criminal case was filed docketed under NPS No. 02B-INV-021B-0077. The ACP was conducted on May 19, 2021</t>
  </si>
  <si>
    <t>5 pcs. Tanguile lumbers</t>
  </si>
  <si>
    <t>May 22, 2024</t>
  </si>
  <si>
    <t>tricycle (kalong-kalong)</t>
  </si>
  <si>
    <t>R2-ED-2024-0096</t>
  </si>
  <si>
    <t>The identified respondent is Jervis Natividad. A criminal cae was filed docketed under NPS No. II-020B-INV-021C-00805. The ACP was conducted on May 19, 2021</t>
  </si>
  <si>
    <t>March 04, 2024</t>
  </si>
  <si>
    <t>PNP Abulug, CPPO, CENRO</t>
  </si>
  <si>
    <t>222 pcs. Tanguile lumber (5,364 bd.ft.) and 37 pcs. Kamagong and Narra (504.0 bd.ft.)</t>
  </si>
  <si>
    <t>CPPO/Joeferson Gannaban</t>
  </si>
  <si>
    <t>The identified respondent is Tomas Uy. A criminal case was filed docketed under NPS No. II-02B-INV-021C-0087. The ACP was conducted on May 25, 2021</t>
  </si>
  <si>
    <t>With order of resolution received on March 11, 2025 with docket number R2-ED-2024-191 date promulgated October 29, 2024</t>
  </si>
  <si>
    <t>March 9, 2021</t>
  </si>
  <si>
    <t>Taggat Sur, Claveria, Cag.</t>
  </si>
  <si>
    <t>6 pcs. Tanguile lumbers</t>
  </si>
  <si>
    <t>PNP Claveria/pssG Francis Tamayo</t>
  </si>
  <si>
    <t>The respondent is Placido Sagun. A criminal case was filed docketed under NPS No. II-2SM-INV-21C-00201. The ACP was conducted on May 25, 2021</t>
  </si>
  <si>
    <t>Cadongdongan, Sta. Praxedes, Cag.</t>
  </si>
  <si>
    <t xml:space="preserve">70 pcs. CHW lumber </t>
  </si>
  <si>
    <t>March 3, 2023</t>
  </si>
  <si>
    <t>March 2, 2022</t>
  </si>
  <si>
    <t>So. Guavan, Nanguillattan, Peñablanca, Cag.</t>
  </si>
  <si>
    <t>PNP Regional Mobile Force Batallion Region 02 based at Nanguillattan, Peñablanca, Cag.</t>
  </si>
  <si>
    <t>PNP Gonzaga, Cagayan</t>
  </si>
  <si>
    <t>Paciano A. Payay</t>
  </si>
  <si>
    <t>20 pcs. assorted sizes of Soft and Common Hardwood flitches</t>
  </si>
  <si>
    <t>17 pcs. R. lauan lbr.</t>
  </si>
  <si>
    <t>PNP Sta. Praxedes/PMSg Cesar G. Rodulfo, Jr.</t>
  </si>
  <si>
    <t>The offenders are Ramon Agtang and Enrile Labasay. A criminal case was filed docketed under NPS No. II-2SM-INQ-21C-019. The ACP was conducted on Sept. 14, 2021</t>
  </si>
  <si>
    <t>March 13, 2021</t>
  </si>
  <si>
    <t>85 pcs. Antipolo lumbers</t>
  </si>
  <si>
    <t>PNP Abulug/PMSg Estansilao N. Soriano, Jr.</t>
  </si>
  <si>
    <t>The respondent is Ronal Bartasan. A criminal case was filed docketed uner NPS No. II-02B-INV-021C-0097. The ACP was conducted on July 5, 2021</t>
  </si>
  <si>
    <t>San Juan, Ballesteros, Cag.</t>
  </si>
  <si>
    <t>The respondent is Arman Cumiat. A criminal case was filed docketed under NPS No. II-02B-INV-021C-0099. The ACP was conducted on June 15, 2021</t>
  </si>
  <si>
    <t>March 22, 2021</t>
  </si>
  <si>
    <t>Calog Norte, Abulug, Cag.</t>
  </si>
  <si>
    <t>2 pcs. Tanguile round logs</t>
  </si>
  <si>
    <t>PNP Abulug/PCPL Nelson De Ocampo, Jr.</t>
  </si>
  <si>
    <t>Turned-over to CENRO. The identified respondent is Marlon Acosta. A criminal case was filed docketed under NPS No. II-02-INV-021C-00111. The ACP was conducted on June 2, 2021</t>
  </si>
  <si>
    <t>Notice of Issuance of an Order received on March 17, 2026 with Case No. R2-ED-2021-0158</t>
  </si>
  <si>
    <t>Result of ACP forwarded to RO dated April 7, 2022</t>
  </si>
  <si>
    <t>Barangay General Batalla, Camalanuigan, Cagayan</t>
  </si>
  <si>
    <t>4 pcs. Narra, 2 pcs. Antipolo and 5 pcs. Mahogany lumber</t>
  </si>
  <si>
    <t>With Order of Finality receievd on Dec. 03, 2024 promulgated opn May 29, 2023 with Docket No. R2-ED-2023-0078</t>
  </si>
  <si>
    <t>March 27, 2021</t>
  </si>
  <si>
    <t>So. Gammaru, Bangan, Sanchez Mira</t>
  </si>
  <si>
    <t>PNP Sanchez Mira/PMSg Jeoffrey Pablo</t>
  </si>
  <si>
    <t>The identified respondent is Neonito Filomena. A criminal case was filed under NPS No. II-02B-INV-021C-00024. The ACP was conducted on May 31, 2021</t>
  </si>
  <si>
    <t>March 28, 2021</t>
  </si>
  <si>
    <t>6 Narra lumbers/flitches</t>
  </si>
  <si>
    <t>PNP Ballesteros/PSMS Arlene N. Reynon</t>
  </si>
  <si>
    <t>The identified respondent is Fernando Uganisa. A criminal case was filed under NPS No. II-02B-INQ-021C-00030. The ACP was conducted on May 31, 2021</t>
  </si>
  <si>
    <t>Cauguinganan, Masi, Pamplona, Cag.</t>
  </si>
  <si>
    <t>14 pcs. Tanguile lumbers</t>
  </si>
  <si>
    <t>Banca with detached motor</t>
  </si>
  <si>
    <t>PNP Pamplona/PCPL Michael Espania</t>
  </si>
  <si>
    <t>The respondents are Michael Oandasan and Richtofen Baluscang. A criminal case was filed docketed under NPS No. II-2SM-INV-021D-00210. The ACP was conducted on June 9, 2021</t>
  </si>
  <si>
    <t>Nararagan, Ballesteros, Cagayan</t>
  </si>
  <si>
    <t>6 pcs. Antipolo lumber/flitches</t>
  </si>
  <si>
    <t>The respondent is Reymundo Macanaya. A criminal case was filed docketed under NPS No. II-021B-INQ-021D-0036. The ACP was conductedon June 1, 2021</t>
  </si>
  <si>
    <t>April 8, 2021</t>
  </si>
  <si>
    <t>Nagtupacan, Pamplona, Cag.</t>
  </si>
  <si>
    <t>137 pcs. Tanguile lumbers</t>
  </si>
  <si>
    <t>Brgy. Hall, Nagtupacan, Pamplona, Cag./ Barangay Captain Jesusa Rodriguez</t>
  </si>
  <si>
    <t>Result of ACP was forwarded to RO per Memo dated December 27, 2021</t>
  </si>
  <si>
    <t>TMX 125 with kulong-kulong</t>
  </si>
  <si>
    <t>Abbangkeruan and Tabba, Pamplona</t>
  </si>
  <si>
    <t>2nd PMFC Curva, Pamplona</t>
  </si>
  <si>
    <t>54 pcs. CHW</t>
  </si>
  <si>
    <t>CENRO Office</t>
  </si>
  <si>
    <t>2 motorized banca</t>
  </si>
  <si>
    <t xml:space="preserve">on-going AAP </t>
  </si>
  <si>
    <t xml:space="preserve">PNP Pamplona/ PCPL Michael Espania </t>
  </si>
  <si>
    <t>motorcycle with kulong-kulong</t>
  </si>
  <si>
    <t>PNP Station Abulug, Cag.</t>
  </si>
  <si>
    <t>The identified respondent is Jomar Tobia. A criminal case was filed docketedunder NPS No. II-02B-INV-021D-00208. The ACP was conducted on June 1, 2021</t>
  </si>
  <si>
    <t>May 10, 2021</t>
  </si>
  <si>
    <t>Sta. Cruz, Ballesteros, Cag.</t>
  </si>
  <si>
    <t>8 pcs. Gmelina lumber</t>
  </si>
  <si>
    <t>PNP Station Ballesteros</t>
  </si>
  <si>
    <t xml:space="preserve">The identified respondents are Edgar Uganiza and Rodento Sumay. A criminal case was filed docketed under NPS No. II-02B-INQ-021-0073. The ACP was conducted on June 15, 2021 </t>
  </si>
  <si>
    <t>Luzon, Claveria, Cag.</t>
  </si>
  <si>
    <t>Barangay Hall, Luzon, Claveria, Cag./ Brgy. Captain Jocelyn A. Domingo</t>
  </si>
  <si>
    <t>R2-ED-2024-0022 received on March 27, 2024 promulgated on Feb 27, 2024.
Order of Finality received on  Oct. 15, 2024 promulgated on Feb. 27, 2024 with Docket No. R2-Ed-2024-0022.</t>
  </si>
  <si>
    <t>April 16, 2023</t>
  </si>
  <si>
    <t>Baraccaoit, Gattaran, Cag.</t>
  </si>
  <si>
    <t>Kilkling, Claveria, Cagayan</t>
  </si>
  <si>
    <t xml:space="preserve">PNP Gattaran /CENRO </t>
  </si>
  <si>
    <t xml:space="preserve">27 pcs. Tanguile lumbers </t>
  </si>
  <si>
    <t>38 pcs. Gmelina lbr.</t>
  </si>
  <si>
    <t>PNP Claveria under the custody of PSSg Francis Tamayo</t>
  </si>
  <si>
    <t>The identified respondent is Romeo Lahip Angelo delos Santos. A criminal case was filed docketed under NPS No. II-2SM-INQ-21E-00043. The ACP was conducted on July 28, 2021</t>
  </si>
  <si>
    <t>Santor, Sanchez Mira, Cag.</t>
  </si>
  <si>
    <t>10 pcs. Mahogany round logs</t>
  </si>
  <si>
    <t>PNP Gattaran station</t>
  </si>
  <si>
    <t>for ACP DAO 97-32</t>
  </si>
  <si>
    <t>04-28-2023</t>
  </si>
  <si>
    <t>April 23, 2023</t>
  </si>
  <si>
    <t>The identified respondent are Dominic Bawig &amp; Romelio Tagaca. A criminal case was filed docketed under NPS No. II-2SM-INQ-21E-00042. The ACP was conducted on June 14, 2021</t>
  </si>
  <si>
    <t>Simayung, Abulug, Cagayan</t>
  </si>
  <si>
    <t>1 pc. Tanguile flitch</t>
  </si>
  <si>
    <t>Rusi motor w/ kulong-kulong</t>
  </si>
  <si>
    <t>The identified respondent is Jeffrey Tirri. A criminal case was filed docketed under NPS No. II-02B-INQ-21F-0098. The ACP was conducted on July 28, 2021</t>
  </si>
  <si>
    <t>Notice of Issuance of Order received on March 12, 2026 with Case no. R2-ED-2024-476 and promulgated on February 20, 2025</t>
  </si>
  <si>
    <t>June 11, 2021 at 3:00 AM</t>
  </si>
  <si>
    <t>So. Cauguinganan, Masi, Pamplona, Cag.</t>
  </si>
  <si>
    <t>26 pcs. Tanguile lumber</t>
  </si>
  <si>
    <t>PNP Station Pamplona, Cagayan</t>
  </si>
  <si>
    <t>Zitanga, Ballesteros, Cagayan</t>
  </si>
  <si>
    <t>February 5, 2022</t>
  </si>
  <si>
    <t>63 pcs. Tangisang Bayawak</t>
  </si>
  <si>
    <t>PENRO Tsk Force, PNREO, PNP Rizal and PA</t>
  </si>
  <si>
    <t>The identified respondent is Bentura Alonzo.</t>
  </si>
  <si>
    <t>114 pcs. CHW lumber/flitches</t>
  </si>
  <si>
    <t>June 21, 2021 at 5:40 PM</t>
  </si>
  <si>
    <t>Guiddam, Abulug, Cagayan</t>
  </si>
  <si>
    <t>15 pcs. Antipolo lumber</t>
  </si>
  <si>
    <t>Edwin G. Bongat</t>
  </si>
  <si>
    <t>The offender is Roberto Labbao. A criminal case was filed docketed under NPS No. II-02B-INV-021G-00315. CONFISCATED IN FAVOR OF THE GOVERNMENT DATED MARCH 21,2023. Wsith Order of Finality received on Dec. 03, 2024 promulgated on March 21, 2023 with Docket No. R2-ED-2023-0039</t>
  </si>
  <si>
    <t>58 pcs. Narra and W lauan lbr.</t>
  </si>
  <si>
    <t>PNP station Lal-lo cust. PMSg Rex A. Pablo</t>
  </si>
  <si>
    <t>June 28, 2021</t>
  </si>
  <si>
    <t>So. Kapanikian, Centro 2, Sanchez Mira</t>
  </si>
  <si>
    <t>ACP forwarded to RO dated May 11, 2022. With Order of Finality received on Dec. 03, 2024 promulgated on April 12, 2024 with Docket No. R2-ED-20023-0045</t>
  </si>
  <si>
    <t>17 pcs. Tanguile lumber</t>
  </si>
  <si>
    <t>Euro 150 black with kulong-kulong</t>
  </si>
  <si>
    <t>The identified respondent is Ambrocio Abrina &amp; Romel Agudayan. A criminal case was filed docketed under NPS No. II-SM-INQ-21F-00052. The admin proceeding was conducted on Sept. 6 &amp; 7, 2021 and forwarded to RO per Memo dated Sept. 23, 2021</t>
  </si>
  <si>
    <t>PENRO Cagayan Task force and PNP Rizal</t>
  </si>
  <si>
    <t xml:space="preserve">51 pcs. CHW lumber/ flitches </t>
  </si>
  <si>
    <t>April 26, 2023</t>
  </si>
  <si>
    <t>Bacsay Cataraoan, Claveria, Cag.</t>
  </si>
  <si>
    <t>3 pcs. Tanguile lumber</t>
  </si>
  <si>
    <t>With Order Resolution received on May 22, 2024 promulgated on April 01, 2024 with Docket No. R2-ED-2024-00100. With Order of Finality received Oct. 15, 2024 promulgated on April 01, 2024 with Docket No. R2-ED-2024-0100</t>
  </si>
  <si>
    <t>Masi, Pamplona, Cag.</t>
  </si>
  <si>
    <t>25 pcs. Tanguile lumber</t>
  </si>
  <si>
    <t>ACP forwarded to RO. With Order of Finality received on Dec. 03, 2024 promulgated on Feb. 21, 2023 with Dfocket No. R2-Ed-2023-0023</t>
  </si>
  <si>
    <t>The ACP conducted on November 29, 2021</t>
  </si>
  <si>
    <t>with order of finality received on march 21, 2025 with docket number r2-ed-2023-0060 date promulgated february 15, 2025</t>
  </si>
  <si>
    <t>February 6, 2022</t>
  </si>
  <si>
    <t>Sitio Guavan, Barangay Nanguillattan, Quibal, Peñablanca, Cag.</t>
  </si>
  <si>
    <t>Cabayu, Ballesteros, Cag.</t>
  </si>
  <si>
    <t>PENRO Cagayan Task force and PNP Penablanca</t>
  </si>
  <si>
    <t>4 pcs. Ipil flitches, 2 pcs. Narra flitches, and 2 pcs. Gmelina flitches</t>
  </si>
  <si>
    <t>10 pcs. Tanguile lumber</t>
  </si>
  <si>
    <t>Casambalangan, Sta. Ana, Cagayan</t>
  </si>
  <si>
    <t>PNP Ballesteros/</t>
  </si>
  <si>
    <t>The identified respondent is Allen Abrigado. A criminal case was filed docketed under NPS No. II-02B-INV-021G-00318. The ACP was conducted on August 9, 2021</t>
  </si>
  <si>
    <t>CENRO Aparri Personnel, PNP Sta. Ana and North East CBFM-POs</t>
  </si>
  <si>
    <t>Zitanga, Ballesteros, cag.</t>
  </si>
  <si>
    <t xml:space="preserve">63 pcs. Tangisang Bayawak </t>
  </si>
  <si>
    <t>PNP Ballesteros/PMSg Eduardo Serrano, Jr.</t>
  </si>
  <si>
    <t>The admin proceeding was conducted on October 26, 2021. A criminal case was filed docketed under Crim. Case No. 33-3128-2021. The ACP was conducted on October 26, 2021</t>
  </si>
  <si>
    <t>51 pcs. Tanguile lumber</t>
  </si>
  <si>
    <t>Abandoned. The ACP conducted on November 2, 2021 and forwarded to RO per Memo dated December 27, 2021</t>
  </si>
  <si>
    <t>San Julian, Abulug, Cag.</t>
  </si>
  <si>
    <t>19 pcs. Tanguile lumber</t>
  </si>
  <si>
    <t>30 footer wooden banca</t>
  </si>
  <si>
    <t>The identified respondent is Christian Maribung. The admin proceeding was conducted on September 8, 2021 and forwarded to RO per Memo dated November 4, 2021. A criminal case was filed on August 1, 2021 at PPO Ballesteros docketed under NPS No. II-02B-INQ-00127</t>
  </si>
  <si>
    <t>August 4, 2021</t>
  </si>
  <si>
    <t>Tabba, Pamplona, cag.</t>
  </si>
  <si>
    <t>78 pcs. Tanguile lumbers</t>
  </si>
  <si>
    <t>Abandoned. The ACP conducted November 2, 2021. With Order of Finality received on Dec. 03, 2024 promulgated on July 31, 2023 with Docket No. R2-ED-2023-0169</t>
  </si>
  <si>
    <t>8 pcs. Tanguile lumber</t>
  </si>
  <si>
    <t>Abandoned. The admin proceeding conducted on November 29, 2021 and forwarded to RO per Memo dated December 27, 2021. With Order of Finality received on Dec. 03, 2024 promulgated on June 30, 2023 with Docket No. R2-ED-2023-0142. 2nd Order of Finality received on Dec. 13, 2024 promulgated on July 03, 2023 with Docket No. R2-ED-2023-0122</t>
  </si>
  <si>
    <t>Santiago, Sanchez Mira, Cag.</t>
  </si>
  <si>
    <t>58 pcs. Tanguile lumber</t>
  </si>
  <si>
    <t>Abandoned. The ACP conducted on November 15, 2021. With Order of Finality received on Dec. 03, 2024 promulgated on June 15, 2023 with Docket No. R2-ED-2023-0150</t>
  </si>
  <si>
    <t>August 11, 2021</t>
  </si>
  <si>
    <t>Centro 2, Sanchez Mira, cag.</t>
  </si>
  <si>
    <t>115 pcs. R lauan and Kamagong lbr. &amp; flitches</t>
  </si>
  <si>
    <t xml:space="preserve">42 pcs. Lumbers </t>
  </si>
  <si>
    <t>PNP Sanchez Mira/PMSg Cristoffer Leano</t>
  </si>
  <si>
    <t xml:space="preserve">The admin proceeding was conducted on November 18, 2021. A criminal case was filed docketed under NPS No. II-02B-INQ-021H-00136. </t>
  </si>
  <si>
    <t>Notice of Issuance of an Order received on March 12, 2026 with Case No. R2-ED-2024-477 promulgated on February 25, 2026</t>
  </si>
  <si>
    <t>August 18, 2021</t>
  </si>
  <si>
    <t>Cabaritan West, Ballesteros, Cag.</t>
  </si>
  <si>
    <t xml:space="preserve">None (9) Antipolo lumbers </t>
  </si>
  <si>
    <t>1 unit powered chainsaw</t>
  </si>
  <si>
    <t>PNP Ballesteros/ PMSg Jacob Manalang</t>
  </si>
  <si>
    <t>With Order of Resolution received on Jan. 23, 2024 promulgated on Nov. 09, 2023 with Docket No. R2-ED-2023-00297</t>
  </si>
  <si>
    <t>The respondent is Ricky Taala. The admin proceeding was conducted on September 27, 2021 and forwarded to RO per Memo dated November 4, 2021. A criminal case was filed on September 6, 2021 docketed under Criminal Case No. 33-3143-2021</t>
  </si>
  <si>
    <t>Casitan, Pamplona, Cag.</t>
  </si>
  <si>
    <t>95 pcs. Tanguile lumber</t>
  </si>
  <si>
    <t>Abandoned. The ACP conducted on October 18, 2021 and forwarded to RO per Memo dated December 27, 2021</t>
  </si>
  <si>
    <t>with order of resolution received on January 8, 2025 with docket number r2-ed-2024-169 date promulgated september 20, 2024</t>
  </si>
  <si>
    <t>Gattu, Pamplona, Cag.</t>
  </si>
  <si>
    <t>The ACP conducted on November 29, 2021. With Order of Finality received on Dec. 03, 2024 promulgated on May 26, 2023 with Docket No. R2-Ed-2023-0072</t>
  </si>
  <si>
    <t>September 4, 2021</t>
  </si>
  <si>
    <t>12 Antipolo lumber</t>
  </si>
  <si>
    <t>PNP Ballesteros/ PMSg Eduardo Serrano. Jr.</t>
  </si>
  <si>
    <t>The respondents are Wilfredo Tacata Viloria and Dilmar Salvador. The admin proceeding was conducted on September 7, 2021 and forwarded to RO per Memo dated November 4, 2021. A criminal case was already filed against the violators docketed under NPS No. II-02B-INQ-02H-00147</t>
  </si>
  <si>
    <t>with order of finality received on March 20, 2025 with docket number r2-ed-2023-00238 date promulgated February 15, 2025</t>
  </si>
  <si>
    <t>Allasitan, Pamplona, Cag.</t>
  </si>
  <si>
    <t>81 pcs. Tanguile lumber</t>
  </si>
  <si>
    <t>Abandoned. The ACP conducted on November 15, 2021</t>
  </si>
  <si>
    <t>with order of resolution received on January 8, 2025 with docket number r2-ed-2024-170 date promulgated september 20, 2024</t>
  </si>
  <si>
    <t>12 pcs. CHW lumber</t>
  </si>
  <si>
    <t>1 assesmbled chainsaw</t>
  </si>
  <si>
    <t>The respondent is Arnel Ilac Vidad. A criminal case was filed docketed under NPS No. II-02B-INQ-021H-00157. The ACP was conducted on Oct. 25, 2021</t>
  </si>
  <si>
    <t>September 18, 2021</t>
  </si>
  <si>
    <t>Cadcadir West, Claveria, Cagayan</t>
  </si>
  <si>
    <t>1 pc. White Lauan round log, 1 Adamay round log and 3 Gmelina round log</t>
  </si>
  <si>
    <t>1 unit mini chainsaw</t>
  </si>
  <si>
    <t>PNP Claveria/PSSg Norman Secretario</t>
  </si>
  <si>
    <t>The admin was conducted on October 25, 2021. A criminal case was filed docketed under NPS No. II-2SM-INQ-211-00066. The ACP was conducted on October 25, 2021</t>
  </si>
  <si>
    <t>Dibalio, Claveria, Cag.</t>
  </si>
  <si>
    <t>59 pcs. Tanguile lumber</t>
  </si>
  <si>
    <t>Abandoned. The ACP conducted on October 13, 2021. With Order of Finality received on Dec. 03, 2024 promulgated opn June 02, 2023 with Docket No. R2-ED-2023-0081</t>
  </si>
  <si>
    <t>September 26, 2021</t>
  </si>
  <si>
    <t>Pata West, Claveria, Cag.</t>
  </si>
  <si>
    <t>5 pcs. White Laua lumber/ flitches</t>
  </si>
  <si>
    <t>PNP Claveria/ PSSg Norman Secretario</t>
  </si>
  <si>
    <t>The respondent is Rocco Caligan. A criminal case was filed docketed under NPS No. II-2SM-INV-211-00317. The ACP was conducted on Oct. 28, 2021</t>
  </si>
  <si>
    <t>October 17, 2021</t>
  </si>
  <si>
    <t>Bagu, Pamplona, Cag.</t>
  </si>
  <si>
    <t>27 pcs. Tanguile, Palosapis, Mayapis lumbers and flitches</t>
  </si>
  <si>
    <t>Brgy. Hall Bagu, Pamplona, Cag./ Brgy. Captain Jerry Cabalang</t>
  </si>
  <si>
    <t>The admin proceeding was conducted on October 22, 2021</t>
  </si>
  <si>
    <t>October 24, 2021</t>
  </si>
  <si>
    <t>So. Sawang, Abulug, Cag.</t>
  </si>
  <si>
    <t>The rerspondents are Michael Estardo, Isagani Garan and Martin Estardo. A criminal case was filed docketed under NPS No. II-02B-INQ-0215-00174. The ACP was conducted on Nov. 24, 2021</t>
  </si>
  <si>
    <t>Kittag, Sanchez Mira, Cag.</t>
  </si>
  <si>
    <t>20 pcs. Tanguile lumber</t>
  </si>
  <si>
    <t>With Order of Finality received on August 3, 2026 with docket number R2-ED-2022-0121 promulgated on July 21, 2026</t>
  </si>
  <si>
    <t>October 29, 2021</t>
  </si>
  <si>
    <t>The alleged respondent is Ms. Marnel Baluyan of So. Guavan, Nanguillattan, Peñablanca, Cag. ACP on-going</t>
  </si>
  <si>
    <t>Abandoned. With Order of Finality received on Dec. 03, 2024 promulgated on May 26, 2023 with Docket No. R2-ED-2023-0073</t>
  </si>
  <si>
    <t>So. Calapawan, Fugu, Ballesteros, Cag.</t>
  </si>
  <si>
    <t>26 pcs. Antipolo lumbers</t>
  </si>
  <si>
    <t>The respondents are Romeo Vallejo, Reyjun Manuel and Roger Manuel. A criminal case was filed docketed under NPS No. II-02B-INQ-21K-00179. The ACP was conducted on Nov. 16, 2021</t>
  </si>
  <si>
    <t>November 26, 2021</t>
  </si>
  <si>
    <t>February 15, 2022</t>
  </si>
  <si>
    <t>Nabbabalayan, Penablanca, Cag.</t>
  </si>
  <si>
    <t>The respodent is Alfredo Gammad. A criminal case was filed docketed under NP No. II-2SM-INV-21L-00352. The admin conducted on December 22, 2021</t>
  </si>
  <si>
    <t>December 2, 2021</t>
  </si>
  <si>
    <t>Nagsabaran, Claveria, Cag.</t>
  </si>
  <si>
    <t>The respondent is Jelwin Ancheta. A crim. case was filed docketed under NPS No. II-2SM-INQ-211-00076. The ACP conducted on December 4, 2021</t>
  </si>
  <si>
    <t>WITH ACP CONDUCTED OF PENRO CAGAYAN CY 2024</t>
  </si>
  <si>
    <t>The lleged respondent is Mr. Allan Cusipag of Nabbabalayan, Peñablanca, Cagayan. ACP on-going</t>
  </si>
  <si>
    <t>March 6, 2022</t>
  </si>
  <si>
    <t>PENRO and CENRO Task Force</t>
  </si>
  <si>
    <t>6 pcs. Mangachapui lumber</t>
  </si>
  <si>
    <t>ACP forwarded to RO dated May 16, 2022</t>
  </si>
  <si>
    <t>Barangay Cato, Tuao, Cag.</t>
  </si>
  <si>
    <t>PENRO, PNP Tuao and 1st CPMFC</t>
  </si>
  <si>
    <t>45 pcs. Narra flitches</t>
  </si>
  <si>
    <t xml:space="preserve">CENRO Office </t>
  </si>
  <si>
    <t>So. Lalongan, Sisim, Peñablanca, Cag.</t>
  </si>
  <si>
    <t>elements of PNP Peñablanca and PENRO personnel</t>
  </si>
  <si>
    <t>5 sacks charcoal</t>
  </si>
  <si>
    <t>The alleged owner is Mr. Clifford Taguinod. For administrative confiscation proceeding</t>
  </si>
  <si>
    <t>So. Danna, Brgy. Manga, Peñablanca, Cag.</t>
  </si>
  <si>
    <t>Feb. 01, 2024</t>
  </si>
  <si>
    <t>R2-ED-2024-0014</t>
  </si>
  <si>
    <t>Jan. 10, 2024</t>
  </si>
  <si>
    <t>The alleged owner is Mr. Jun Jun Quizzagan of So. Danna, Manga, Peñablanca, Cag. For administrative confiscation proceeding</t>
  </si>
  <si>
    <t>August 21, 2022</t>
  </si>
  <si>
    <t>Zone 7, Balagan, Sto. Niño, Cag.</t>
  </si>
  <si>
    <t>PENRO Task force and CENRO EMS personnel</t>
  </si>
  <si>
    <t xml:space="preserve">2 pcs. White Lauan and 3 pcs. Dao flitches </t>
  </si>
  <si>
    <t>Barangay Hall of Balagan/ Brgy. Captain</t>
  </si>
  <si>
    <t>Result of ACP forwarded to RO dated October 27, 2022</t>
  </si>
  <si>
    <t>August 29, 2022</t>
  </si>
  <si>
    <t>Abariongan Uneg, Sto. Niño, Cag.</t>
  </si>
  <si>
    <t>PENRO Task Force and PNREO Personnel</t>
  </si>
  <si>
    <t>5 pcs. Red Lauan and 6 pcs. Gmelina flitches</t>
  </si>
  <si>
    <t>May 7, 2023</t>
  </si>
  <si>
    <t>Isca, Gonzaga, Cagayan</t>
  </si>
  <si>
    <t xml:space="preserve">Capitol Sattelite in Nassiping, Gattaran, Cag. </t>
  </si>
  <si>
    <t>Result of ACP is forwarded to Regional Office per Memo dated October 25, 2022</t>
  </si>
  <si>
    <t>Jonnel R. Caoitan</t>
  </si>
  <si>
    <t>Honda TMX 125 with kulong-kulong</t>
  </si>
  <si>
    <t>PNP station, Gonzaga cust PCPL Bryan Cable</t>
  </si>
  <si>
    <t>Rielly john V. Perucho</t>
  </si>
  <si>
    <t>11 pcs. R. lauan lbr.</t>
  </si>
  <si>
    <t>Rusi with kulong-kulong</t>
  </si>
  <si>
    <t>Fredericka Tambio</t>
  </si>
  <si>
    <t>January 4, 2021 (4:30 pm)</t>
  </si>
  <si>
    <t>Brgy. Patagueleg, Peñablanca, Cag.</t>
  </si>
  <si>
    <t>Nov. 8, 2022</t>
  </si>
  <si>
    <t>Euro 150 with kulong-kulong</t>
  </si>
  <si>
    <t>May 20, 2023</t>
  </si>
  <si>
    <t xml:space="preserve">66 pcs. CHW lumber/ flitches </t>
  </si>
  <si>
    <t>PNP Station Peñablanca</t>
  </si>
  <si>
    <t>The identified alleged owner is Rogeric Ledesma Cusipag. The administrative confiscation proceedings was conducted on September 20, 2021 and forwarded to Regional Office per Memo dated October 1, 2021. A criminal case was filed on January 5, 2021 at PPO Tuguegarao City docketed under NPS No. II-02-INQ-21A-00002</t>
  </si>
  <si>
    <t>January 8, 2021 (3:00 p.m.)</t>
  </si>
  <si>
    <t>Brgy. Minanga, Peñablanca, Cag.</t>
  </si>
  <si>
    <t>CPPO, PNP and PENRO Task Force</t>
  </si>
  <si>
    <t>10 pieces Narra and 9 pieces CHW flitches</t>
  </si>
  <si>
    <t>Capitol Compound, Alimanao, Peñablanca, Cag.</t>
  </si>
  <si>
    <t>The administrative confiscation proceeding already forwarded to Regional Office per Memo dated August 25, 2021</t>
  </si>
  <si>
    <t>January 26, 2021</t>
  </si>
  <si>
    <t>Centro Peñablanca, Cagayan</t>
  </si>
  <si>
    <t>PNP Peñablanca and CPPO</t>
  </si>
  <si>
    <t>29 pieces alim lumber and 36 pcs. assorted sizes of Alim and Ipil poles</t>
  </si>
  <si>
    <t xml:space="preserve">The suspect is Mr. Rommel Paleg of Brgy. Sisim, Peñablanca, Cag.
</t>
  </si>
  <si>
    <t>Hyundai Grace van colored black without Plate No.</t>
  </si>
  <si>
    <t>The identified offenders are Elmer Pattaguan y Lopez, Alex Saddon y Ahiler and Olimpio Miguel, Jr. y Baccay. Result of admin confiscation proceeding was  forwarded to Regional Office per Memo dated November 9, 2021. A criminal case was filed at PPO Tuguegarao City docketed under NPS No. II-02-INQ-21A-00022</t>
  </si>
  <si>
    <t>So. Intik, Kapanikian, Sta. Ana, Cagayan</t>
  </si>
  <si>
    <t>Eastern Cagayan Maritime Police</t>
  </si>
  <si>
    <t>21 pcs. Kamagong and Red lauan lbrs.</t>
  </si>
  <si>
    <t>Eastern Cagayan Maritime Police Station, Sta. Ana, Cagayan/PCPL Bimbong Cureg</t>
  </si>
  <si>
    <t>Barangay Carig, Tuguegarao City</t>
  </si>
  <si>
    <t>5 pcs. Kamagong flitches and 13 pcs. Narra flitches</t>
  </si>
  <si>
    <t>Isuzu Elf Close van with Plate No. NGP-7646</t>
  </si>
  <si>
    <t>PNP Tuugegarao City under the custody of P/Lt. Col. Johnalyn Tecbobolan</t>
  </si>
  <si>
    <t>The apprehended respondents are Francisco Sanchez y Pestanas and Wilmar Ada y Pelais. The conveyance was ordered released permanently to the registered owner while the forest products was confiscated in favor of the government dated October 26, 2021</t>
  </si>
  <si>
    <t>February 4, 2021</t>
  </si>
  <si>
    <t>Quibal, Peñablanca, Cag.</t>
  </si>
  <si>
    <t>PUI CPPO, 1st PMCC and PNP Peñablanca</t>
  </si>
  <si>
    <t>33 pcs. of assorted lumbers</t>
  </si>
  <si>
    <t>R2-Ed-2024-172</t>
  </si>
  <si>
    <t>The respondents are Jonathan Calagui y Apattad and Celia Maramag y Malana. Result of admin proceeding was forwarded to RO per Memo dated November 8, 2021</t>
  </si>
  <si>
    <t>Order of Finality received on Oct. 15, 2024 with Docket No. R2-ED-2024-0012 promulgated on Jan. 17, 2024</t>
  </si>
  <si>
    <t>Barangay Salamagui, Iguig, Cagayan</t>
  </si>
  <si>
    <t>PNP Iguig</t>
  </si>
  <si>
    <t>7 pcs. Gmelina lumber and 7 pcs. CHW flitches</t>
  </si>
  <si>
    <t>May 30, 2023</t>
  </si>
  <si>
    <t>Honda TMX Plate No. 4763 (kulong-kulong)</t>
  </si>
  <si>
    <t>Malanao, Lal-lo, Cagayan</t>
  </si>
  <si>
    <t>Milagros S. Ramos and Felix C. ramos</t>
  </si>
  <si>
    <t>65 pcs.White lauan lbrs and flts</t>
  </si>
  <si>
    <t>CONFISCATED IN FAVOR OF THE GOVERNMENT DATED DECEMBER 29,2022</t>
  </si>
  <si>
    <t>PNP station Lal-lo, Cagayan/PCPL John Mark B. Ole</t>
  </si>
  <si>
    <t>Jan. 16, 2025</t>
  </si>
  <si>
    <t>R2-ED-2024-00165</t>
  </si>
  <si>
    <t>Sept. 5, 2024</t>
  </si>
  <si>
    <t>March 31, 2026</t>
  </si>
  <si>
    <t>Sept. 05, 2024</t>
  </si>
  <si>
    <t>May 31, 2023</t>
  </si>
  <si>
    <t>Feb. 26, 2021</t>
  </si>
  <si>
    <t>Lapi, Peñablanca, Cag.</t>
  </si>
  <si>
    <t>PENRO Task Force and PNP Peñablanca</t>
  </si>
  <si>
    <t>23 pcs. CHW flitches</t>
  </si>
  <si>
    <t xml:space="preserve">PENRO Compound </t>
  </si>
  <si>
    <t>abandoned. The admin proceeding was already conducted and forwarded the same to Regional office dated August 25, 2021</t>
  </si>
  <si>
    <t>Minanga, So. Santor, Peñablanca</t>
  </si>
  <si>
    <t>PENRO Task Force, PNP Peñablanca and CPPO</t>
  </si>
  <si>
    <t>41 pcs. of CHW lumbers/flitches</t>
  </si>
  <si>
    <t>date recorded</t>
  </si>
  <si>
    <t>CPPO under the custody of PCMS Florentino Daquioag</t>
  </si>
  <si>
    <t>Abandoned. The admin proceeding was conducted and forwarded the same to Regional Office dated August 25, 2021</t>
  </si>
  <si>
    <t>April 1, 2021</t>
  </si>
  <si>
    <t>So. Galang, Buyon, Peñablanca</t>
  </si>
  <si>
    <t>25 pcs. CHW flitches</t>
  </si>
  <si>
    <t>The alleged respondent is Emerson Lopez y Sibbaluca. a case was filed at PPO Tuguegarao on April 9, 2021 docketed under NPS No. II-02-INV-21D-00215. Result of admin proceeding was forwarded to RO per Memo dated November 15, 2021</t>
  </si>
  <si>
    <t>T. Elizaga, Gattaran, Cagayan</t>
  </si>
  <si>
    <t>Purok Talong Malibabag Peñablanca, Cagayan</t>
  </si>
  <si>
    <t>15 pcs assorted lumbers</t>
  </si>
  <si>
    <t>PNP Gattaran Cagayan</t>
  </si>
  <si>
    <t>Peñablanca Police Station</t>
  </si>
  <si>
    <t>The identified respondents are Alfonso Lopez and Carlito Luna. Resulr of administrative confiscation proceeding was forwarded to RO per Memo dated November 10, 2021</t>
  </si>
  <si>
    <t>Sadiri Corpuz</t>
  </si>
  <si>
    <t>Sisim Peñablanca, Cagayan</t>
  </si>
  <si>
    <t>PNP Peñablanca, Cagayan</t>
  </si>
  <si>
    <t>11 pcs. Gmelina lbrs &amp; flts.</t>
  </si>
  <si>
    <t>13 pcs Narra and 4 pcs Dau Flitches</t>
  </si>
  <si>
    <t>Top down Jeep with plate No. UMM-379</t>
  </si>
  <si>
    <t>The identified offender is Domingo Tamayao, et.al. The administrative confiscation proceeding already forwarded to Regional Office per Memo November 10, 2021. A criminal case was filed on July 1, 2021 against the respondents at PPO Tuguegarao City docketed under NPS No. II-02-INQ-21G-00211</t>
  </si>
  <si>
    <t xml:space="preserve">Dalaya Minanga, Peñablanca, Cagayan </t>
  </si>
  <si>
    <t>PENRO FPO</t>
  </si>
  <si>
    <t>14 pcs CHW lumbers and flitches</t>
  </si>
  <si>
    <t>Brgy. Minanga</t>
  </si>
  <si>
    <t>Abandoned. The admin proceeding already conducted and forwarded to RO dated Sept. 28, 2021</t>
  </si>
  <si>
    <t>July 10, 2021</t>
  </si>
  <si>
    <t>Agugaddan Peñablanca, cagayan</t>
  </si>
  <si>
    <t>PENRO Cagayan and PNP Peñablanca</t>
  </si>
  <si>
    <t xml:space="preserve">24 pcs CHW lumbers </t>
  </si>
  <si>
    <t>Brgy. Aggugaddan</t>
  </si>
  <si>
    <t>Bayo , Iguig, Cagayan</t>
  </si>
  <si>
    <t>PNP iIguig</t>
  </si>
  <si>
    <t>10 pcs of Gmelina door 3pcs doorjambs</t>
  </si>
  <si>
    <t>Double cab Isuzu Plate No. ABT-6001</t>
  </si>
  <si>
    <t>Iguig Police Station</t>
  </si>
  <si>
    <t>The identified offender is Bonifacio Aquino. For indorsement to Regional Office</t>
  </si>
  <si>
    <t>August 30, 2021</t>
  </si>
  <si>
    <t>Brgy. Manga, Peñablanca, Cagayan</t>
  </si>
  <si>
    <t>PENRO Task Force, BLGU Officials and elements of PNP Peñablanca</t>
  </si>
  <si>
    <t>15 pcs CHW lumber</t>
  </si>
  <si>
    <t>Barangay Manga Peñablanca Cagayan</t>
  </si>
  <si>
    <t>Order of Resolution/Notice of Issuance of an Order</t>
  </si>
  <si>
    <t>Sitio Dasilig Brgy. Quibal Peñablanca, Cagayan</t>
  </si>
  <si>
    <t>Elements of PNP Peñablanca</t>
  </si>
  <si>
    <t>123 pcs CHW Lumbers</t>
  </si>
  <si>
    <t>The identified offender is  Randy Abril Fuggaban. For Indorsement to Regional Office</t>
  </si>
  <si>
    <t>PNP station Gattaran, Cagayan/PSSg Marvin Guzman</t>
  </si>
  <si>
    <t>San Pedro, Lasam, Cagayan</t>
  </si>
  <si>
    <t>PNP Lasam, Cagayan and DENR-CENRO Aparri personnel</t>
  </si>
  <si>
    <t>Marelle June Balbuena</t>
  </si>
  <si>
    <t>104 pcs. Red lauan lbrs.</t>
  </si>
  <si>
    <t>Sitio Acacia Brgy. Quibal Peñablanca Cagayan</t>
  </si>
  <si>
    <t>PENRO Task Force, Elements of PNP Peñablanca</t>
  </si>
  <si>
    <t>18 pcs CHW Lumbers</t>
  </si>
  <si>
    <t>DENR-CENRO Aparri, Cagayan/CENR Officer Joselito D. Razon</t>
  </si>
  <si>
    <t>on-going AAP (cases filed - NPS Docket No. II-023-INV-0123F-0077)</t>
  </si>
  <si>
    <t>R2-ED-2024-0092</t>
  </si>
  <si>
    <t>The identified offender is Zaldy T. Lattao. CONFISCATED IN FAVOR OF THE GOVERNMENT DATED MARCH 13,2023. With Order of Finality received on Dec. 03, 2024 promulgated on March 13, 2023 with Docket No. R2-ED-2023-0032</t>
  </si>
  <si>
    <t>June 22, 2023</t>
  </si>
  <si>
    <t>So. Laoag, Pateng, Gonzaga, Cagayan</t>
  </si>
  <si>
    <t>Jordan Carino and Domonic O. Sotoza</t>
  </si>
  <si>
    <t>15 pcs. White and Red lauan</t>
  </si>
  <si>
    <t>CENRO Aparri/CENRO Joselito D. Razon</t>
  </si>
  <si>
    <t>on-going AAP</t>
  </si>
  <si>
    <t>July 22, 2023</t>
  </si>
  <si>
    <t>Allaguia, Lal-lo, Cagayan</t>
  </si>
  <si>
    <t>Richard Deleon, Larry Dumadag and Gilbert Tintero</t>
  </si>
  <si>
    <t>8 pcs. Gmelina lbrs.</t>
  </si>
  <si>
    <t>PD 705-NPS-II-02a-INQ-236-0020; RA 9175-NPS-II-02A-INQ-23G-00202</t>
  </si>
  <si>
    <t>August 2, 2023</t>
  </si>
  <si>
    <t>So. Cadalagan, Florishing, Gonzaga</t>
  </si>
  <si>
    <t>Khylle Franco</t>
  </si>
  <si>
    <t>20 pcs. White Lauan lbrs.</t>
  </si>
  <si>
    <t>PCPL Brian D. Fontanilla</t>
  </si>
  <si>
    <t>August 15, 2023</t>
  </si>
  <si>
    <t>CENRO Aparri Personnel</t>
  </si>
  <si>
    <t>8 pcs. Narra and Camareg flts.</t>
  </si>
  <si>
    <t>Brgy. Hall, Capissayan Sur, Gattaran, Cagayan/Reynaldo P. Basan</t>
  </si>
  <si>
    <t>September 6, 2023</t>
  </si>
  <si>
    <t>CIDG Cagayan PFU</t>
  </si>
  <si>
    <t>Fredelito S. Cabingan</t>
  </si>
  <si>
    <t>45 pcs. Red lauan lbrs.</t>
  </si>
  <si>
    <t>CIDG 2nd Cagayan PFU, Sta. Ana, Cagayan/Pat Mitto Jane M. Martinez</t>
  </si>
  <si>
    <t>on-going ACP</t>
  </si>
  <si>
    <t>September 7, 2023</t>
  </si>
  <si>
    <t>Nolie B. Yadao</t>
  </si>
  <si>
    <t>6 pcs.Red lauan lbrs.</t>
  </si>
  <si>
    <t>owner type Jeep bearing plate no. DTB 620</t>
  </si>
  <si>
    <t>PNP Gonzaga station/PMSG. Esmie Pattaguan and PCPL. Marvin Pagulayan</t>
  </si>
  <si>
    <t>October 5, 2023</t>
  </si>
  <si>
    <t>PNP Sta. Teresita, Cagayan</t>
  </si>
  <si>
    <t>Hygie Inong</t>
  </si>
  <si>
    <t>20 pcs. Palosapis lumber</t>
  </si>
  <si>
    <t>PNP Sta. Teresita, Cagayan/PMSG Ritchie D. Madrid</t>
  </si>
  <si>
    <t>on-going AAP/ Criminal Case No. II-17070</t>
  </si>
  <si>
    <t>Conveyance</t>
  </si>
  <si>
    <t>CENRO Aparri personnel</t>
  </si>
  <si>
    <t>Lea Dela Cruz and Roderick Dela Cruz</t>
  </si>
  <si>
    <t>15 sack</t>
  </si>
  <si>
    <t>one-unit Rusi with kulong-kulong MV File 0201-115659</t>
  </si>
  <si>
    <t>Conducted acp Oct. 10, 2023</t>
  </si>
  <si>
    <t>October 13, 2023</t>
  </si>
  <si>
    <t>Patunungan, Sta. Ana, Cagayan</t>
  </si>
  <si>
    <t>10 pcs. Red lauan lumber</t>
  </si>
  <si>
    <t>PNP Maritime station, Diora Zinungan, Sta. Ana, Cagayan/PCPL Bryan P. De Guzman</t>
  </si>
  <si>
    <t>October 16, 2023</t>
  </si>
  <si>
    <t>PNP Buguey, Cagayan</t>
  </si>
  <si>
    <t>John Louie Tamayo and Raffy Diamante</t>
  </si>
  <si>
    <t>63 pcs. Red lauan and Gmelina lumber</t>
  </si>
  <si>
    <t>Equipment</t>
  </si>
  <si>
    <t>one-unit Jitney with Plate No. NJX 171</t>
  </si>
  <si>
    <t>October 19, 2023</t>
  </si>
  <si>
    <t>So. Pasiguit, San Vicente, Sta. Ana, Cagayan</t>
  </si>
  <si>
    <t>Jaime Yosores Benaro</t>
  </si>
  <si>
    <t>33 pcs. Red lauan lbrs.</t>
  </si>
  <si>
    <t>PNP Sta. Ana/Centro Sta. Ana, Cagayan cust. PAT Rolando C. Requiso, Jr.</t>
  </si>
  <si>
    <t>ACP conducted</t>
  </si>
  <si>
    <t>October 20, 2023</t>
  </si>
  <si>
    <t>So. Sicalao, Mabuno, Gattaran, Cagayan</t>
  </si>
  <si>
    <t>Virgilio P. Bayaca and Charlie B. Monson</t>
  </si>
  <si>
    <t>43 pcs. Red lauan and Gmelina lbrs.</t>
  </si>
  <si>
    <t>Jan.24,2024</t>
  </si>
  <si>
    <t>Alucao,Sta. Teresita Cagayan</t>
  </si>
  <si>
    <t>PNP Sta. Teresita Cag.</t>
  </si>
  <si>
    <t>Villamor M. Hurnadal</t>
  </si>
  <si>
    <t>WITH ACP CONDUCTED OF PENRO CAGAYAN CY 2025</t>
  </si>
  <si>
    <t>PNP Gattaran, Cagayan/PCpl Marlon L. Gonzaga, Jr.</t>
  </si>
  <si>
    <t>November 9, 2023</t>
  </si>
  <si>
    <t>CG ASN Jerome M. Lagmay and CG ASN Joter B. Calingason</t>
  </si>
  <si>
    <t>64pcs. W. Lauan lbr.</t>
  </si>
  <si>
    <t>36 pcs. Red lauan lumber</t>
  </si>
  <si>
    <t>Hyundai Elf (close van) bearing Plate No. 0401-905099 (Turned-over)</t>
  </si>
  <si>
    <t>Deputy Commander CGS Cagayan, Centro 9, Aparri, Cagayan/CG Ensign Ronald M. Oplay</t>
  </si>
  <si>
    <t>kulong kulong 175</t>
  </si>
  <si>
    <t>on going ACP</t>
  </si>
  <si>
    <t>Jan.31,2024</t>
  </si>
  <si>
    <t>Sta. Clara,Gonzaga,Cagayan</t>
  </si>
  <si>
    <t>CENRO Personnel &amp; MLGU-MENRO Gonzaga,Cag.</t>
  </si>
  <si>
    <t xml:space="preserve">46pcs. R. Lauan lbr. </t>
  </si>
  <si>
    <t>MLGU-MENRO Gonzaga,Cag.</t>
  </si>
  <si>
    <t>ACP conducted June 24, 2024</t>
  </si>
  <si>
    <t>Oct. 11, 2024</t>
  </si>
  <si>
    <t>R2-ED-2024-00157</t>
  </si>
  <si>
    <t>Feb.07,2024</t>
  </si>
  <si>
    <t>CHAINSAW</t>
  </si>
  <si>
    <t>R2-ED-2024-00156</t>
  </si>
  <si>
    <t>Feb.14,2024</t>
  </si>
  <si>
    <t>Amunitan,Gonzaga,Cagayan</t>
  </si>
  <si>
    <t>PNP Gonzaga Cag.</t>
  </si>
  <si>
    <t>Laurie L.Peralta</t>
  </si>
  <si>
    <t xml:space="preserve">1 pc flitches </t>
  </si>
  <si>
    <t>PROVINCE OF CAGAYAN FOR CY 2026</t>
  </si>
  <si>
    <t xml:space="preserve">Estimated value </t>
  </si>
  <si>
    <t>ACP conducted April 01, 2024</t>
  </si>
  <si>
    <t>Feb.17,2024</t>
  </si>
  <si>
    <t>Flourishing ,Gonzaga,Cagayan</t>
  </si>
  <si>
    <t>Johnny I De La Cruz</t>
  </si>
  <si>
    <t xml:space="preserve">15pcs. Narra br. </t>
  </si>
  <si>
    <t>Feb.21,2024</t>
  </si>
  <si>
    <t>Pateng ,Gonzaga,Cagayan</t>
  </si>
  <si>
    <t xml:space="preserve">CENRO Aparri  Personnel </t>
  </si>
  <si>
    <t>Glen Gintapan &amp;Dixon Catelino</t>
  </si>
  <si>
    <t xml:space="preserve">27pcs. R. Lauan lbr. </t>
  </si>
  <si>
    <t>KIA PREGIO VAN UPH-662</t>
  </si>
  <si>
    <t>CENR Office Aparri,Cag.</t>
  </si>
  <si>
    <t>Feb. 27,2024</t>
  </si>
  <si>
    <t>Palagao Sur,Gattaran,Cagayan</t>
  </si>
  <si>
    <t>Carlito  Boy Melchor</t>
  </si>
  <si>
    <t>3 pcs. post &amp;log</t>
  </si>
  <si>
    <t>Brgy. Kagawad Wilmer SalazarPalagao Sur,Gatt.,Cag.</t>
  </si>
  <si>
    <t>ACP conducted April 15, 2024</t>
  </si>
  <si>
    <t>Dagupan, Lallo ,Cagayan</t>
  </si>
  <si>
    <t>PNP Lallo,Cagayan</t>
  </si>
  <si>
    <t>Apolonio Valdez Cariaga Jr.</t>
  </si>
  <si>
    <t>2 pcs. palosapis lbr.</t>
  </si>
  <si>
    <t>Dagupan,Lallo ,Cagayan</t>
  </si>
  <si>
    <t>Jaylord Tactac Tabisola</t>
  </si>
  <si>
    <t>7pcs. Falcata flit.&amp;logs</t>
  </si>
  <si>
    <t>Feb.28,2024</t>
  </si>
  <si>
    <t>Mildred Saqbiano</t>
  </si>
  <si>
    <t>11pcs. CHW lbr.</t>
  </si>
  <si>
    <t>March 01,2024</t>
  </si>
  <si>
    <t>San Jose,Gonzaga,Cagayan</t>
  </si>
  <si>
    <t>Michael John Vargas</t>
  </si>
  <si>
    <t>19 pcs. Gmelina lbr.</t>
  </si>
  <si>
    <t>March 05,2024</t>
  </si>
  <si>
    <t>San Mariano,Lallo ,Cagayan</t>
  </si>
  <si>
    <t>RomuloGutierrez &amp;Marvin Bandong,Alma Guttierez &amp; Edling Bandong</t>
  </si>
  <si>
    <t>234 pcs.Rattan products</t>
  </si>
  <si>
    <t>2 UNITS kulong kulong plate no. BD-49164 &amp;ANJ-576</t>
  </si>
  <si>
    <t>STATUS OF FOREST PRODUCTS</t>
  </si>
  <si>
    <t>ACP conducted on March 11, 2024</t>
  </si>
  <si>
    <t>July 25, 2024</t>
  </si>
  <si>
    <t>March 14,024</t>
  </si>
  <si>
    <t>PNP Gonzaga,Cagayan</t>
  </si>
  <si>
    <t>Fredy Mines</t>
  </si>
  <si>
    <t>4.pcs.W lauan flit.</t>
  </si>
  <si>
    <t xml:space="preserve">ISUZU ELF NO PLATE </t>
  </si>
  <si>
    <t>NOTICE OF ISSUANCE OF ORDER</t>
  </si>
  <si>
    <t>PCPL Jake Taguiam PNP Gonzaga, Cag.</t>
  </si>
  <si>
    <t>ACP conducted on April 29 &amp; May 07, 2024</t>
  </si>
  <si>
    <t>R2-ED-2024-00158</t>
  </si>
  <si>
    <t>March 24,2024</t>
  </si>
  <si>
    <t>San Lorenzo ,Buguey,Cagayan</t>
  </si>
  <si>
    <t>PNP Buguey ,Cag.</t>
  </si>
  <si>
    <t>Dominador Dizon &amp; Arjay Oandasan</t>
  </si>
  <si>
    <t>45 pcs. w/lauan&amp; r /lauan lbr.</t>
  </si>
  <si>
    <t>ORDER OF FINALITY</t>
  </si>
  <si>
    <t>kulong kulong euro 150</t>
  </si>
  <si>
    <t>PSSG. Rodel Ursua PNP Buguey  station</t>
  </si>
  <si>
    <t>ACP conducted on June 10, 2024</t>
  </si>
  <si>
    <t>July 17, 2024</t>
  </si>
  <si>
    <t>March 25,2024</t>
  </si>
  <si>
    <t>Santa Clara,Gonzaga,Cagayan</t>
  </si>
  <si>
    <t>CENRO Aparri &amp;PNP Gonzaga</t>
  </si>
  <si>
    <t>79pcs. R/lauan &amp;polosapis  lbr.</t>
  </si>
  <si>
    <t xml:space="preserve">ABANDONED </t>
  </si>
  <si>
    <t>APPRAISAL</t>
  </si>
  <si>
    <t>March 27,2024</t>
  </si>
  <si>
    <t>Cabanbanan Norte,Gonzaga,Cagayan</t>
  </si>
  <si>
    <t>Jolly Mar Balanay</t>
  </si>
  <si>
    <t>5 PCS. Gmelina lbr.</t>
  </si>
  <si>
    <t>ACP conducted on June 26, 2024</t>
  </si>
  <si>
    <t>July 10, 2024</t>
  </si>
  <si>
    <t>April 05, 2024</t>
  </si>
  <si>
    <t>PNP Aparri, PDEA</t>
  </si>
  <si>
    <t>Mr. Michael Chua</t>
  </si>
  <si>
    <t>101 pcs. Narra lumber</t>
  </si>
  <si>
    <t>ACP conducted on April 30, 2024</t>
  </si>
  <si>
    <t>Aril 15,2024</t>
  </si>
  <si>
    <t>Casambalagan, Sta, Ana,Cagayan</t>
  </si>
  <si>
    <t>4  pcs. Rlauan lbr.</t>
  </si>
  <si>
    <t>multicab(suzuki van) LMZ-140</t>
  </si>
  <si>
    <t>PNP Sta. Ana Station , Cag. PAT. Rowel R. Simon</t>
  </si>
  <si>
    <t>ACP conducted on August 09, 2024</t>
  </si>
  <si>
    <t>April 29, 2024</t>
  </si>
  <si>
    <t>Mr. Aiko Agustin       Mr. Regie Oyyao      Mr. Bingladen Pang-ay    Mr. Jomel Dazon</t>
  </si>
  <si>
    <t>62 pcs Dao and Red Lauan</t>
  </si>
  <si>
    <t>40, 520.3</t>
  </si>
  <si>
    <t>ISUZU ELF with Plate No. TTN 743</t>
  </si>
  <si>
    <t>PSSG Nathaniel R. Badua PNP Gonzaga</t>
  </si>
  <si>
    <t>ACP conducted on July 15, 2024</t>
  </si>
  <si>
    <t>April 30, 2024</t>
  </si>
  <si>
    <t>Sta. Cruz, Sta. Ana, Cagayan</t>
  </si>
  <si>
    <t>Nelson Tagala</t>
  </si>
  <si>
    <t>21 pcs. Gmelina lumber</t>
  </si>
  <si>
    <t>1, 950.00</t>
  </si>
  <si>
    <t>PNP Sta. Ana Station</t>
  </si>
  <si>
    <t>ACP conducted May 24, 2024</t>
  </si>
  <si>
    <t>July 8, 2024</t>
  </si>
  <si>
    <t>January 8,2025</t>
  </si>
  <si>
    <t>R2-ED-2024-173</t>
  </si>
  <si>
    <t>No. of inc.</t>
  </si>
  <si>
    <t>Nabbanagan, Lasam, Cagayan</t>
  </si>
  <si>
    <t>PNP Lasam</t>
  </si>
  <si>
    <t>Felimon Doniego</t>
  </si>
  <si>
    <t>4 pcs Gmelina lumber</t>
  </si>
  <si>
    <t>ACP conducted April 30, 2024</t>
  </si>
  <si>
    <t>Aug. 05, 2024</t>
  </si>
  <si>
    <t>CONDITION OF FOREST PRODUCTS (Good Condition/Deteriorated)</t>
  </si>
  <si>
    <t>R2-ED-2024-518</t>
  </si>
  <si>
    <t>May 10, 2024</t>
  </si>
  <si>
    <t>Rolly Usita
Roger Galario</t>
  </si>
  <si>
    <t>27 pcs. Santol</t>
  </si>
  <si>
    <t>DISPOSITION</t>
  </si>
  <si>
    <t>ACP conducted June 06, 2024</t>
  </si>
  <si>
    <t>May 13, 2024</t>
  </si>
  <si>
    <t>Dagupan, Allacapan, Cagayan</t>
  </si>
  <si>
    <t>Mr. Antonio Tabaldo</t>
  </si>
  <si>
    <t>28 pcs Ilang-ilang</t>
  </si>
  <si>
    <t>PNP Allcapan</t>
  </si>
  <si>
    <t>DATE OF APPREHENSION</t>
  </si>
  <si>
    <t>PLACE OF APPREHENSION</t>
  </si>
  <si>
    <t>APPREHENDING OFFICERS</t>
  </si>
  <si>
    <t>NAME OF CLAIMANT/RESPONDENT</t>
  </si>
  <si>
    <t>ACP conducted July 08, 2024</t>
  </si>
  <si>
    <t>Aug. 20, 2024</t>
  </si>
  <si>
    <t>May 17, 2024</t>
  </si>
  <si>
    <t>Tubungan Este, Gattaran, Cag</t>
  </si>
  <si>
    <t>Mr. Pedro Catolos</t>
  </si>
  <si>
    <t>16 pcs Neem Tree lumber</t>
  </si>
  <si>
    <t>1 STIHL with serial no. 20231231</t>
  </si>
  <si>
    <t>ACP conducted June 03, 2024</t>
  </si>
  <si>
    <t>Sept. 10, 2024</t>
  </si>
  <si>
    <t>FOREST PRODUCTS</t>
  </si>
  <si>
    <t>May 20, 2024</t>
  </si>
  <si>
    <t>Caagaman, Aparri, Cagayan</t>
  </si>
  <si>
    <t>PNP Aparri Station</t>
  </si>
  <si>
    <t>Mr. Eliseo Bisares</t>
  </si>
  <si>
    <t>53 pcs.Dita &amp; Narra lumber</t>
  </si>
  <si>
    <t>ACP conducted June 3, 2024</t>
  </si>
  <si>
    <t>June 26, 2024</t>
  </si>
  <si>
    <t>June 11, 2024</t>
  </si>
  <si>
    <t>Sitio Panao, Tabbac, Buguey, Cagayan</t>
  </si>
  <si>
    <t>Abadoned</t>
  </si>
  <si>
    <t>4 pcs Red Lauan</t>
  </si>
  <si>
    <t>ACP conducted July 16, 2024</t>
  </si>
  <si>
    <t>CONVEYANCE</t>
  </si>
  <si>
    <t>EQUIPMENTS</t>
  </si>
  <si>
    <t>PLACE IMPOUNDED</t>
  </si>
  <si>
    <t>June 17, 2024</t>
  </si>
  <si>
    <t>Magrafil, Gozaga, Cagayan</t>
  </si>
  <si>
    <t>Mr. Eugenio Baltazar</t>
  </si>
  <si>
    <t>1 pc White Lauan log</t>
  </si>
  <si>
    <t>Aug. 01, 2024</t>
  </si>
  <si>
    <t>R2-ED-2024-519</t>
  </si>
  <si>
    <t>Feb. 21, 2024</t>
  </si>
  <si>
    <t>REMARKS</t>
  </si>
  <si>
    <t>Mr. Glen Gintapan
Mr. Dixon Catalino</t>
  </si>
  <si>
    <t>27 pcs. Red Lauan</t>
  </si>
  <si>
    <t>1 unit KIA Pregion with Plate No. UPH-652</t>
  </si>
  <si>
    <t>ACP conducted on March 19, 2024</t>
  </si>
  <si>
    <t>Oct. 21, 2024</t>
  </si>
  <si>
    <t>July 27, 2024</t>
  </si>
  <si>
    <t>Darwin Vasquez</t>
  </si>
  <si>
    <t>12 pcs. White Lauan</t>
  </si>
  <si>
    <t>1 unit Euro Motor kulong-kulong with engine no. 161FMJE1079660</t>
  </si>
  <si>
    <t>ACP conducted on September 23, 2024</t>
  </si>
  <si>
    <t>August 02, 2024</t>
  </si>
  <si>
    <t>EC-MARPSTA</t>
  </si>
  <si>
    <t>16 pcs. assorted Narra lumbers</t>
  </si>
  <si>
    <t>ACP conducted on August 30, 2024</t>
  </si>
  <si>
    <t>ACP endorsed to PENRO</t>
  </si>
  <si>
    <t>ACP ENDORSED TO RO</t>
  </si>
  <si>
    <t>STATUS OF CASE STATUS FILED BEFORE COURT OR PROSECUTORS OFFICE</t>
  </si>
  <si>
    <t>COUNT</t>
  </si>
  <si>
    <t>DECISION (CONFISCATION/RELEASE</t>
  </si>
  <si>
    <t>QTY./FORM</t>
  </si>
  <si>
    <t>So. Banal, Dalaoig, Alcala , Cag.</t>
  </si>
  <si>
    <t>Yes</t>
  </si>
  <si>
    <t>No</t>
  </si>
  <si>
    <t>VOL. (CU. M.)</t>
  </si>
  <si>
    <t>VOL. (BD.FT.)</t>
  </si>
  <si>
    <t>VALUE (PHP)</t>
  </si>
  <si>
    <t>Jaime Caducio</t>
  </si>
  <si>
    <t>Good</t>
  </si>
  <si>
    <t>Deteriorated</t>
  </si>
  <si>
    <t>32 pcs. gmelina lbr.</t>
  </si>
  <si>
    <t xml:space="preserve"> Equipment</t>
  </si>
  <si>
    <t>Jan.18,2023</t>
  </si>
  <si>
    <t>Daligadig,Sta. Margarita, Baggao, Cag.</t>
  </si>
  <si>
    <t>PNP Baggao&amp; CENRO Alcala Personnel</t>
  </si>
  <si>
    <t>18 pcs. R Lauan ,10 pcs. Mangachapui</t>
  </si>
  <si>
    <t>PLGU,baggao</t>
  </si>
  <si>
    <t>Daligadig, Sta. Margarita, Baggao, Cag.</t>
  </si>
  <si>
    <t>Florentino Pabrio</t>
  </si>
  <si>
    <t>7 pcs. Mangachapui &amp;5 pcs. Narra .</t>
  </si>
  <si>
    <t>PLGU, Baggao</t>
  </si>
  <si>
    <t>Jan. 20, 2023</t>
  </si>
  <si>
    <t>7 pcs Narra
7 pcs. Kamagong</t>
  </si>
  <si>
    <t>July 08, 2024</t>
  </si>
  <si>
    <t>R2-ED-2024-212</t>
  </si>
  <si>
    <t>Dec. 05, 2024</t>
  </si>
  <si>
    <t>Jan.27,2023</t>
  </si>
  <si>
    <t>Anquiray , Amulung, Cagayan</t>
  </si>
  <si>
    <t>PNPAmulung &amp; CENRO Alcala Personnel</t>
  </si>
  <si>
    <t>Roberto  Baldazar Mallianao</t>
  </si>
  <si>
    <t>17 pcs. Gmelina  &amp; 1  flitch</t>
  </si>
  <si>
    <t>case no. 11-02-INQ-23A-00011</t>
  </si>
  <si>
    <t>Feb 14, 2023</t>
  </si>
  <si>
    <t>Nagragadyan, Hacienda Intal, Baggao, Cagayan</t>
  </si>
  <si>
    <t>Jan. 01, 2024</t>
  </si>
  <si>
    <t>Sta. Margarita</t>
  </si>
  <si>
    <t>MENRO Baggao,Cag.</t>
  </si>
  <si>
    <t>8 pcs Narra lumber</t>
  </si>
  <si>
    <t>19, 500.00</t>
  </si>
  <si>
    <t>ACP conducted March 15, 2024</t>
  </si>
  <si>
    <t>06-26-2024</t>
  </si>
  <si>
    <t>Jan.07,2024</t>
  </si>
  <si>
    <t>January 19, 2025</t>
  </si>
  <si>
    <t>SITIO BIGOC, ALUCAO,STA. TERESITA, CAGAYAN</t>
  </si>
  <si>
    <t>PNP STA. TERESITA, CAGAYAN</t>
  </si>
  <si>
    <t>ABANDONED</t>
  </si>
  <si>
    <t>5 FLITCHES &amp; ROUND LOG WHITE LAUAN</t>
  </si>
  <si>
    <t>R2-ED-2024-196</t>
  </si>
  <si>
    <t>Oct. 29, 2024</t>
  </si>
  <si>
    <t>Feb. 21,2023</t>
  </si>
  <si>
    <t>So. Hot Spring, Asinga Via, Baggao</t>
  </si>
  <si>
    <t>PNP Station Sta. Teresita, Cagayan</t>
  </si>
  <si>
    <t>7 pcs. CHW</t>
  </si>
  <si>
    <t>R2-ED-2024-197</t>
  </si>
  <si>
    <t>Feb. 23,2023</t>
  </si>
  <si>
    <t>so. Dolores Mocag, Baggao, Cagayan</t>
  </si>
  <si>
    <t>4 pcs.narra flitch &amp;9 pcs. Gmelina</t>
  </si>
  <si>
    <t>R2-ED-2024-0053</t>
  </si>
  <si>
    <t>Sept. 02, 2024</t>
  </si>
  <si>
    <t>March 09,2023</t>
  </si>
  <si>
    <t>Palayag, Amulung, Cag.</t>
  </si>
  <si>
    <t xml:space="preserve">PNP Alcala &amp; CENRO Alcala Personnel </t>
  </si>
  <si>
    <t>2pcs logs</t>
  </si>
  <si>
    <t>March 14,2023</t>
  </si>
  <si>
    <t>Asinga via, Baggao, Cagayan.</t>
  </si>
  <si>
    <t>PNP Baggao &amp; CENRO Alcala Personnel</t>
  </si>
  <si>
    <t>8pcs. R lauan</t>
  </si>
  <si>
    <t>1 unit RUSI (black) with kulong-kulong with Chassis no. RWCLFK906KE026633 and Engine no. PW162FMKJA026633</t>
  </si>
  <si>
    <t>7-10-2024</t>
  </si>
  <si>
    <t>01/16/2025</t>
  </si>
  <si>
    <t>r2-ed-2024-189</t>
  </si>
  <si>
    <t>10/29/2024</t>
  </si>
  <si>
    <t>Jan.12,2024</t>
  </si>
  <si>
    <t>So. Birao Hacienda, Intal Baggao, Cag.</t>
  </si>
  <si>
    <t>CENRO Alcala Personnel</t>
  </si>
  <si>
    <t>16 pcs. Narra lbr.</t>
  </si>
  <si>
    <t>Dungen, Sta. Teresita, Cagayan</t>
  </si>
  <si>
    <t>37 pcs White Lauan and Lumber and Fliches</t>
  </si>
  <si>
    <t>PNREO temp. custody of Mr. bobby Anibanpurok leader</t>
  </si>
  <si>
    <t>ACP conducted Jan. 23, 2024</t>
  </si>
  <si>
    <t>1-25-24</t>
  </si>
  <si>
    <t>R2-ED-2024-185</t>
  </si>
  <si>
    <t>Jan.15,2024</t>
  </si>
  <si>
    <t>Zone 7, Mabini, Baggao, Cag.</t>
  </si>
  <si>
    <t>7 pcs. Gmelina lbr.</t>
  </si>
  <si>
    <t>temp. custody of PNP Baggao,Cagayan</t>
  </si>
  <si>
    <t>ACP conducted Jan. 29, 2024</t>
  </si>
  <si>
    <t>Feb. 16,2024</t>
  </si>
  <si>
    <t>Zone 5 J. Pallagao, Baggao, Cag.</t>
  </si>
  <si>
    <t>MENRO &amp;PNP Baggao,Cag.</t>
  </si>
  <si>
    <t>Florentino G.Nabalta</t>
  </si>
  <si>
    <t>30 pcs. Gmelina  flit/lbr.</t>
  </si>
  <si>
    <t>None</t>
  </si>
  <si>
    <t>March 31,2023</t>
  </si>
  <si>
    <t>So. Marus, Hacienda, Intal via, Baggao, Cagayan.</t>
  </si>
  <si>
    <t>Sammuel Scretario y Tunega</t>
  </si>
  <si>
    <t>77 bd.bf.</t>
  </si>
  <si>
    <t>April 4, 2023</t>
  </si>
  <si>
    <t>Zone 7, Alba, Baggao</t>
  </si>
  <si>
    <t>Rexon Liban y Caasi, Johnny Robles Durin and Richard Dela Cruz</t>
  </si>
  <si>
    <t>68 pcs. R. lauan</t>
  </si>
  <si>
    <t>Villamor Tuscano MENRO, Baggao</t>
  </si>
  <si>
    <t>ACP conducted May 13, 2024</t>
  </si>
  <si>
    <t>PNP STa. Teresita Cagayan</t>
  </si>
  <si>
    <t>Feb. 06,2024</t>
  </si>
  <si>
    <t>FOR ACP</t>
  </si>
  <si>
    <t>Sitio Quinamalig, C. Versoza, Baggao, Cagayan</t>
  </si>
  <si>
    <t>Notice of posting January 17, 2026</t>
  </si>
  <si>
    <t>7 pcs. Narra lumbers</t>
  </si>
  <si>
    <t>PNREO       Temp. custody CAILTF  c/o Haygie Hildalgo</t>
  </si>
  <si>
    <t>ACP conducted April 18, 2024</t>
  </si>
  <si>
    <t>R2-Ed-2024-195</t>
  </si>
  <si>
    <t>Feb. 07,2024</t>
  </si>
  <si>
    <t>February 14, 2025</t>
  </si>
  <si>
    <t>CAPISSAYAN NORTE, GATTARAN, CAGAYAN</t>
  </si>
  <si>
    <t>Quinamalig, C. Versoza, Baggao, Cagayan</t>
  </si>
  <si>
    <t>PNP GATTARAN, CAGAYAN</t>
  </si>
  <si>
    <t>15 LUMBER WHITE LAUAN</t>
  </si>
  <si>
    <t>6pcs. Narraflitches</t>
  </si>
  <si>
    <t>PNP Station Gattaranm, Cagayan</t>
  </si>
  <si>
    <t>February 24, 2025</t>
  </si>
  <si>
    <t>CABATACAN WEST, LASAM, CAGAYAN</t>
  </si>
  <si>
    <t>PNP LASAM, CAGAYAN</t>
  </si>
  <si>
    <t>5 GMELINA LUMBER</t>
  </si>
  <si>
    <t>PNP Station Lasam, Cagayan</t>
  </si>
  <si>
    <t>March 6, 2025</t>
  </si>
  <si>
    <t>ALVAN S. DAMPILANG</t>
  </si>
  <si>
    <t>4 GMELINA LUMBER</t>
  </si>
  <si>
    <t>1 unit chainsaw(SANN 1942)</t>
  </si>
  <si>
    <t>March7, 2025</t>
  </si>
  <si>
    <t>JURISDICTION, LAL-LO, CAGAYAN</t>
  </si>
  <si>
    <t>PNP LAL-LO, CAGAYAN</t>
  </si>
  <si>
    <t>ORLANDO C. JUAN</t>
  </si>
  <si>
    <t>April 14, 2023</t>
  </si>
  <si>
    <t>12 NARRA LUMBER</t>
  </si>
  <si>
    <t xml:space="preserve">I unit chainsaw </t>
  </si>
  <si>
    <t>March 14, 2025</t>
  </si>
  <si>
    <t>CAPADECO,CABIRAOAN, GONZAGA, CAGAYAN</t>
  </si>
  <si>
    <t>PNP GONZAGA, CAGAYAN</t>
  </si>
  <si>
    <t>ARIEL T. TURQUEZA
JERRY D. BERNARDO</t>
  </si>
  <si>
    <t>7 RED LAUAN LUMBER</t>
  </si>
  <si>
    <t>PNP Station Gonzaga, Cagayan</t>
  </si>
  <si>
    <t>March 23, 2025</t>
  </si>
  <si>
    <t>VICUREG, FABRICA, LAL-LO, CAGAYAN</t>
  </si>
  <si>
    <t>DENNIS CASTILLO
ARNOLD AGLUBAC</t>
  </si>
  <si>
    <t>29 RED LAUAN AND PAKAK LUMBER &amp; FLITCHES</t>
  </si>
  <si>
    <t>Capissayan Norte, Gattaran, Cagayan</t>
  </si>
  <si>
    <t>PNP GATTARAN, CAG.</t>
  </si>
  <si>
    <t>CHELISA S. LAGGET</t>
  </si>
  <si>
    <t>36 PCS. NARRA FLITCHES AND LUMBERS</t>
  </si>
  <si>
    <t>July 19, 2024</t>
  </si>
  <si>
    <t>R2-ED-2024-00140</t>
  </si>
  <si>
    <t>Sept 17, 2024</t>
  </si>
  <si>
    <t>DENR-CENRO APARRI</t>
  </si>
  <si>
    <t>March 31, 2025</t>
  </si>
  <si>
    <t>BULALA, CAMALANIUGAN, CAGAYAN</t>
  </si>
  <si>
    <t>PNP CAMALANIUGAN, CAGAYAN</t>
  </si>
  <si>
    <t>MARLON C. ABUYAUAN</t>
  </si>
  <si>
    <t>TOYOTA HI-ACE COMMUTER-NFZ1852</t>
  </si>
  <si>
    <t>10 SACK WOOD CHARCOAL</t>
  </si>
  <si>
    <t>43 pcs. Loktob</t>
  </si>
  <si>
    <t>R2-ED- 2024- 0139</t>
  </si>
  <si>
    <t>Feb. 12,2024</t>
  </si>
  <si>
    <t>San Miguel,Baggao,Cagayan</t>
  </si>
  <si>
    <t>PENREO</t>
  </si>
  <si>
    <t xml:space="preserve">23pcs.Rlauan/ Yakal Saplungan </t>
  </si>
  <si>
    <t>PNREO  Temp. custody CAILTF  c/o Haygie Hildalgo</t>
  </si>
  <si>
    <t>R2-ED-2024-211</t>
  </si>
  <si>
    <t>Nov. 22, 2024</t>
  </si>
  <si>
    <t>Jan. 20,2024</t>
  </si>
  <si>
    <t>Asinga Via,Baggao,Cagayan</t>
  </si>
  <si>
    <t>40pcs. Gmelina lbr.</t>
  </si>
  <si>
    <t>CENR Office - Aparri, Cag.</t>
  </si>
  <si>
    <t>Notice of Issuance of Order received on June 1, 2026 with docket number R2-ED-2026-029-CAGAPA promulgated on May 25, 2026</t>
  </si>
  <si>
    <t>Forest products and Conveyance were Turned-over on JANUARY 9, 2026</t>
  </si>
  <si>
    <t>MENRO,LGU  Baggao,Cag.</t>
  </si>
  <si>
    <t>Jan. 25,2024</t>
  </si>
  <si>
    <t>I UNIT NISSAN TERRA SUV WITH PLATE NO. IAC 4433</t>
  </si>
  <si>
    <t>20 pcs Red Lauan</t>
  </si>
  <si>
    <t>Resolution issued by Provincial Prosecutor dated January 20, 2026 recommending the Dismissal of the Case due to Lack of Prima Facie Evidence</t>
  </si>
  <si>
    <t>April 12,2024</t>
  </si>
  <si>
    <t>Zone 03,San Miguel ,Baggao,Cag.</t>
  </si>
  <si>
    <t>April 1, 2025</t>
  </si>
  <si>
    <t>SAN MARIANO, LAL-LO, CAGAYAN</t>
  </si>
  <si>
    <t>PNP MARITIME OF LAL-LO, CAGAYAN</t>
  </si>
  <si>
    <t>FLORENTINO S. URBI</t>
  </si>
  <si>
    <t xml:space="preserve"> 60 SACKS WOOD CHARCOAL</t>
  </si>
  <si>
    <t>PNP Baggao station</t>
  </si>
  <si>
    <t>ACP conducted May 16, 2024</t>
  </si>
  <si>
    <t>April 13,2024</t>
  </si>
  <si>
    <t>Zone 7, Asinga Via, Baggao, Cagayan</t>
  </si>
  <si>
    <t>8 pcs</t>
  </si>
  <si>
    <t>1 unit RUSI motorcycle with kulong-kulong</t>
  </si>
  <si>
    <t>MENRO Baggao Villamor Tuscano</t>
  </si>
  <si>
    <t>ACP conducted July 02, 2024</t>
  </si>
  <si>
    <t>R2-ED-2024-217</t>
  </si>
  <si>
    <t>Nov. 21, 2024</t>
  </si>
  <si>
    <t>April 26,2024</t>
  </si>
  <si>
    <t>So. Tagang Binugan  ,Baggao,Cagayan</t>
  </si>
  <si>
    <t>46pcs. R lauan na lbr.</t>
  </si>
  <si>
    <t>7/23/2024</t>
  </si>
  <si>
    <t>R2-ED-2024-00153</t>
  </si>
  <si>
    <t>April 24,2024</t>
  </si>
  <si>
    <t>So.Mabungtot,Hacienda Intal  ,Baggao,Cagayan</t>
  </si>
  <si>
    <t>7 pcs. Narra lbr.</t>
  </si>
  <si>
    <t>Brgy. Hall,Hacienda Intal  ,Baggao,Cag.</t>
  </si>
  <si>
    <t>ACP conducted May 23, 2024</t>
  </si>
  <si>
    <t>May 05, 2024</t>
  </si>
  <si>
    <t>Sitio Magallayao, Ibulo, Baggao, Cag.</t>
  </si>
  <si>
    <t>6 pcs Gmelina</t>
  </si>
  <si>
    <t>Aug. 21, 2024</t>
  </si>
  <si>
    <t>1 UNIT ISUZU ELF BEARING PLATE NO. AAB-1122</t>
  </si>
  <si>
    <t>Notice of Issuance of Finality received on June 22, 2026 with docket number R2-ED-2026-029-CAGAPA promulgated on May 25, 2026</t>
  </si>
  <si>
    <t>PUROK NAMNAMA, BAUA, GONZAGA, CAGAYAN</t>
  </si>
  <si>
    <t>PNP GONZAGA, CAG.</t>
  </si>
  <si>
    <t>GERMAN CANGAS ASERTO / RUBEN RAGMAC RECOLIZADO</t>
  </si>
  <si>
    <t>April 3, 2025</t>
  </si>
  <si>
    <t>PATENG, GONZAGA, CAGAYAN</t>
  </si>
  <si>
    <t>CHAINSAW W/OUT SERIAL NO.</t>
  </si>
  <si>
    <t>BUTZ B. MAGUENSAY &amp; ARIEL B. BIMTUCAN</t>
  </si>
  <si>
    <t>PNP GONZAGA/PSSG BENIGNO BACLIG</t>
  </si>
  <si>
    <t xml:space="preserve">38 WHITE AND RED LAUAN LUMBER </t>
  </si>
  <si>
    <t>r2-ed-2024-218</t>
  </si>
  <si>
    <t>1 UNIT TMX SUPREMO WITH KULONG-KULONG WITH PLATE NO. 890 BZO</t>
  </si>
  <si>
    <t xml:space="preserve">40 WHITE AND RED LAUAN LUMBER </t>
  </si>
  <si>
    <t>R2-ED-2024-213</t>
  </si>
  <si>
    <t>1 UNIT HONDA TMX  125 WITH KULONG-KULONG (NO PLATE NO.)</t>
  </si>
  <si>
    <t>Nov. 15, 2024</t>
  </si>
  <si>
    <t>April 9, 2025</t>
  </si>
  <si>
    <t>STA, CRUZ, GONZAGA. CAGAYAN</t>
  </si>
  <si>
    <t>ABEL DELA CRUZ &amp; RONLAD G. PUSON</t>
  </si>
  <si>
    <t>10 WHITE LAUAN LUMBER</t>
  </si>
  <si>
    <t>DENR Staff/For. I Roberto Bumaltao</t>
  </si>
  <si>
    <t>10, 500.00</t>
  </si>
  <si>
    <t>1 UNIT TMX 155 WITH KULONG-KULONG (NO PLATE NUMBER)</t>
  </si>
  <si>
    <t>6 pcs. Dao</t>
  </si>
  <si>
    <t>20, 020.00</t>
  </si>
  <si>
    <t xml:space="preserve"> April 7, 2025</t>
  </si>
  <si>
    <t>BASAO, GATTARAN, CAGAYAN</t>
  </si>
  <si>
    <t>10 NEEM TREE LUMBER</t>
  </si>
  <si>
    <t>PNP Station Lal-lo, Cagayan</t>
  </si>
  <si>
    <t>May 1, 2025</t>
  </si>
  <si>
    <t>CASAGAN,STA. ANA,CAGAYAN</t>
  </si>
  <si>
    <t>PNP STA.ANA, CAGAYAN</t>
  </si>
  <si>
    <t>JOSELITO J MIGUEL &amp; REYNOLD J. ARELLANO</t>
  </si>
  <si>
    <t>3 ANTIPOLO AND RED LAUAN LUMBER</t>
  </si>
  <si>
    <t>1 UNIT CHAINSAW STIHL WITH SERIAL NO. 131983036</t>
  </si>
  <si>
    <t>PNP Station of Sta. Ana, Cagayan</t>
  </si>
  <si>
    <t>May 8, 2025</t>
  </si>
  <si>
    <t>STA. CLARA,GONZAGA, CAGAYAN</t>
  </si>
  <si>
    <t>DENR-CENRO APARRI PERSONNEL &amp; PENREO PERSONNEL</t>
  </si>
  <si>
    <t>150 COMMON HARDWOOD LUMBER</t>
  </si>
  <si>
    <t>Dungen, Sta. Teresita Cagayan</t>
  </si>
  <si>
    <t>May 29, 2024</t>
  </si>
  <si>
    <t>PNP Sta. teresita, Cagayan</t>
  </si>
  <si>
    <t>Nelson T. Tacsiat</t>
  </si>
  <si>
    <t>6 pcs Red Lauan Lumber</t>
  </si>
  <si>
    <t>May 11, 2025</t>
  </si>
  <si>
    <t>Hacienda Intal, Baggao, Cagayan</t>
  </si>
  <si>
    <t>CABATACAN EAST, LASAM, CAGAYAN</t>
  </si>
  <si>
    <t>IRENEO T. AGCAOILI</t>
  </si>
  <si>
    <t xml:space="preserve">18 WHITE LAUAN LUMBER </t>
  </si>
  <si>
    <t>CENRO Alcala, PNP Baggao &amp; MENRO Baggao</t>
  </si>
  <si>
    <t>1UNIT HYUNDAI GRACE BEARING PLATE NO.GTY-749</t>
  </si>
  <si>
    <t>Raffy Maggay</t>
  </si>
  <si>
    <t>Notice of Issuance of Order received on May 13, 2026</t>
  </si>
  <si>
    <t xml:space="preserve"> July 01, 2024</t>
  </si>
  <si>
    <t>R2-ED-2024-200</t>
  </si>
  <si>
    <t>ACP conducted June 18, 2024</t>
  </si>
  <si>
    <t>July 7, 2023</t>
  </si>
  <si>
    <t>Tallang, Baggao, Cagayan</t>
  </si>
  <si>
    <t>Ronald Balbuena and Richard Vargas</t>
  </si>
  <si>
    <t>14 pcs. Red lauan</t>
  </si>
  <si>
    <t>1 unit of TMX 155 kulong-kulong with plate no. JX 9576</t>
  </si>
  <si>
    <t>July 13, 2023</t>
  </si>
  <si>
    <t>June 09, 2024</t>
  </si>
  <si>
    <t>Asinga-Via, Baggao, Cagayan</t>
  </si>
  <si>
    <t>Zone 1, Pinopoc, Alcala, Cagayan</t>
  </si>
  <si>
    <t>PNP Alcala personnel</t>
  </si>
  <si>
    <t>Mr. Alex delos Santos
Mr. Chito B. Aguinaldo</t>
  </si>
  <si>
    <t>18 pcs. CHW &amp; 2 pcs. Narra</t>
  </si>
  <si>
    <t>13 pcs. Bagalunga &amp; 37  pcs Gmelina</t>
  </si>
  <si>
    <t>July 09, 2024</t>
  </si>
  <si>
    <t>R2-ED-2024-207</t>
  </si>
  <si>
    <t>May 13, 2026</t>
  </si>
  <si>
    <t>R2-ED-2026-015</t>
  </si>
  <si>
    <t>July 18, 2023</t>
  </si>
  <si>
    <t>April 20, 2025</t>
  </si>
  <si>
    <t>23 pcs. CHW</t>
  </si>
  <si>
    <t>R2-ED-2024-220</t>
  </si>
  <si>
    <t>12 pcs Narra</t>
  </si>
  <si>
    <t>R2-ED-2024-221</t>
  </si>
  <si>
    <t>July 24, 2023</t>
  </si>
  <si>
    <t>33 pcs. Narra</t>
  </si>
  <si>
    <t>May 25, 2026</t>
  </si>
  <si>
    <t>R2-ED-2024-485</t>
  </si>
  <si>
    <t>May 18, 2026</t>
  </si>
  <si>
    <t>need to locate the driver</t>
  </si>
  <si>
    <t>Aug. 02, 2023</t>
  </si>
  <si>
    <t>19 pcs. CHW</t>
  </si>
  <si>
    <t>ACP Scheduled on february 25, 2026</t>
  </si>
  <si>
    <t>R2-ED-2024-226</t>
  </si>
  <si>
    <t>11/15/2024</t>
  </si>
  <si>
    <t>August 19, 2023</t>
  </si>
  <si>
    <t>PSMS Giffrey R. Sindanum</t>
  </si>
  <si>
    <t>4 pcs. Narra (assorted sizes)</t>
  </si>
  <si>
    <t>Sept. 18, 2023</t>
  </si>
  <si>
    <t>August 20, 2023</t>
  </si>
  <si>
    <t>KM 12, So. Daligadig, Sta. Margarita, Baggao, Cagayan</t>
  </si>
  <si>
    <t xml:space="preserve">1 STIHL Chainsaw color orange with Serial No. 122685 </t>
  </si>
  <si>
    <t>8 pcs CHW</t>
  </si>
  <si>
    <t xml:space="preserve"> July 02, 2024</t>
  </si>
  <si>
    <t>R2-ED-2024-225</t>
  </si>
  <si>
    <t>Nov. 27, 2024</t>
  </si>
  <si>
    <t>ACP conducted July 29, 2024</t>
  </si>
  <si>
    <t>August 23, 2023</t>
  </si>
  <si>
    <t>29 pcs. CHW</t>
  </si>
  <si>
    <t>R2-ED-2024-0072</t>
  </si>
  <si>
    <t>R2-ED-2024-216</t>
  </si>
  <si>
    <t>Sept 03, 2023</t>
  </si>
  <si>
    <t>May 14, 2025</t>
  </si>
  <si>
    <t>STA. ISABEL, BUGUEY,CAGAYAN</t>
  </si>
  <si>
    <t>5 pcs. Narra</t>
  </si>
  <si>
    <t>PNP BUGUEY, CAGAYAN</t>
  </si>
  <si>
    <t>JACKSON M. UMOQUIT &amp; NESTOR R. CLARO</t>
  </si>
  <si>
    <t xml:space="preserve">42 GMELINA LUMBER </t>
  </si>
  <si>
    <t>R2-ED-2024-214</t>
  </si>
  <si>
    <t>1UNIT HAND TRACTOR (KULIGLIG)</t>
  </si>
  <si>
    <t>June 19, 2024</t>
  </si>
  <si>
    <t>Sept 14, 2023</t>
  </si>
  <si>
    <t>Bunugan, Baggao, Cagayan</t>
  </si>
  <si>
    <t>13 pcs CHW</t>
  </si>
  <si>
    <t>R2-ED-2024-224</t>
  </si>
  <si>
    <t>MAY 2O,2025</t>
  </si>
  <si>
    <t>September 19, 2023</t>
  </si>
  <si>
    <t>Lal-lo, Sta. Teresita, Cagayan</t>
  </si>
  <si>
    <t>Dominador V. Invierno</t>
  </si>
  <si>
    <t>4 pcs. Gmelina</t>
  </si>
  <si>
    <t>ACP Scheduled on February 5 and 19, 2026</t>
  </si>
  <si>
    <t>PNP Alcala &amp; personnel of CENRO Alcala</t>
  </si>
  <si>
    <t>Rodolfo Ayson &amp; Florante Battung</t>
  </si>
  <si>
    <t>118 pcs Molave and Guijo lumbers</t>
  </si>
  <si>
    <t>1, 549.0</t>
  </si>
  <si>
    <t>Januay 24, 2026</t>
  </si>
  <si>
    <t>Sevelino V. Aguilar, Rosly M. Martinez &amp; Roselito C. Lumuntod, Renato C. Martinez &amp; Herbert M. Tagaban</t>
  </si>
  <si>
    <t>14 pcs. Acacia Flitches</t>
  </si>
  <si>
    <t>TANGLAGAN,GATTARAN,CAGAYAN</t>
  </si>
  <si>
    <t>CARLITO C. BUENO,LEO L. PABLO &amp; ROLANDO C. BUENO</t>
  </si>
  <si>
    <t>68 WHITE AND RED LAUAN LUMBER</t>
  </si>
  <si>
    <t>ACP Conducted on February 5, 2026</t>
  </si>
  <si>
    <t>PNP Station Gattaran, Cagayan</t>
  </si>
  <si>
    <t>MAY 24,2025</t>
  </si>
  <si>
    <t>SAN VICENTE, STA. ANA, CAGAYAN</t>
  </si>
  <si>
    <t>22 NARRA AND WHITE LAUAN LUMBER</t>
  </si>
  <si>
    <t>So. Blue water, Pallagao, Baggao, Cagayan</t>
  </si>
  <si>
    <t>PNREO and CENRO Alcala</t>
  </si>
  <si>
    <t>8 pcs. Diran,           3 pcs. Kalantas and 1 pc. Narra</t>
  </si>
  <si>
    <t>JUNE 1,2025</t>
  </si>
  <si>
    <t>VILLA, STA.TERESITA, CAGAYAN</t>
  </si>
  <si>
    <t>PNP STA.TERESITA</t>
  </si>
  <si>
    <t>Merelyn  A. Antonio &amp; Juanita V. Esoen</t>
  </si>
  <si>
    <t>77, 450.00</t>
  </si>
  <si>
    <t>Isuzu Elf Forward color green with plate no. WLQ 502</t>
  </si>
  <si>
    <t>ACP conducted July 01, 2024</t>
  </si>
  <si>
    <t>June 06, 2024</t>
  </si>
  <si>
    <t>18 pcs. Mayapis</t>
  </si>
  <si>
    <t>Joey L. Rigon</t>
  </si>
  <si>
    <t>7 pcs. Red Lauan (4 Lumbers &amp; 3 Flitches)</t>
  </si>
  <si>
    <t>CENRO Aparri/Received by Alvin P. Tabian</t>
  </si>
  <si>
    <t>ACP Conducted on February 10, 2026</t>
  </si>
  <si>
    <t>Sta. Teresita Cagayan</t>
  </si>
  <si>
    <t>22 pcs Red Lauan and White Lauan, Lumber</t>
  </si>
  <si>
    <t>118 RATTAN CRADLE</t>
  </si>
  <si>
    <t>PNP Sta Teresita, Cagayan</t>
  </si>
  <si>
    <t>Notice of Posting February 18, 2026</t>
  </si>
  <si>
    <t>Gonzaga, Cabiraoan, Cagayan</t>
  </si>
  <si>
    <t>Rodilitlo Witawit</t>
  </si>
  <si>
    <t>127 pcs Narra and Red Lauan, Lumber</t>
  </si>
  <si>
    <t>1,309,48</t>
  </si>
  <si>
    <t>ACP Scheduled on February 19, 2026</t>
  </si>
  <si>
    <t>Bugeuy, Sta. Isabel Cagayan</t>
  </si>
  <si>
    <t>PNREO-CAILTF</t>
  </si>
  <si>
    <t>4 pcs Red Lauan and Lumber and flitches</t>
  </si>
  <si>
    <t>Provincial Capitol, Tuguegarao City</t>
  </si>
  <si>
    <t>Notice of Posting February 3, 2026</t>
  </si>
  <si>
    <t>Gattaran, Sidem, Cagayan</t>
  </si>
  <si>
    <t>PNP Gattaran, Cagayan</t>
  </si>
  <si>
    <t>Reymond P. Tamayo</t>
  </si>
  <si>
    <t>19 pcs Narra and Lumber and Flitches</t>
  </si>
  <si>
    <t>ACP conducted August 12, 2024</t>
  </si>
  <si>
    <t>ACP Scheduled on February 18, 2026</t>
  </si>
  <si>
    <t>R2-ED-2024-0058</t>
  </si>
  <si>
    <t>Cabayabasan, Lallo, Cagayan</t>
  </si>
  <si>
    <t>PNP Lallo, Cagayan</t>
  </si>
  <si>
    <t>Sonny C. Cachola</t>
  </si>
  <si>
    <t>5 pcs Gmelina lumbers</t>
  </si>
  <si>
    <t>July 01, 2024</t>
  </si>
  <si>
    <t>So. Masisit, Assasi, Baggao, Cagayan</t>
  </si>
  <si>
    <t>3 pcs. Gmelina lumbers</t>
  </si>
  <si>
    <t>Resolution issued by Provincial Prosecutor dated Februar 3, 2026 for the filing of Information against the respondent for violation of P.D. 705</t>
  </si>
  <si>
    <t>June 20, 2024</t>
  </si>
  <si>
    <t>R2-ED-2024-00116</t>
  </si>
  <si>
    <t>April 17, 2024</t>
  </si>
  <si>
    <t>Sept. 17, 2024</t>
  </si>
  <si>
    <t>R2-ED- 2024- 0116</t>
  </si>
  <si>
    <t>Notice of Issuance of Order received on August 3, 2026 with docket number R2-ED-2026-072-CAGAPA</t>
  </si>
  <si>
    <t>ACP conducted June 21, 2024</t>
  </si>
  <si>
    <t>R2-ED-2024-517</t>
  </si>
  <si>
    <t>July 02, 2024</t>
  </si>
  <si>
    <t>Dadda, Amulung, Cagayan</t>
  </si>
  <si>
    <t>Edison M. Battad</t>
  </si>
  <si>
    <t>6 pcs Narra lumbers</t>
  </si>
  <si>
    <t>September 20, 2023</t>
  </si>
  <si>
    <t>ACP conducted July 12, 2024</t>
  </si>
  <si>
    <t>Agaman Norte, Baggao, Cagayan</t>
  </si>
  <si>
    <t>3 pcs. Bagtikan</t>
  </si>
  <si>
    <t>9 pcs. Narra</t>
  </si>
  <si>
    <t>R2-ED-2024-512</t>
  </si>
  <si>
    <t>Alucao, Sta Teresita, Cagayan</t>
  </si>
  <si>
    <t>PNP Stateresita, Cagayan</t>
  </si>
  <si>
    <t>July 12, 2024</t>
  </si>
  <si>
    <t>5 pcs Red Lauan flitches</t>
  </si>
  <si>
    <t>Sitio Malisi, Sta. Margarita, Baggao, Cagayan</t>
  </si>
  <si>
    <t>8 pcs Red Lauan 
12 pcs Mayapis</t>
  </si>
  <si>
    <t>R2-ED-2024-215</t>
  </si>
  <si>
    <t>ACP conducted August 02, 2024</t>
  </si>
  <si>
    <t>8/27/2024</t>
  </si>
  <si>
    <t>R2-ED-2024-0070</t>
  </si>
  <si>
    <t>Zone 1, San Jose, Baggao, Cagayan</t>
  </si>
  <si>
    <t>July 20, 2024</t>
  </si>
  <si>
    <t>6 pcs. Narra</t>
  </si>
  <si>
    <t>Abandone</t>
  </si>
  <si>
    <t>Zone 6, Lasilat, Baggao, Cagayan</t>
  </si>
  <si>
    <t>29 pcs Red Lauan lumbers</t>
  </si>
  <si>
    <t>Eerwin Ganapin</t>
  </si>
  <si>
    <t>Monarch Motorcycle (Blue) no plate no.</t>
  </si>
  <si>
    <t>6 pcs. White Lauan</t>
  </si>
  <si>
    <t>CENRO Aparri/Reveived by Revely M. Medinaceli</t>
  </si>
  <si>
    <t>Honda TMX color Black w/ kulong-kulong Engine No. KB509E321775 Chassis No. deface</t>
  </si>
  <si>
    <t>ACP conducted August 05, 2024</t>
  </si>
  <si>
    <t>Hyundai van white bearing Plate No. CPA 132</t>
  </si>
  <si>
    <t>*Abandoned* Awaiting Order of Resolution</t>
  </si>
  <si>
    <t>Rio Jonas Azurin</t>
  </si>
  <si>
    <t>39 pcs Red Lauan lumbers</t>
  </si>
  <si>
    <t>Nov. 20, 2023</t>
  </si>
  <si>
    <t>October 8, 2023</t>
  </si>
  <si>
    <t>RUSI Motorcycle no plate no.</t>
  </si>
  <si>
    <t>Cordova, Amulung, Cagayan</t>
  </si>
  <si>
    <t>ACP Scheduled on February 17, 2026</t>
  </si>
  <si>
    <t>July 21, 2024</t>
  </si>
  <si>
    <t>1 UNIT ELF TRUCK BEARING PALTE NO. CAB 4025</t>
  </si>
  <si>
    <t>Sitio Pagapag, Sta. Margarita, Baggao, Cagayan</t>
  </si>
  <si>
    <t>7 pcs. African Tulips</t>
  </si>
  <si>
    <t>10 pieces Narra</t>
  </si>
  <si>
    <t>Cordova, Amulung barangay Hall/Barangay Kagawad</t>
  </si>
  <si>
    <t>23 pcs Gmelina and lumber and Flitches</t>
  </si>
  <si>
    <t>PNP Station of Sta. Teresita, Cagayan</t>
  </si>
  <si>
    <t>ACP conducted August 06, 2024</t>
  </si>
  <si>
    <t>January 16,2025</t>
  </si>
  <si>
    <t>Notice of Issuance of Finality received on July 7, 2025</t>
  </si>
  <si>
    <t>R2-ED-2024-223</t>
  </si>
  <si>
    <t>December 5,2024</t>
  </si>
  <si>
    <t>Aug. 14, 2024</t>
  </si>
  <si>
    <t>July 24, 2024</t>
  </si>
  <si>
    <t>R2-ED-2024-00142</t>
  </si>
  <si>
    <t>33 pcs. Narra lumbers</t>
  </si>
  <si>
    <t>Alannay, Lasam, Cagayan</t>
  </si>
  <si>
    <t>PNP Lasam Cagayan</t>
  </si>
  <si>
    <t>July 30, 2024</t>
  </si>
  <si>
    <t>Marcris U. Domingo</t>
  </si>
  <si>
    <t>3 pcs White Lauan and Flitches</t>
  </si>
  <si>
    <t>ACP conducted July 28, 2024</t>
  </si>
  <si>
    <t>R2-ED-2024-0142</t>
  </si>
  <si>
    <t>July 28, 2024</t>
  </si>
  <si>
    <t>Zone 4, Asinga-Via, Baggao, Cag.</t>
  </si>
  <si>
    <t xml:space="preserve">Christian Dela Rosa 
Jeremy Rico 
Rodel Ibañez </t>
  </si>
  <si>
    <t>15 pcs. Red Lauan</t>
  </si>
  <si>
    <t>8/21/2024</t>
  </si>
  <si>
    <t>July 31, 2024</t>
  </si>
  <si>
    <t>R2-ED-2024-210</t>
  </si>
  <si>
    <t>Barangay, Baggao</t>
  </si>
  <si>
    <t>R2-ED-2024-206</t>
  </si>
  <si>
    <t>Chainsaw Without Serial number</t>
  </si>
  <si>
    <t>PNP Lasam, Cagayan</t>
  </si>
  <si>
    <t>Cabatacan, Lasam, Cagayan</t>
  </si>
  <si>
    <t>4 pcs Narra Flitches</t>
  </si>
  <si>
    <t xml:space="preserve">PNREO </t>
  </si>
  <si>
    <t>August 17, 2024</t>
  </si>
  <si>
    <t>So. Hotspring, Zone 7, Asinga-Via, Baggao, Cagayan</t>
  </si>
  <si>
    <t>8 pcs. Red lauan</t>
  </si>
  <si>
    <t>ACP conducted September 02, 2024</t>
  </si>
  <si>
    <t>Cagayan Anti-Illegal Task Force (CAILTF) Nassiping, Gattaran, Cagayan</t>
  </si>
  <si>
    <t>Aug. 31, 2024</t>
  </si>
  <si>
    <t>R2-ED-2024-00143</t>
  </si>
  <si>
    <t>So. Birao, Zone 7, Hacienda Intal, Baggao, Cagayan</t>
  </si>
  <si>
    <t>R2-ED-2024-0144</t>
  </si>
  <si>
    <t>4 pcs Narra
6 pcs Lupigi</t>
  </si>
  <si>
    <t>October 18, 2023</t>
  </si>
  <si>
    <t>Notice of Posting February 26, 2026</t>
  </si>
  <si>
    <t>Toran, Aparri, Cagayan</t>
  </si>
  <si>
    <t>PNP Aparri, Cagayan</t>
  </si>
  <si>
    <t>Jerry A. Campano</t>
  </si>
  <si>
    <t>14 pcs Sacks charcoal</t>
  </si>
  <si>
    <t>Rusi Macho 150 Motorcycle with sidecar (kulong kulong) with plate no. B3780D</t>
  </si>
  <si>
    <t>r2-ed-2024-209</t>
  </si>
  <si>
    <t>October 22, 2023</t>
  </si>
  <si>
    <t>June 1, 2026</t>
  </si>
  <si>
    <t>So. Tuknugan, Mabini, Baggao, Cagayan</t>
  </si>
  <si>
    <t>4 pcs. Narra</t>
  </si>
  <si>
    <t>R2-ED-2026-019-CAGAPA</t>
  </si>
  <si>
    <t>ACP conducted September 16, 2024</t>
  </si>
  <si>
    <t>ACP Scheduled on March 2, 20226</t>
  </si>
  <si>
    <t>Centro, Sta.Ana Cagayan</t>
  </si>
  <si>
    <t>Norvey J. Rumbaoa &amp; Jonathan p. Aguila</t>
  </si>
  <si>
    <t>19 pcs Sacks Charcoal</t>
  </si>
  <si>
    <t>Rusi TC 125 Motorcycle with sidecar (kulong kulong) without plate no.</t>
  </si>
  <si>
    <t>CENRO Aparri/Reveived by John Carlo N. Torda</t>
  </si>
  <si>
    <t>Sitio Laoc, Pateng, Gonzaga, Cagayan</t>
  </si>
  <si>
    <t>49 psc Red Lauan Lumber &amp; Flitches</t>
  </si>
  <si>
    <t>R2-ED-2024-00144</t>
  </si>
  <si>
    <t>R2-ED-2024-0143</t>
  </si>
  <si>
    <t>Dec. 05, 2023</t>
  </si>
  <si>
    <t>R2-ED-2024-484</t>
  </si>
  <si>
    <t>Sept. 03, 2024</t>
  </si>
  <si>
    <t>So. Capacuan, Dalaoig, Alcala, Cagayan</t>
  </si>
  <si>
    <t>9 pcs Gmelina lumber</t>
  </si>
  <si>
    <t>01/27/2025</t>
  </si>
  <si>
    <t>R2-ED-2024-228</t>
  </si>
  <si>
    <t>Sept. 07, 2024</t>
  </si>
  <si>
    <t>21 pcs. Red Lauan</t>
  </si>
  <si>
    <t>ACP conducted October 07, 2024</t>
  </si>
  <si>
    <t>Sept. 22, 2024</t>
  </si>
  <si>
    <t>Zone 4, Awallan, Baggao, Cagayan</t>
  </si>
  <si>
    <t>CENRO Alcala Personnel
MENRO Baggao</t>
  </si>
  <si>
    <t>Sept. 23, 2024</t>
  </si>
  <si>
    <t>Centro, Amulung, Cagayan</t>
  </si>
  <si>
    <t>Mark Fe D. Bandong</t>
  </si>
  <si>
    <t>35 pcs. Rattan Cradle</t>
  </si>
  <si>
    <t>1 unit Motorcycle with kulong-kulong bearing plate number AD43968</t>
  </si>
  <si>
    <t>JUNE 13,2025</t>
  </si>
  <si>
    <t>STA. ISABEL, BUGUEY, CAGAYAN</t>
  </si>
  <si>
    <t>DENR-CENRO APARRI PERSONNEL</t>
  </si>
  <si>
    <t>TWINKLE KHEN G. TOLETE</t>
  </si>
  <si>
    <t>6 GMELINA ROUND LOG</t>
  </si>
  <si>
    <t>Barangay Isabel, Buguey, Cagayan</t>
  </si>
  <si>
    <t>Chainsaw With Serial number 1166781769</t>
  </si>
  <si>
    <t>Notice of Posting is March 9, 2026. Letter sent to the Apprehending Officers</t>
  </si>
  <si>
    <t>JUNE 22,2025</t>
  </si>
  <si>
    <t>San Vicente Port, San Vicente, Santa Ana, Cagayan</t>
  </si>
  <si>
    <t>PNP Maritime</t>
  </si>
  <si>
    <t>Samuel Villamor</t>
  </si>
  <si>
    <t>42 pcs White Lauan Lumber</t>
  </si>
  <si>
    <t>LAPOGAN, GATTARAN, CAGAYAN</t>
  </si>
  <si>
    <t>1 GMELINA ROUND LOG</t>
  </si>
  <si>
    <t>ACP scheduled on March 23, 2026</t>
  </si>
  <si>
    <t>Nabannagan West, Lasam, Cagayan</t>
  </si>
  <si>
    <t>Angel Agustin</t>
  </si>
  <si>
    <t>9 Pcs Gmelina Lumber</t>
  </si>
  <si>
    <t>ACP conducted October 02, 2024</t>
  </si>
  <si>
    <t>CASAMBALANGAN, STA. ANA, CAGAYAN</t>
  </si>
  <si>
    <t>JOMAR P. CABANISAN</t>
  </si>
  <si>
    <t>7 GMELINA FURNITURE</t>
  </si>
  <si>
    <t>1 UNIT MITSUBISHI PICK-UP BEARING PLATE NO.MAK-7100</t>
  </si>
  <si>
    <t>R2-ED-2024-409</t>
  </si>
  <si>
    <t>1,000.000.00</t>
  </si>
  <si>
    <t>Stihl Chainsaw w/out Serial Number</t>
  </si>
  <si>
    <t>05/27/2025</t>
  </si>
  <si>
    <t>October 02, 2024</t>
  </si>
  <si>
    <t>JUNE 29,2025</t>
  </si>
  <si>
    <t>TAGAO, LASAM, CAGAYAN</t>
  </si>
  <si>
    <t>6 ANTIPOLO ROUND LOG</t>
  </si>
  <si>
    <t>6 pcs. Red lauan lumber</t>
  </si>
  <si>
    <t>PNP Station of Lasam, Cagayan</t>
  </si>
  <si>
    <t>JULY 1,2025</t>
  </si>
  <si>
    <t>ACP Conducted on March 19, 2026</t>
  </si>
  <si>
    <t>BLGU OF LAPOGAN. GATTARAN, CAGAYAN &amp; PNP GATTARAN, CAGAYAN</t>
  </si>
  <si>
    <t>RONALD O. QUITOLA</t>
  </si>
  <si>
    <t>ACP conducted November 11, 2024</t>
  </si>
  <si>
    <t xml:space="preserve">1 UNIT MOTORCYCLE (EURO 175) WITH SIDECAR </t>
  </si>
  <si>
    <t>Rufino J. Caraña</t>
  </si>
  <si>
    <t>10 pcs African Tulips Lumber</t>
  </si>
  <si>
    <t>ACP Conducted on March 23, 2026</t>
  </si>
  <si>
    <t>JULY 5,2025</t>
  </si>
  <si>
    <t>Vicitacion, Sta. Ana, Cagayan</t>
  </si>
  <si>
    <t>PNP Sta Ana</t>
  </si>
  <si>
    <t>Ruben Requimin</t>
  </si>
  <si>
    <t>13 pcs Red and White Lauan Lumber and Flitches</t>
  </si>
  <si>
    <t>DENR-CENRO Aparri</t>
  </si>
  <si>
    <t>ACP Conducted on March 24, 2026</t>
  </si>
  <si>
    <t>Eddie M. Fernandez</t>
  </si>
  <si>
    <t>21 poles Narra and Binunga Lumber and Flitches</t>
  </si>
  <si>
    <t>ACP Scheduled on April 13, 2026</t>
  </si>
  <si>
    <t>March 25, 2026</t>
  </si>
  <si>
    <t>Villa, STA.TERESITA,CAGAYAN</t>
  </si>
  <si>
    <t>May 27, 2025</t>
  </si>
  <si>
    <t>October 03, 2024</t>
  </si>
  <si>
    <t>Zone 2, Sta. Margarita, Baggao, Cagayan</t>
  </si>
  <si>
    <t>MERLY A. ANTONIO,MARY GRACE DUTDUT &amp; JUANITA V. ESOEN</t>
  </si>
  <si>
    <t>Tubel, Allacapan, Aparri</t>
  </si>
  <si>
    <t>Rexy U. Damasco, Arjay M. Damasco, Freyland G. Valencia</t>
  </si>
  <si>
    <t>14 pcs Palosapis and Malabayabas lumber</t>
  </si>
  <si>
    <t>R2-ED-2024-412</t>
  </si>
  <si>
    <t>Jun 5, 2025</t>
  </si>
  <si>
    <t>61 SPLIT RATTAN</t>
  </si>
  <si>
    <t>Rusi 150 Motorcycle with sidecar Plate No. BE 16962</t>
  </si>
  <si>
    <t>December 3,2024</t>
  </si>
  <si>
    <t>So.Tueg, Bitag Grande, Baggao, Cagayan</t>
  </si>
  <si>
    <t>Jomar Cinco</t>
  </si>
  <si>
    <t>75 pcs. gmelina round/squared logs</t>
  </si>
  <si>
    <t>1UNIT ISUZU UTILITYVEHICLE VAN BEARING PLATE NO. BCL 6759</t>
  </si>
  <si>
    <t>ACP Completed</t>
  </si>
  <si>
    <t>Notice of Issuance of Order received on May 25, 2026</t>
  </si>
  <si>
    <t>R2-ED-2025-00082</t>
  </si>
  <si>
    <t>JULY 17,2025</t>
  </si>
  <si>
    <t>BICUD, LAL-LO, CAGAYAN</t>
  </si>
  <si>
    <t>NOLI  C. BARIT</t>
  </si>
  <si>
    <t>9 NARRA LUMBER</t>
  </si>
  <si>
    <t>RETRIEVED LOGS FROM SUNKEN VESSEL OF DONA JOSEFA</t>
  </si>
  <si>
    <t>PNP CAMALANIUGAN,CAGAYAN</t>
  </si>
  <si>
    <t>ERIC JAMES P. SALVADOR &amp; JUNJUN P. SORIANO</t>
  </si>
  <si>
    <t>12 RED LAUAN ROUND LOG</t>
  </si>
  <si>
    <t>ISUZU TRUCK HEAD BEARING BEARING PLATE NO CAI 2726 WITH HEAVY TRAILER BEARING PLATE NO. BUA 3376</t>
  </si>
  <si>
    <t>ALEX L. FUGENIO &amp; CALID S. CANTORNA</t>
  </si>
  <si>
    <t>10 RED LAUAN ROUND LOG</t>
  </si>
  <si>
    <t>ISUZU TRUCK BEARING PLATE NO.NAA 1009</t>
  </si>
  <si>
    <t>Euro Motorcycle with Sidecar No Plate Number</t>
  </si>
  <si>
    <t>GILBERT CAGURANGAN</t>
  </si>
  <si>
    <t>Jan. 24,2023</t>
  </si>
  <si>
    <t>ISUZU TRUCK HEAD BEARING BEARING PLATE NO. NDD 8486 WITH HEAVY TRAILER BEARING PLATE NO. BUA 3289</t>
  </si>
  <si>
    <t>Zone 6, Cabatacan West</t>
  </si>
  <si>
    <t>REYNANTE T. CABANIZA &amp; RUBERTO M. BAYAWA</t>
  </si>
  <si>
    <t>Rogelio S. Duque</t>
  </si>
  <si>
    <t>6 RED LAUAN ROUND LOG</t>
  </si>
  <si>
    <t>8 pcs Red lauan and Gmelina lumber</t>
  </si>
  <si>
    <t>ISUZU ALUMINUM WING VAN TRUCK BEARING PLATE NO.AFA 8339</t>
  </si>
  <si>
    <t>SANN Mini Chainsaw without serial number</t>
  </si>
  <si>
    <t>ACP Scheduled April 7, 2026</t>
  </si>
  <si>
    <t>Lapogan, Gattaran, Aparri</t>
  </si>
  <si>
    <t>AUGUST 3,2025</t>
  </si>
  <si>
    <t>Angang Tuao, Cagayan</t>
  </si>
  <si>
    <t xml:space="preserve">SITIO SALWANG, KAPANIKIAN, </t>
  </si>
  <si>
    <t>2 pcs Narra and Gmelina Lumber</t>
  </si>
  <si>
    <t>FRED C. ILA</t>
  </si>
  <si>
    <t>4 RED LAUAN LUMBER</t>
  </si>
  <si>
    <t>7 pcs. Rain tree lbr.</t>
  </si>
  <si>
    <t>1 UNIT CHAINSAW WITH SERIAL NO.123610951</t>
  </si>
  <si>
    <t>Notice of posting March 26, 2026</t>
  </si>
  <si>
    <t>STA.ANA POLICE STATION</t>
  </si>
  <si>
    <t>Lalapugan, Lal-lo, Aparri</t>
  </si>
  <si>
    <t>Roen T. Rio</t>
  </si>
  <si>
    <t>14 pcs Gmelina lumber</t>
  </si>
  <si>
    <t>AUGUST 5,2025</t>
  </si>
  <si>
    <t>ACP Scheduled on April 20, 2026</t>
  </si>
  <si>
    <t>CAPALUTAN,ALLACAPAN, CAGAYAN</t>
  </si>
  <si>
    <t>PNP ALLACAPAN, CAGAYAN</t>
  </si>
  <si>
    <t>BALDO S. TULIO</t>
  </si>
  <si>
    <t>66 GMELINA LUMBER</t>
  </si>
  <si>
    <t>IBJ, Lasam, Aparri</t>
  </si>
  <si>
    <t>PNP Station of Allacapan, Cagayan</t>
  </si>
  <si>
    <t>ACP conducted December 16, 2024</t>
  </si>
  <si>
    <t>Erwin B. Garcia</t>
  </si>
  <si>
    <t>23 pcs Mahogany lumber and flitches</t>
  </si>
  <si>
    <t>Iringan, Allacapan, Cagayan</t>
  </si>
  <si>
    <t>Jesus M. Quiba</t>
  </si>
  <si>
    <t>2 pcs Binunga &amp; Maranangka Flitches</t>
  </si>
  <si>
    <t>AUGUST 15,2025</t>
  </si>
  <si>
    <t>DAGUPAN,ALLACAPAN, CAGAYAN</t>
  </si>
  <si>
    <t>PNP MARITIME GROUP OF ABULUG,CAGAYAN</t>
  </si>
  <si>
    <t>CELSO R. COLLADO</t>
  </si>
  <si>
    <t>ACP Conducted May 12, 20206</t>
  </si>
  <si>
    <t>7 PAKAK LUMBER &amp; FLITCH</t>
  </si>
  <si>
    <t>1 UNIT CHAINSAW WITH SERIAL NO.0106196648</t>
  </si>
  <si>
    <t>Nagsirucan, Backling, Aparri, Cagayan</t>
  </si>
  <si>
    <t>Marcelino U. Barcarce Jr.</t>
  </si>
  <si>
    <t>35 pcs. Gmelina &amp; Antipolo Flitches &amp; Lumbers</t>
  </si>
  <si>
    <t>AUGUST 11,2025</t>
  </si>
  <si>
    <t>MATUCAY, ALLACAPAN, CAGAYAN</t>
  </si>
  <si>
    <t>12 TALISAY LUMBER</t>
  </si>
  <si>
    <t>1 UNIT CHAINSAW WITH SERIAL NO. 090109084</t>
  </si>
  <si>
    <t>PNP STATION, ALLACAPAN, CAGAYAN</t>
  </si>
  <si>
    <t>ACP Conducted May 18, 2026</t>
  </si>
  <si>
    <t>AUGUST 21,2025</t>
  </si>
  <si>
    <t>CATUGAN, LAL-LO, CAGAYAN</t>
  </si>
  <si>
    <t>39 pcs. Red Lauan &amp; Palosapis Flitches</t>
  </si>
  <si>
    <t>VICTOR R. CONSEJA</t>
  </si>
  <si>
    <t>3 GMELINA LUMBER</t>
  </si>
  <si>
    <t>Notice of Posting May 4, 2026</t>
  </si>
  <si>
    <t>PNP STATION LAL-LO, CAGAYAN</t>
  </si>
  <si>
    <t>San Antonio, La-lo, Cagayan</t>
  </si>
  <si>
    <t>Rolando R. Canceja &amp; Bernardo D. Canseja</t>
  </si>
  <si>
    <t>2 pcs Loktub Flitches</t>
  </si>
  <si>
    <t>Chainsaw w/out serial No.</t>
  </si>
  <si>
    <t>SEPTEMBER 2,2025</t>
  </si>
  <si>
    <t>SITIO BIGOC, ALUCAO, STA. TERESITA, CAGAYAN</t>
  </si>
  <si>
    <t>RENATO S. BARCENA &amp; ELVIS P. ARTAP</t>
  </si>
  <si>
    <t>7 RED LAUAN FLITCHES</t>
  </si>
  <si>
    <t>mini chainsaw</t>
  </si>
  <si>
    <t>For ACP DAO 97-32</t>
  </si>
  <si>
    <t>1 UNIT CHAINSAW WITH NO SERIAL NO.</t>
  </si>
  <si>
    <t>PNP STATION  STA. TERESITA, CAGAYAN</t>
  </si>
  <si>
    <t>Jan. 30,2023</t>
  </si>
  <si>
    <t>SEPTEMBER 8,2025</t>
  </si>
  <si>
    <t>Anurturo, Rizal, Cagayan</t>
  </si>
  <si>
    <t>TUCALAN PASSING, LASAM, CAGAYAN</t>
  </si>
  <si>
    <t>BRIGIDO L. BERNABE,ARNEL B. BASSIG, SONNY C. TAMMIDAO</t>
  </si>
  <si>
    <t>15 GMELINA FLITCHES</t>
  </si>
  <si>
    <t>4 pcs. Narra lbr,</t>
  </si>
  <si>
    <t>PNP STATION LASAM, CAGAYAN</t>
  </si>
  <si>
    <t>December 10,2024</t>
  </si>
  <si>
    <t>Zone 6, Santor, Baggao, Cagayan</t>
  </si>
  <si>
    <t>Christopher Gamata</t>
  </si>
  <si>
    <t>R2-ED-2024-166</t>
  </si>
  <si>
    <t>13 pcs narra lumber</t>
  </si>
  <si>
    <t>SEPTEMBER 1,2025</t>
  </si>
  <si>
    <t xml:space="preserve">Feb. 9,2023 </t>
  </si>
  <si>
    <t>Niug Norte, Sto. Niño, Cagayan</t>
  </si>
  <si>
    <t>91</t>
  </si>
  <si>
    <t>8 pcs. Gmelina lbr.</t>
  </si>
  <si>
    <t>1 unit Janshe Motor with improvised kulong-kulong</t>
  </si>
  <si>
    <t>R2-ED-2023-314</t>
  </si>
  <si>
    <t>Feb. 13, 2023</t>
  </si>
  <si>
    <t>Barangay Centro Norte, Sto. Niño, Cagayan</t>
  </si>
  <si>
    <t>Dec. 09, 2024</t>
  </si>
  <si>
    <t>R2-ED-2023-0153</t>
  </si>
  <si>
    <t>July 14, 2023</t>
  </si>
  <si>
    <t xml:space="preserve">Feb.22,2023 </t>
  </si>
  <si>
    <t>San Luis, Piat, Cagayan</t>
  </si>
  <si>
    <t>158 pcs. Gmelina lbr.</t>
  </si>
  <si>
    <t>BINAG, LAL-LO, CAGAYAN</t>
  </si>
  <si>
    <t>FELIMON C. URBI</t>
  </si>
  <si>
    <t>PUJ plate no. ACN-677</t>
  </si>
  <si>
    <t xml:space="preserve">PNP Tuao station, Tuao,Cagayan </t>
  </si>
  <si>
    <t>R2-ED-2024-00162</t>
  </si>
  <si>
    <t>0906/2024</t>
  </si>
  <si>
    <t xml:space="preserve">Feb. 23,2023 </t>
  </si>
  <si>
    <t>So. Aningag, Sta.Felisitas, Sto. Niño, Cagayan</t>
  </si>
  <si>
    <t>12 pcs. W Lauan flitches.</t>
  </si>
  <si>
    <t>25 pcs. White Lauan Flitches</t>
  </si>
  <si>
    <t>Rogelio Bayota</t>
  </si>
  <si>
    <t>1 unit assembled chainsaw with engine number A1500390017(Color Orange)</t>
  </si>
  <si>
    <t>Capitol hill Tug. Task force</t>
  </si>
  <si>
    <t>Feb. 23, 2023</t>
  </si>
  <si>
    <t>Sta. Felicitas, Sto. Nino, Cagayan</t>
  </si>
  <si>
    <t>11 pcs white lauan</t>
  </si>
  <si>
    <t>SEPTEMBER 11,2025</t>
  </si>
  <si>
    <t>SITIO DUMASAG, RAPULI, STA. ANA,CAGAYAN</t>
  </si>
  <si>
    <t>ROLY S. SANTIAGO</t>
  </si>
  <si>
    <t>3 PALMABRAVA ROUND POST</t>
  </si>
  <si>
    <t>R2-ED-2024-429</t>
  </si>
  <si>
    <t>July 16, 2025</t>
  </si>
  <si>
    <t xml:space="preserve">Feb.24,2023 </t>
  </si>
  <si>
    <t>Gumarueng , Piat, Cagayan</t>
  </si>
  <si>
    <t>12 pcs. Gmelina lbr.</t>
  </si>
  <si>
    <t xml:space="preserve">1 UNIT CHAINSAW </t>
  </si>
  <si>
    <t>Notice of Issuance of Order received on July 15, 2026</t>
  </si>
  <si>
    <t>December 24, 2024</t>
  </si>
  <si>
    <t>Zone 5, San Francisco, Baggao, Cagayan</t>
  </si>
  <si>
    <t>PNP STATION STA. ANA, CAGAYAN</t>
  </si>
  <si>
    <t>R2-ED-2023-0319</t>
  </si>
  <si>
    <t>SEPTEMBER 12,2025</t>
  </si>
  <si>
    <t>March 7,2023</t>
  </si>
  <si>
    <t>Balanni ,Sto. Niño,Cag.</t>
  </si>
  <si>
    <t>SITIO BIGOC, ALUCAO, STA. TERESITA,CAGAYAN</t>
  </si>
  <si>
    <t>SALVADOR T. AZURIN,BILLY WILLY C. GUTIEREZ</t>
  </si>
  <si>
    <t>2 pcs. narara flit. 9 pcs. W Lauan lbr.</t>
  </si>
  <si>
    <t>6 WHITE LAUAN LUMBER</t>
  </si>
  <si>
    <t>brgy. Hall Balani , Sto. Niño,Cag. Kagawad Janet Tomas</t>
  </si>
  <si>
    <t>Notice of Isuance of Order received on July 7, 2026</t>
  </si>
  <si>
    <t>R2-ED-2023-0320</t>
  </si>
  <si>
    <t>March 8,2023</t>
  </si>
  <si>
    <t>5 pcs. W lauan flitches</t>
  </si>
  <si>
    <t>Masi brgy. Hall Rizal.Cag. Kap. Leah Lauga</t>
  </si>
  <si>
    <t>March 20,2023</t>
  </si>
  <si>
    <t>Lattul, Rizal, Cagayan</t>
  </si>
  <si>
    <t>CENRO Personnel/PNREO</t>
  </si>
  <si>
    <t>19pcs. Gmelina lbr./flit.</t>
  </si>
  <si>
    <t>PNP STATION, STA.TERESITA, CAGAYAN</t>
  </si>
  <si>
    <t>PNP Sta. Terasita</t>
  </si>
  <si>
    <t>Notice of Posting May 13, 2026</t>
  </si>
  <si>
    <t>SEPTEMBER 14,2025</t>
  </si>
  <si>
    <t>30 pcs undocumented assorted lumber</t>
  </si>
  <si>
    <t>FP PNREO &amp; CHAINSAW CENRO</t>
  </si>
  <si>
    <t>Binubongan, Allacapan, Cagayan</t>
  </si>
  <si>
    <t>Herman M. Tagaca</t>
  </si>
  <si>
    <t>11 pcs. Binunga, Antipolo &amp; Red Lauan Lumber</t>
  </si>
  <si>
    <t>ABAGAO, LAL-LO, CAGAYAN</t>
  </si>
  <si>
    <t>RICHARD O. PARTIDA</t>
  </si>
  <si>
    <t>40 CHARCOAL</t>
  </si>
  <si>
    <t>Binubongan, Aparri, Cagayan</t>
  </si>
  <si>
    <t>400.00.00</t>
  </si>
  <si>
    <t>ONE UNIT RUSCO MULTICAB(DROPSIDE BEARING PLATE NO.NIN 2718</t>
  </si>
  <si>
    <t>Pateng, Gnzaga, Cagayn</t>
  </si>
  <si>
    <t>103 pcs Red Lauan Flitches</t>
  </si>
  <si>
    <t>1 unit of Toyota Hi-Ace GL Grandia bearing plate number NCB-3667</t>
  </si>
  <si>
    <t>R2-ED-2026-063</t>
  </si>
  <si>
    <t>Notice of Posting May 18, 2026</t>
  </si>
  <si>
    <t>AElmer A. Mardiaga</t>
  </si>
  <si>
    <t>20 pcs. Mahogany &amp; Gmalina Flitches</t>
  </si>
  <si>
    <t>ACP Scheduled June 1, 2026</t>
  </si>
  <si>
    <t>New Orlins, Lasam, Cagayan</t>
  </si>
  <si>
    <t>Myra F. Sansalo, Angelo F. Sansalo, Edna S. Decano &amp; Heherson S. Mamuri</t>
  </si>
  <si>
    <t>6 pcs Molave Lumber</t>
  </si>
  <si>
    <t>11, 076.3</t>
  </si>
  <si>
    <t>One (1) unit of Toyota Pick-up Truck</t>
  </si>
  <si>
    <t>Bural, Rizal, Cagayan</t>
  </si>
  <si>
    <t>SEPTEMBER 15,2025</t>
  </si>
  <si>
    <t>CUNIG,GATTARAN, CAGAYAN</t>
  </si>
  <si>
    <t>6 COMMON HARDWOOD LUMBER &amp; ROUND LOG</t>
  </si>
  <si>
    <t>PNP STATION GATTARAN, CAGAYAN</t>
  </si>
  <si>
    <t>PNP STA. LASAM, CAGAYAN</t>
  </si>
  <si>
    <t>JAY AR T. ARCILLES, ANTHONY I. AGUSTIN, A.K.A PEDONG</t>
  </si>
  <si>
    <t>24 NARRA LUMBER</t>
  </si>
  <si>
    <t>16.144.80</t>
  </si>
  <si>
    <t>PNP STATION  LASAM, CAGAYAN</t>
  </si>
  <si>
    <t>OCTOBER 7,2025</t>
  </si>
  <si>
    <t>SITIO BIGOT, BUAU, GONZAGA, CAGAYAN</t>
  </si>
  <si>
    <t>GERMAN A. CANGAS, LEVY BOY I. CANGAS</t>
  </si>
  <si>
    <t>10  WHITE LAUAN LUMBER</t>
  </si>
  <si>
    <t>PNP STATION GONZAGA, CAGAYAN</t>
  </si>
  <si>
    <t>OCTOBER 10,2025</t>
  </si>
  <si>
    <t>CATARATAN,A LLACAPAN,CAGAYAN</t>
  </si>
  <si>
    <t>PN P ALLACAPAN, CAGAYAN</t>
  </si>
  <si>
    <t>AGUSTIN M. BALAAN</t>
  </si>
  <si>
    <t>11 DAO/KAMAREG LUMBER</t>
  </si>
  <si>
    <t>OCTOBER 21,2025</t>
  </si>
  <si>
    <t>FUSINA, CAMALANIUGAN, CAGAYAN</t>
  </si>
  <si>
    <t>RANDY C. ALICOMAN</t>
  </si>
  <si>
    <t>38 GMELINA LUMBER AND ROUND LOG</t>
  </si>
  <si>
    <t>NOVEMBER 3,2025</t>
  </si>
  <si>
    <t>RYAN JENSEN RAMOS COLLADO</t>
  </si>
  <si>
    <t>15 CHARCOAL</t>
  </si>
  <si>
    <t xml:space="preserve">1 UNIT ISUZU 2019 UTILITY VAN BEARING PLATE NO. BAB 9052 </t>
  </si>
  <si>
    <t>NOVEMBER 11,2025</t>
  </si>
  <si>
    <t>CASICALAN NORTE, GATTARAN, CAGAYAN</t>
  </si>
  <si>
    <t>GILBERT CORPUZ BORROMEO</t>
  </si>
  <si>
    <t>9 RED LAUAN LUMBER</t>
  </si>
  <si>
    <t>San Lorenzo, Buguey, Cagayan</t>
  </si>
  <si>
    <t>5 bpcs. Narra flit.</t>
  </si>
  <si>
    <t>Jefferson B. Usquiza, Roger B. Pacursa Jr., Rhaymark C. Sequi and Jhonel C. Pablo</t>
  </si>
  <si>
    <t>10 pcs Gmelina lumber</t>
  </si>
  <si>
    <t>Hand Tractor (Kuliglig)</t>
  </si>
  <si>
    <t>NOVEMBER 17,2025</t>
  </si>
  <si>
    <t>PNP STA. ANA, CAGAYAN</t>
  </si>
  <si>
    <t>HARISON A.CAASI</t>
  </si>
  <si>
    <t>1 WOOD CUTTINGS</t>
  </si>
  <si>
    <t>1 UNIT CHAINSAW WITH SERIAL NO. 300931</t>
  </si>
  <si>
    <t>Luga, Sta Teresita, Cagayan</t>
  </si>
  <si>
    <t>Ren June D. Galima &amp; Jackson D. Bannagao</t>
  </si>
  <si>
    <t>22 pcs White Lauan, Nita &amp; Miscellaneous Sp. &amp; 30 Bamboo</t>
  </si>
  <si>
    <t>Villa Cielo, Buguey, Cagayan</t>
  </si>
  <si>
    <t>Jhun Boy Tajaron y Viernes vs Edwin Barcena y Suetos</t>
  </si>
  <si>
    <t>2 pcs Narra lumber</t>
  </si>
  <si>
    <t>PNP STATION OF STA. ANA, CAGAYAN</t>
  </si>
  <si>
    <t>Feb. 02, 2024</t>
  </si>
  <si>
    <t>R2-ED-2024-0002</t>
  </si>
  <si>
    <t>Jan. 02, 2024</t>
  </si>
  <si>
    <t>Feb 25, 2026</t>
  </si>
  <si>
    <t>R2-ED-2024-405</t>
  </si>
  <si>
    <t xml:space="preserve">December 3, 2024 </t>
  </si>
  <si>
    <t>Dabbac Grande, Baggao, Cagayan</t>
  </si>
  <si>
    <t>33 pieces of narra flitches</t>
  </si>
  <si>
    <t>1185</t>
  </si>
  <si>
    <t>February 3, 2026</t>
  </si>
  <si>
    <t>R2-ED-2025-00059</t>
  </si>
  <si>
    <t>January 22, 2026</t>
  </si>
  <si>
    <t>Sitio Birao, Zone 7, Hacienda Intal, Baggao, Cagayan</t>
  </si>
  <si>
    <t>10 pcs narra and lupigi flitches and lumber</t>
  </si>
  <si>
    <t>NOVEMBER 18,2025</t>
  </si>
  <si>
    <t>10 pcs. Rlauan flit.</t>
  </si>
  <si>
    <t>362.0</t>
  </si>
  <si>
    <t>SAN PEDRO, LASAM, CAGAYAN</t>
  </si>
  <si>
    <t>JACKYLLOYD P. CUNTAPAY</t>
  </si>
  <si>
    <t>50 CHARCOAL</t>
  </si>
  <si>
    <t>1 UNIT ISUZU UTILITY VEHICLE (WHITE)  BEARING PLATE NO. CTL 215</t>
  </si>
  <si>
    <t>Notice of Finality received on August 4, 2026</t>
  </si>
  <si>
    <t>R2-ED 2024-484</t>
  </si>
  <si>
    <t>R2-ED-2026-084-CAGAPA</t>
  </si>
  <si>
    <t>NOVEMBER 24,2025</t>
  </si>
  <si>
    <t>SITIO NANGALISAN, MAREDE, STA. ANA, CAGAYAN</t>
  </si>
  <si>
    <t>MARTIN C. MEDRANO, JR &amp; JERMON A. MANGIRAPIN, SR</t>
  </si>
  <si>
    <t xml:space="preserve">2 RED LAUAN LUMBER </t>
  </si>
  <si>
    <t>1 UNIT CHAINSAW WITH SERIAL NO. 197581420</t>
  </si>
  <si>
    <t>Notice of Issuance of Order received on June 9, 2026</t>
  </si>
  <si>
    <t>R2-ED-2026-020-CAGAPA</t>
  </si>
  <si>
    <t>DUNGEG, STA. ANA, CAGAYAN</t>
  </si>
  <si>
    <t>JOVENCIO M. CORPUZ &amp; JAYPEE C. SIMANGAN</t>
  </si>
  <si>
    <t>10 RED LAUAN LUMBER</t>
  </si>
  <si>
    <t>April 1,2023</t>
  </si>
  <si>
    <t>So. Balay Lamag, Rizal, Cagayan</t>
  </si>
  <si>
    <t>20 pcs. Rain Tree /mahogany,Gmelina flit.</t>
  </si>
  <si>
    <t>April 12,2023</t>
  </si>
  <si>
    <t>Callasitan, Sto. Niño, Cagayan</t>
  </si>
  <si>
    <t>7 pcs. R lauan flit.</t>
  </si>
  <si>
    <t xml:space="preserve">Brgy.Cap. Callasitan , Sto. Niño,Cag. </t>
  </si>
  <si>
    <t>Jan. 27, 2024</t>
  </si>
  <si>
    <t>Maddarulug Sue, Enrile, Cagayan</t>
  </si>
  <si>
    <t>PNP Enrile Personnel</t>
  </si>
  <si>
    <t>Mr. Domingo Lappay</t>
  </si>
  <si>
    <t>22 pcs. Raintree lumbers</t>
  </si>
  <si>
    <t>1 unit STIHL chainsaw with serial no. 02221999550</t>
  </si>
  <si>
    <t>ACP conducted March 11, 2024</t>
  </si>
  <si>
    <t>May 28, 2023</t>
  </si>
  <si>
    <t>Feb.06,2024</t>
  </si>
  <si>
    <t>Balanni, Sto. Niño, Cag.</t>
  </si>
  <si>
    <t>CENRO Personnel&amp;PNP Sto. Niño,Cag.</t>
  </si>
  <si>
    <t>Felix Bacud, Julius Bacud, Junmar Agbulig, Jhonas Tarampi</t>
  </si>
  <si>
    <t>16 pcs.white lauan        lbr.</t>
  </si>
  <si>
    <t>San Luis, Tuao, Cagayan</t>
  </si>
  <si>
    <t>PNP Personnel</t>
  </si>
  <si>
    <t>R2-ED-2024-507</t>
  </si>
  <si>
    <t>28 pcs. Red lauan lbrs.                         7 pcs. Narra flits.</t>
  </si>
  <si>
    <t>Feb.20,2024</t>
  </si>
  <si>
    <t>AbarionganUneg,Sto. Niño,Cag.</t>
  </si>
  <si>
    <t>PNREO Cagayan Personnel</t>
  </si>
  <si>
    <t>ZONE 5, HACIENDA INTAL. BAGGAO. CAGAYAN</t>
  </si>
  <si>
    <t>PNP BAGGAO, CAG./PAT. MARK DAVIS UDAUNDO</t>
  </si>
  <si>
    <t>JUANITO SORIANO y PATTUNG</t>
  </si>
  <si>
    <t>PNREO OfficeNasiping,Gattaran, Cagayan CDA Albert C. Reyes</t>
  </si>
  <si>
    <t>March 06,2024</t>
  </si>
  <si>
    <t>Calassitan Sto. Niño,Cagayan.</t>
  </si>
  <si>
    <t>PNREO Personnel</t>
  </si>
  <si>
    <t>15 pcs. Redlauan</t>
  </si>
  <si>
    <t>PNREO Office Nasiping ,Gattaran Cagayan Hygie Hidalgo</t>
  </si>
  <si>
    <t>ACP conducted April 23, 2024</t>
  </si>
  <si>
    <t>March 10,2024</t>
  </si>
  <si>
    <t>Maddarulug ,Enrile,Cagayan.</t>
  </si>
  <si>
    <t>Mr. Ernesto Sibbaluca</t>
  </si>
  <si>
    <t>1 pc round log</t>
  </si>
  <si>
    <t>1 unit STIHL chainsaw with serial no. OJ 1812078</t>
  </si>
  <si>
    <t>PNP Enrile,Cag. PMMS James Lallaban</t>
  </si>
  <si>
    <t>ACP conducted June 07, 2024</t>
  </si>
  <si>
    <t>chain</t>
  </si>
  <si>
    <t>Maddarulog ,Enrile,Cagayan.</t>
  </si>
  <si>
    <t>23 pcs Gmelina lbr.</t>
  </si>
  <si>
    <t>1 unit STIHL chainsaw with serial no. 121320120</t>
  </si>
  <si>
    <t>PNP Enrile,Cag. PMMS Christoper r.a. Bungag</t>
  </si>
  <si>
    <t>ACP conducted April 26, 2024</t>
  </si>
  <si>
    <t>Mr. Joel Meneses and Edmundo Bunagan</t>
  </si>
  <si>
    <t>04-01-24</t>
  </si>
  <si>
    <t>sn.123120120</t>
  </si>
  <si>
    <t>April 09, 2024</t>
  </si>
  <si>
    <t>Barangay Gaddangao, Rizal, Cagayan</t>
  </si>
  <si>
    <t>PNP Rizal Personnel</t>
  </si>
  <si>
    <t>UV Hyundai (white), bearing plate # AYR-490</t>
  </si>
  <si>
    <t>Mr. Dindo Gundan and Mr. Perfecto Batta</t>
  </si>
  <si>
    <t>16 pcs. Gmelina Lumber</t>
  </si>
  <si>
    <t xml:space="preserve">PNP Tuao station, Tuao East,Cagayan </t>
  </si>
  <si>
    <t>3, 825.00</t>
  </si>
  <si>
    <t>Motorcycle described as Red Motoposh 150 bearing plate no. 191 BBB</t>
  </si>
  <si>
    <t>CENR OFFICE Solana, Cag.</t>
  </si>
  <si>
    <t>August 29, 2023</t>
  </si>
  <si>
    <t>02/21/2025</t>
  </si>
  <si>
    <t>R2-Ed-2024-190</t>
  </si>
  <si>
    <t>April 10,2024</t>
  </si>
  <si>
    <t>Gaddagao, Rizal, Cagayan</t>
  </si>
  <si>
    <t>19pcs. Gmelina lbr.</t>
  </si>
  <si>
    <t>July 3, 2023</t>
  </si>
  <si>
    <t>Kulong kulong Rush</t>
  </si>
  <si>
    <t>Calaoagan, Piat, Cagayan</t>
  </si>
  <si>
    <t>PNP Rizal stationPMSG Jeslee Bansag,Investigator PMCO</t>
  </si>
  <si>
    <t>ACP conducted June 10, 2024</t>
  </si>
  <si>
    <t>R2-ED_2024-204</t>
  </si>
  <si>
    <t>60 pcs. Red lauan lbrs. and flts.</t>
  </si>
  <si>
    <t>CENRO Persommel</t>
  </si>
  <si>
    <t>CENRO Solana/Chief, EMS</t>
  </si>
  <si>
    <t>16 pcs. Gmelina lbr.</t>
  </si>
  <si>
    <t>Mar 26, 2026</t>
  </si>
  <si>
    <t>R2-ED-2024-428</t>
  </si>
  <si>
    <t>Jun 30, 2025</t>
  </si>
  <si>
    <t>July 6, 2023</t>
  </si>
  <si>
    <t>Balanni (Balagan), Sto. Niño, Cagayan</t>
  </si>
  <si>
    <t>PSSg Mark S. Eusebio and Pat Aaron Javier</t>
  </si>
  <si>
    <t>Barangay Balanni, Sto. Niño, Cagayan</t>
  </si>
  <si>
    <t>Jaidy Tapaoan y Fuggay</t>
  </si>
  <si>
    <t>4 pcs.Red lauan flts.</t>
  </si>
  <si>
    <t>10 pcs Red Lauan and Narra flitches</t>
  </si>
  <si>
    <t>29, 445.00</t>
  </si>
  <si>
    <t>CHAINSAW (JCK) WITH SERIAL NO. 300100</t>
  </si>
  <si>
    <t>CENR OFFICE ALCALA</t>
  </si>
  <si>
    <t>September 23, 2023</t>
  </si>
  <si>
    <t>Alabiao, Tuao, Cagayan</t>
  </si>
  <si>
    <t>PCPL Braile B. Molina and Pat Ernesto L. Calimag (PNP Tuao, Cagayan)</t>
  </si>
  <si>
    <t>Dominador G. Bagauisan y Gaspar</t>
  </si>
  <si>
    <t>26 pcs. Gmelina lumbers</t>
  </si>
  <si>
    <t>1 unit motorcycle Rusi 150 with sidecar (kulong-kulong) color Red, Chassis No. RSPTC 150E05604</t>
  </si>
  <si>
    <t>14 pcs. Gmelina flitches and lumbers</t>
  </si>
  <si>
    <t>So. Hotspring, Asinga-Via, Baggao, Cagayan</t>
  </si>
  <si>
    <t>23 pcs. Mayapis lumbers</t>
  </si>
  <si>
    <t>R2-ED-2024-00152</t>
  </si>
  <si>
    <t>May 07, 2024</t>
  </si>
  <si>
    <t>Barangay Calassitan, Sto. Niño, Cagayan</t>
  </si>
  <si>
    <t>Mr. Melvin Buenavista Mr. Reynante Saloysoy</t>
  </si>
  <si>
    <t>3 pieces Red Lauan/Gmelina flitches</t>
  </si>
  <si>
    <t>1 unit motorcycle red/black Rusi Macho TC 125 with open sidecar (kulong-kulong) bearing plate No. 383 BIS and 1 unit STHIL chainsaw</t>
  </si>
  <si>
    <t>CENRO Solana/Warlito Canceran, Jr., SEMS /Chief, EMS</t>
  </si>
  <si>
    <t>Notice of Issuance of Order received on July 1, 2026</t>
  </si>
  <si>
    <t>So. Hotspring, Asinga-Via, Baggao, Cagayan/ Brgy. Kagawad Samson Ballesteros</t>
  </si>
  <si>
    <t>Marobbob, Amulung, Cagayan</t>
  </si>
  <si>
    <t>PNP Amulung, Cag.</t>
  </si>
  <si>
    <t>Ricky Boy B. Clibuyot et.al.</t>
  </si>
  <si>
    <t>6 pcs Gmelina flitches and round logs</t>
  </si>
  <si>
    <t>Assembled Chainsaw with Serial No. 031916</t>
  </si>
  <si>
    <t>PNP Amulung, Cag./PSSg Marlon Andal</t>
  </si>
  <si>
    <t>Chainsaw was turned over to CENR Office Alcala under custody of Credit Officer I Edwin Santiago</t>
  </si>
  <si>
    <t>Recommended to file the case before the propoer court</t>
  </si>
  <si>
    <t>Cabuluan, Alcala, Cagayan</t>
  </si>
  <si>
    <t>PNP Alcala, Cagayan</t>
  </si>
  <si>
    <t>Marcelino S. Palangoy</t>
  </si>
  <si>
    <t>66 pcs. Gmelina lumbers</t>
  </si>
  <si>
    <t>Barangay Cabuluan, Alcala, Cagayan/Rufo Baculi Jr.</t>
  </si>
  <si>
    <t>Chainsaws</t>
  </si>
  <si>
    <t>ACP conducted June 14, 2024</t>
  </si>
  <si>
    <t>R2-ED-2024-00151</t>
  </si>
  <si>
    <t>May 11, 2024</t>
  </si>
  <si>
    <t>Dec. 13, 2023</t>
  </si>
  <si>
    <t>Centro Norte, Alcala, Cagayan</t>
  </si>
  <si>
    <t>Jerry Udaundo</t>
  </si>
  <si>
    <t>4 pcs. Narra Flitches</t>
  </si>
  <si>
    <t>Chainsaw with Serial No. 100384323</t>
  </si>
  <si>
    <t>CENR Office, Alcala</t>
  </si>
  <si>
    <t>Resolution dated February 25, 2026 issued by the Provincial Prosecutor dismissing the case without prejudice, and stating the the DENR has the administrative authority as to the disposition of chainsaw with the expired registration</t>
  </si>
  <si>
    <t>So. Bitag Grande, Baggao, Cagayan</t>
  </si>
  <si>
    <t>Chainsaw w/out Guidebar</t>
  </si>
  <si>
    <t>Km 12, Sitio Daligadig, Sta. Margarita, Baggao, Cagayan</t>
  </si>
  <si>
    <t>Abaandoned</t>
  </si>
  <si>
    <t>12 pcs. Red Lauan Lumber</t>
  </si>
  <si>
    <t>Barangay Cato, Tuao, Cagayan</t>
  </si>
  <si>
    <t>Rogelio Alumit 
Jonie Agustin</t>
  </si>
  <si>
    <t>15 pcs Gmelina flitches/ lumbers</t>
  </si>
  <si>
    <t>Zone 4, Sitio Dapir, Sta. Margarita, Baggao, Cagayan</t>
  </si>
  <si>
    <t>PNP Regional Mobile Force Battalion 2 (RMFB2), PNP Baggao and 2nd Maneuver Platoon, 1st Cagayan PMFC</t>
  </si>
  <si>
    <t>26 pcs. assorted sizes Narra Lumber</t>
  </si>
  <si>
    <t>1 Starex van (color gray) bearing plate no. CTW-284</t>
  </si>
  <si>
    <t>R2-ED-2024-504</t>
  </si>
  <si>
    <t>May 30, 2024</t>
  </si>
  <si>
    <t>San Juan, Rizal, Cagayan</t>
  </si>
  <si>
    <t>Mr. Wilbert Asucena</t>
  </si>
  <si>
    <t>1 pc. Apnit flitch</t>
  </si>
  <si>
    <t>November 20, 2023</t>
  </si>
  <si>
    <t>Abariongan Uneg, Sto. Niño, Cagayan</t>
  </si>
  <si>
    <t>1 unit STIHL chainsaw with serial no. 27072019</t>
  </si>
  <si>
    <t>14 pcs. Red lauan flits and lbrs.</t>
  </si>
  <si>
    <t>June 24, 2024</t>
  </si>
  <si>
    <t>Barangay Calaoagan, Piat, Cagayan</t>
  </si>
  <si>
    <t>Christopher Subong &amp; Greggyleo Macanas</t>
  </si>
  <si>
    <t>11 pcs Narra flitches</t>
  </si>
  <si>
    <t>CENRO Solana/Chief, EMS, Warlito N. Canceran</t>
  </si>
  <si>
    <t>1 Isuzu elf(color green)/ WML-796</t>
  </si>
  <si>
    <t>ACP conducted August 15 &amp; 29, 2024</t>
  </si>
  <si>
    <t>9/19/2024</t>
  </si>
  <si>
    <t>March 11, 2024</t>
  </si>
  <si>
    <t>R2-ED-2024-205</t>
  </si>
  <si>
    <t>Nov. 28, 2024</t>
  </si>
  <si>
    <t>Barangay Ballani, Sto. Niño, Cagayan</t>
  </si>
  <si>
    <t>November 22, 2023</t>
  </si>
  <si>
    <t>Joseph lazo
Bienvenido Pagulayan
Christian Tumabali
Carlo Tumbali
Dario Bianes
Nestor Bassig</t>
  </si>
  <si>
    <t>8 pcs Narra flitches</t>
  </si>
  <si>
    <t>3 pcs. Red lauan flts.</t>
  </si>
  <si>
    <t>ACP conducted August 29, 2024</t>
  </si>
  <si>
    <t>PNP Sto. Niño station</t>
  </si>
  <si>
    <t>for ACP</t>
  </si>
  <si>
    <t>PNP Baggao, 204th Regional Mobile Force Battalion 2 and 2nd Maneuver Platoon, 1sr Cagayan PMFC</t>
  </si>
  <si>
    <t>June 29, 2024</t>
  </si>
  <si>
    <t>PNREO
PNP Sto. Niño</t>
  </si>
  <si>
    <t>Jeoffrey Dela Fuerte</t>
  </si>
  <si>
    <t>8 pcs. White Lauan</t>
  </si>
  <si>
    <t>4 pcs. Red Lauan flitches and 9 pcs. white lauan lumber</t>
  </si>
  <si>
    <t>ACP conducted September 13, 2024</t>
  </si>
  <si>
    <t>Barangay Nuig Norte, Sto. Niño, Cagayan</t>
  </si>
  <si>
    <t>Jerry Maur</t>
  </si>
  <si>
    <t>8 pcs. Gmelina flitches
8pcs. Gmelina round logs</t>
  </si>
  <si>
    <t>ACP conducted September 10, 2024</t>
  </si>
  <si>
    <t>July 15, 2024</t>
  </si>
  <si>
    <t>Lallayug, Tuao, Cagayan</t>
  </si>
  <si>
    <t>Rowel Zingabo
Jose Balunsat</t>
  </si>
  <si>
    <t>3 pcs. Gmelina round logs</t>
  </si>
  <si>
    <t>1 mini chainsaw(Ikon)</t>
  </si>
  <si>
    <t>ACP conducted August 15, 2024</t>
  </si>
  <si>
    <t>9/04/2024</t>
  </si>
  <si>
    <t xml:space="preserve">23 pcs. Narra lumber </t>
  </si>
  <si>
    <t>August 04, 2024</t>
  </si>
  <si>
    <t>Zone 1, Annayatan, Baggao, Cagayan</t>
  </si>
  <si>
    <t>Mariano Baldonado</t>
  </si>
  <si>
    <t>16 pcs. assorted sizes of Narra lumbers</t>
  </si>
  <si>
    <t>Hyundai van color dark green with plate no. XBJ-640</t>
  </si>
  <si>
    <t>ACP conducted August 19, 2024</t>
  </si>
  <si>
    <t>August 05, 2024</t>
  </si>
  <si>
    <t>February 17,2025</t>
  </si>
  <si>
    <t>R2-ED-2024-0032</t>
  </si>
  <si>
    <t>December 19, 2023</t>
  </si>
  <si>
    <t>August 10, 2024</t>
  </si>
  <si>
    <t>So. Singaga, Mauanan, Rizal, Cag.</t>
  </si>
  <si>
    <t>2 pcs. Gmelina</t>
  </si>
  <si>
    <t>ACP conducted October 10, 2024</t>
  </si>
  <si>
    <t>August 23, 2024</t>
  </si>
  <si>
    <t>Barangay Lubo, Sto. Niño, Cagayan</t>
  </si>
  <si>
    <t>Loreto Tapaoan
marlon Balauag</t>
  </si>
  <si>
    <t>4 pcs. White Lauan lumber</t>
  </si>
  <si>
    <t>ACP conducted November 13, 2024</t>
  </si>
  <si>
    <t>Sept. 09, 2024</t>
  </si>
  <si>
    <t>Barangay Nuig, Sto. Niño, Cagayan</t>
  </si>
  <si>
    <t>George Menor
Jomar Sibal</t>
  </si>
  <si>
    <t>Sept. 28, 2024</t>
  </si>
  <si>
    <t>October 17,2024</t>
  </si>
  <si>
    <t>Janifer Miguel</t>
  </si>
  <si>
    <t>19 pcs narra flitches and lumber</t>
  </si>
  <si>
    <t>ACP conducted December 13 and 16, 2024</t>
  </si>
  <si>
    <t>Malasat, Barangay Sto. Domingo, Piat, Cagayan</t>
  </si>
  <si>
    <t>Mr. Dominador Bagauisan</t>
  </si>
  <si>
    <t>Notice of Issuance of Order received on August 3, 2026 with docket number R2-ED-2026-0108-CAGALC promulgated on July 21, 2026</t>
  </si>
  <si>
    <t>Zone 3, Sta.Margarita, Baggao, Cagayan</t>
  </si>
  <si>
    <t>Joemar D. Macafe</t>
  </si>
  <si>
    <t>3 pcs. White Lauan</t>
  </si>
  <si>
    <t>Chainsaw with Serial No. 128486194</t>
  </si>
  <si>
    <t>Forest Products under Custody of PNP Baggao, while Chainsaw is CENRO Alcala</t>
  </si>
  <si>
    <t>November 24, 2024</t>
  </si>
  <si>
    <t>Feruary 15, 2026</t>
  </si>
  <si>
    <t>Zone 6, So. Marus, Hacienda Intal, Baggao, Cagayan</t>
  </si>
  <si>
    <t>Junior R. Ganat (At Large)</t>
  </si>
  <si>
    <t>3 pcs Red Lauan Lumber, 2 Pcs Gmelina Flitches,</t>
  </si>
  <si>
    <t>Portable Mini Stihl Chainsaw</t>
  </si>
  <si>
    <t>PNP Baggao, Police Station</t>
  </si>
  <si>
    <t>3 pcs. Gmelina</t>
  </si>
  <si>
    <t>Zone 4, San Vicente, Baggao, Cagayan</t>
  </si>
  <si>
    <t>MENRO Baggao &amp; DENR- CENRO Alcala</t>
  </si>
  <si>
    <t>3 Pcs. Gmelina logs</t>
  </si>
  <si>
    <t>LGU MENRO Baggao</t>
  </si>
  <si>
    <t>Zone 7, San Miguel, Baggao, Cagayan</t>
  </si>
  <si>
    <t>5 pcs. Red Laauan &amp; 7 pcs. White Lauan</t>
  </si>
  <si>
    <t>20 Pcs. White Lauan lumber</t>
  </si>
  <si>
    <t>Demetrio Bilches</t>
  </si>
  <si>
    <t>2 pcs. Alim round logs</t>
  </si>
  <si>
    <t>January 26, 2025</t>
  </si>
  <si>
    <t>Cataraoan, Amulung, Cagayan</t>
  </si>
  <si>
    <t>ZONE 7, TALLANG, BAGGAO</t>
  </si>
  <si>
    <t>Briccio Sabban and Dante Castillejo</t>
  </si>
  <si>
    <t>250 pcs Buho</t>
  </si>
  <si>
    <t>ACP conducted December 23, 2024</t>
  </si>
  <si>
    <t>Owner Type Jeep Toyota with Carrier Plate No. BDC 175</t>
  </si>
  <si>
    <t>PNP AMulung</t>
  </si>
  <si>
    <t>So. Banal, Dalaoig, Alcala, Cagayan</t>
  </si>
  <si>
    <t>Avelino M. Caducio</t>
  </si>
  <si>
    <t>854 pieces of Buho and Miscelaneous Species</t>
  </si>
  <si>
    <t>6,832 and 5886</t>
  </si>
  <si>
    <t>Still at the Area</t>
  </si>
  <si>
    <t>PNP BAGGAO</t>
  </si>
  <si>
    <t>Pared, Alcala, Cagayan</t>
  </si>
  <si>
    <t>FREDIEMAR SALVACION &amp; DEO DOMINGO</t>
  </si>
  <si>
    <t>Judy Tabarejo</t>
  </si>
  <si>
    <t>75 pcs Buho</t>
  </si>
  <si>
    <t>26 PCS GMELINA LUMBER</t>
  </si>
  <si>
    <t>Kuliglig with Carrier RD 140N</t>
  </si>
  <si>
    <t>ACP conducted on March 11, 2026</t>
  </si>
  <si>
    <t>1 motorcycle(kulong-kulong) bearing plate no. 0201-00001188695</t>
  </si>
  <si>
    <t>Baculud, Alcala, Cagayan</t>
  </si>
  <si>
    <t>Fredinel Tabajero</t>
  </si>
  <si>
    <t>51 pcs Buho</t>
  </si>
  <si>
    <t>Jan. 22, 2024</t>
  </si>
  <si>
    <t xml:space="preserve">CAVAPROMS, San Juan Sta Praxedez ,Cagayan </t>
  </si>
  <si>
    <t>CENRO Personnel&amp; CAVAPROMS personnel</t>
  </si>
  <si>
    <t>Felix Maruzo</t>
  </si>
  <si>
    <t>5 pcs.  Wooden banka 28 footer  (28' 3' 28')</t>
  </si>
  <si>
    <t>ISUZU ELF PLATE NO. RBY-734</t>
  </si>
  <si>
    <t xml:space="preserve">CAVAPROMS,san Juan Sta Praxedez ,Cagayan </t>
  </si>
  <si>
    <t>conducted ACP  Jan. 29, 2024</t>
  </si>
  <si>
    <t>Notice of Issuance of Finality received on July 29, 2026</t>
  </si>
  <si>
    <t>CHAINSAW WITH SERIAL NUMBER 369543341</t>
  </si>
  <si>
    <t>Notice of Issuance of an Order received on March 12, 2026 with case no. R2-ED-2025-00071</t>
  </si>
  <si>
    <t>So. Lappan, Bunugan, Baggao, Cagayan</t>
  </si>
  <si>
    <t>LGU, MENRO &amp; DENR</t>
  </si>
  <si>
    <t>ACP conducted Feb. 12, 2024</t>
  </si>
  <si>
    <t>3 pcs Kamareg Flitches</t>
  </si>
  <si>
    <t>BLGU Bunugan</t>
  </si>
  <si>
    <t>DENR-CENRO Alcala</t>
  </si>
  <si>
    <t>27 pcs White Lauan &amp; Red Lauan Lumber &amp; Flitches</t>
  </si>
  <si>
    <t>Zone 5, Mocag, Baggao, Cagayan</t>
  </si>
  <si>
    <t>Ruben Pigao</t>
  </si>
  <si>
    <t>18 pcs Gmelina Lumber/Flitches</t>
  </si>
  <si>
    <t>BLGU Mocag</t>
  </si>
  <si>
    <t>Zone 4 So. Mocag, Baggao, Cagayan</t>
  </si>
  <si>
    <t>LGU, MENRO, DENR &amp; PNP Baggao</t>
  </si>
  <si>
    <t>2 pcs Narra Flitch/Lumber</t>
  </si>
  <si>
    <t>04/14/26</t>
  </si>
  <si>
    <t>Sitio Hotspring, Asinga-Via, Baggao, Cagayan</t>
  </si>
  <si>
    <t>Elinor Cabaro y Pardian (At-large)</t>
  </si>
  <si>
    <t>7 pcs Tanguile lumber and 34 pcs red lauan lumber</t>
  </si>
  <si>
    <t>R2-ED-2024-480</t>
  </si>
  <si>
    <t>03/25/26</t>
  </si>
  <si>
    <t>CENRO Alcala/Merson Pardian</t>
  </si>
  <si>
    <t>Purok Bayabas, Remus, Baggao, Cagayan</t>
  </si>
  <si>
    <t>Fernando Villafuerte</t>
  </si>
  <si>
    <t>22 pcs red lauan lumber</t>
  </si>
  <si>
    <t>Prodencio Pascual y Calayeg</t>
  </si>
  <si>
    <t>1 unit chainsaw Stihl 28" guide bar color orange, no serial number and unregistered</t>
  </si>
  <si>
    <t>Feb. 05,2024</t>
  </si>
  <si>
    <t>Bunugan, Alcala, Cagayan</t>
  </si>
  <si>
    <t>Judy Malvar y Buendia and Elpidio Pastor y Garcia</t>
  </si>
  <si>
    <t>2 pcs Gmelina lumber</t>
  </si>
  <si>
    <t>Cabaggab,Pamplona,         Cagayan</t>
  </si>
  <si>
    <t>1 unit Stihl Chainsaw MC 5800 26" guide bar w/o serial number and unregistered</t>
  </si>
  <si>
    <t>CENRO Alcala/ PNP San Jose Baggao</t>
  </si>
  <si>
    <t>Charie Burgos</t>
  </si>
  <si>
    <t>3 pcs Antipolo flitches</t>
  </si>
  <si>
    <t>1 unit chainsaw Stihl color orange/white with serial 181130054</t>
  </si>
  <si>
    <t>5 pcs. Tanguile lbr.</t>
  </si>
  <si>
    <t>CENRO-Alcala Personnel &amp; PNP Baggao</t>
  </si>
  <si>
    <t>Abner Ramirez y Bassig &amp; Ferdinand Callueng y Apostol</t>
  </si>
  <si>
    <t>Red Lauan 13, Mayapis 58, Yakal 6, Apitong 4 &amp; Bagtikan 4 (lumber)</t>
  </si>
  <si>
    <t>Asinga-via, Baggao, Cagayan</t>
  </si>
  <si>
    <t>Evelyn Adversal</t>
  </si>
  <si>
    <t>March 12, 2026</t>
  </si>
  <si>
    <t>16 pcs. Nato Lumber</t>
  </si>
  <si>
    <t>R2-ED-2025-00071</t>
  </si>
  <si>
    <t>CENR Office Sanchez Mira,Cagayan</t>
  </si>
  <si>
    <t>conducted ACP  Feb. 16, 2024</t>
  </si>
  <si>
    <t>R2-ED-2024-239</t>
  </si>
  <si>
    <t>Feb. 14, 2024</t>
  </si>
  <si>
    <t>Feb. 25, 2025</t>
  </si>
  <si>
    <t>February 2, 2025</t>
  </si>
  <si>
    <t>1 UNIT OF SALA SET, 4 PCS OF NARRA DINING CHAIRS</t>
  </si>
  <si>
    <t>1 UNIT MITSUBISHI L300 VAN BEARING PLATE NO. XEA 393</t>
  </si>
  <si>
    <t>Magsidel, Calayan, Cagayan</t>
  </si>
  <si>
    <t>MENRO Calayan, BLGU Magsidel, FPO</t>
  </si>
  <si>
    <t>106 pcs. assorted lumbers &amp; flitches</t>
  </si>
  <si>
    <t>PNP San Jose, Baggao, Cagayan</t>
  </si>
  <si>
    <t>Notice of Issuance of Finality received on April 29, 2026</t>
  </si>
  <si>
    <t>Barangay Hall Magsidel, Calayan, Cagayan</t>
  </si>
  <si>
    <t>conducted ACP  April 11, 2024</t>
  </si>
  <si>
    <t>April 29, 2026</t>
  </si>
  <si>
    <t>R2-ED-2025-00067</t>
  </si>
  <si>
    <t>February 09, 2026</t>
  </si>
  <si>
    <t>March 1, 2025</t>
  </si>
  <si>
    <t>SITIO DALIGADIG, STA. MARGARITA, BAGGAO, CAGAYAN</t>
  </si>
  <si>
    <t>PNP BAGGAO, RMFB2, PMBFC,204TH MANEUVER COMPANY,CENRO ALCALA</t>
  </si>
  <si>
    <t>42 ASSORTED SIZES OF YAKAL, MANGACHAPUI AND KAMAGONG</t>
  </si>
  <si>
    <t>Notice of Issuance of an Order received on March 17, 2026 with case no. R2-ED-2025-00072</t>
  </si>
  <si>
    <t>Sitio Banga, Gaggabutan West, Rizal, Cag.</t>
  </si>
  <si>
    <t>PNP Rizal, Cag.</t>
  </si>
  <si>
    <t>Ferdinand B. Ayat</t>
  </si>
  <si>
    <t>4 pcs. Gmelina Flitches</t>
  </si>
  <si>
    <t>March 17, 2026</t>
  </si>
  <si>
    <t>R2-ED-2025-00072</t>
  </si>
  <si>
    <t>Barangay Gaggabutan West, Rizal, Cag./Brgy Captain Melchor M. Ayat</t>
  </si>
  <si>
    <t>March 5, 2026</t>
  </si>
  <si>
    <t>October 19, 2025</t>
  </si>
  <si>
    <t>DABBAC GRANDE, BAGGAO, CAGAYAN</t>
  </si>
  <si>
    <t>PNP BAGGAO, CPMFC, MENRO BAGGAO</t>
  </si>
  <si>
    <t>Barangay Battung, Tuao, Cagayan.</t>
  </si>
  <si>
    <t>PNP Tuao, Cag.</t>
  </si>
  <si>
    <t>HAROLD DIBAYAN y CABARO</t>
  </si>
  <si>
    <t>Jaime P. Bermilio(Lumber Owner) Felizardo J. Martin (Chainsaw Owner)</t>
  </si>
  <si>
    <t>18 TANGUILE LUMBER</t>
  </si>
  <si>
    <t>12 pcs Gmelina lumbers</t>
  </si>
  <si>
    <t>Chainsawe with Serial No. 5451227</t>
  </si>
  <si>
    <t>PNP Tuao, Cag./PCPL Reymar B. Gebaña</t>
  </si>
  <si>
    <t>Notice of Issuance of an Order received on March 12, 2026 with case no. R2-ED-2026-001-CAGALC</t>
  </si>
  <si>
    <t>Feb. 29,2024</t>
  </si>
  <si>
    <t>Masi,Pamplona, Cagayan</t>
  </si>
  <si>
    <t>21 pcs. Tanguile lbr.</t>
  </si>
  <si>
    <t>Notice of Issuance of Order received on June 9, 2026 with docket number R2-ED-2026-035-CAGSOL and promulgated on May 25, 2026</t>
  </si>
  <si>
    <t>R2-ED-2026-001-CAGALC</t>
  </si>
  <si>
    <t>February 25, 2026</t>
  </si>
  <si>
    <t>January 22, 2025</t>
  </si>
  <si>
    <t>SITIO MATARONG, HACIENDA INTAL, BAGGAO, CAGAYAN</t>
  </si>
  <si>
    <t>Sitio Kalaukan, Solana cagayan</t>
  </si>
  <si>
    <t>PNP Solana Cag.</t>
  </si>
  <si>
    <t>Gabriel J. Bergado</t>
  </si>
  <si>
    <t>14 pcs Round logs and 9 pcs lumbers of Gmelina</t>
  </si>
  <si>
    <t>1 unit Assembled Chainsaw</t>
  </si>
  <si>
    <t>CENR Office Sanchez Mira ,Cagayan</t>
  </si>
  <si>
    <t>conducted ACP  March 11, 2024</t>
  </si>
  <si>
    <t>1 CHAINSAW</t>
  </si>
  <si>
    <t>R2-ED-2024-0068</t>
  </si>
  <si>
    <t xml:space="preserve">Notice of Issuance of an Order received on March 23, 2026 </t>
  </si>
  <si>
    <t>March 07,2024</t>
  </si>
  <si>
    <t>Kitag,Sanchez Mira,Cagayan</t>
  </si>
  <si>
    <t>March 23, 2026</t>
  </si>
  <si>
    <t>10 pcs.tanguile lbr.</t>
  </si>
  <si>
    <t>R2-ED-2025-00074</t>
  </si>
  <si>
    <t>Warlito N.Canceran Jr. of CENRO Solana, Cagayan</t>
  </si>
  <si>
    <t>ACP conducted March 18,2024</t>
  </si>
  <si>
    <t>Recommended to file before the propoer court</t>
  </si>
  <si>
    <t>r2-ed-2024-198</t>
  </si>
  <si>
    <t>Masi, Rizal,Cagayan</t>
  </si>
  <si>
    <t>April 26, 2024</t>
  </si>
  <si>
    <t>PNP Rizal Cag.</t>
  </si>
  <si>
    <t>12 pcs lumbers White Lauan</t>
  </si>
  <si>
    <t>Conrado Vidad</t>
  </si>
  <si>
    <t>50 pcs Gmelina lumbers</t>
  </si>
  <si>
    <t>Barangay Masi, Rizal, Cagayan</t>
  </si>
  <si>
    <t>ACP conducted May 07,2024</t>
  </si>
  <si>
    <t>Rolly Usita 
Roger Delos Santos</t>
  </si>
  <si>
    <t>27 pcs. Santol lumber</t>
  </si>
  <si>
    <t>ACP conducted June 06,2024</t>
  </si>
  <si>
    <t>Oct. 14, 2024</t>
  </si>
  <si>
    <t>May 15, 2024</t>
  </si>
  <si>
    <t>Santiago, Sanchez Mira</t>
  </si>
  <si>
    <t>Cabuluan West , Ballesteros, Cag.</t>
  </si>
  <si>
    <t>CENRO personnel &amp; PNP S.Mira</t>
  </si>
  <si>
    <t>CENRO Personnel&amp;pnp ballesteros,Cag.</t>
  </si>
  <si>
    <t>Marvin T. Casuga</t>
  </si>
  <si>
    <t>15 pcs.  Kaimito Trunks and Branches (fire wood size)</t>
  </si>
  <si>
    <t>Sitio Kalaukan,, Solana,Cagayan</t>
  </si>
  <si>
    <t>14 pcs round logs and 9 pcs lumber Gnelina</t>
  </si>
  <si>
    <t>June 10, 2024</t>
  </si>
  <si>
    <t>PNP Ballesteros  PMSArlene ReynonJordan Viernes</t>
  </si>
  <si>
    <t>Jan. 30, 2023 acp conducted</t>
  </si>
  <si>
    <t>Jan. 16,2023</t>
  </si>
  <si>
    <t>Cabuluan East, Ballesteros, Cagayan</t>
  </si>
  <si>
    <t>Rexie Usita</t>
  </si>
  <si>
    <t>3 pcs. narra Flitches</t>
  </si>
  <si>
    <t>kolong kolong temp plate 0201-103288</t>
  </si>
  <si>
    <t>Jan. 24, 2023 acp conducted</t>
  </si>
  <si>
    <t>Jan. 21,2023</t>
  </si>
  <si>
    <t>24 pcs. w lauan lbr.</t>
  </si>
  <si>
    <t>Cag provincial Capitol Nasiping Gattaran,Cag CDO II Haygie Hidalgo</t>
  </si>
  <si>
    <t>Feb. 07, 2023 acp conducted</t>
  </si>
  <si>
    <t>Feb. 10,2023</t>
  </si>
  <si>
    <t>Centro 06 Claveria, Cagayan</t>
  </si>
  <si>
    <t>CENRO Personnel&amp;pnp Claveria,Cag.</t>
  </si>
  <si>
    <t>Rey C. Lsgaasca &amp; Rowell Guerero</t>
  </si>
  <si>
    <t>27 pcs. Bantique</t>
  </si>
  <si>
    <t>Feb. 27, 2023 acp conducted</t>
  </si>
  <si>
    <t>Feb. 14,2023</t>
  </si>
  <si>
    <t>Nagrangtayan, Sanchez Mira, Cagayan</t>
  </si>
  <si>
    <t>1 pc molave flit.2 pcs. molave poles</t>
  </si>
  <si>
    <t>DENR-CENRO, Solana,Lannig,Solana Cagayan</t>
  </si>
  <si>
    <t>August 21, 2024</t>
  </si>
  <si>
    <t>Liuan Norte, Enrile, Cagayan</t>
  </si>
  <si>
    <t>PNP Enrile Cag</t>
  </si>
  <si>
    <t>Abondoned</t>
  </si>
  <si>
    <t>91 pcs Gmelina Lumber</t>
  </si>
  <si>
    <t>Sotio Talat, Gaggabutan West, Rizal, Cagayan</t>
  </si>
  <si>
    <t>PNP Rizal, Cag and CENRO Solana.</t>
  </si>
  <si>
    <t>Region D. Dassun</t>
  </si>
  <si>
    <t>12 pcs. White Lauan Flitches</t>
  </si>
  <si>
    <t>7 pcs. Gmelina lbr</t>
  </si>
  <si>
    <t>Ducket No. R2-ED-2026-017-CAGALC (Release of 1 unit of Hand Tractor with trailer (Kuliglig) and Confiscation of 50 Pieces Bamboo (Boho)</t>
  </si>
  <si>
    <t>Roma Norte, Enrile, Cagayan</t>
  </si>
  <si>
    <t>Arlo Aluminum Co Inc.</t>
  </si>
  <si>
    <t>221 Sacks Charcoal</t>
  </si>
  <si>
    <t>Elf White Foton</t>
  </si>
  <si>
    <t>DENR Solana_Warlito Canceran</t>
  </si>
  <si>
    <t>ACP conducted on March 23, 2026</t>
  </si>
  <si>
    <t>December 24, 2025</t>
  </si>
  <si>
    <t xml:space="preserve">30 ASSORTED LUMBER </t>
  </si>
  <si>
    <t>1 UNIT TOYOTA HI-ACE GL GRANDIA BEARING PLATE NUMBER NCB-3667</t>
  </si>
  <si>
    <t>Feb. 20 &amp; March 02, 2023 acp conducted</t>
  </si>
  <si>
    <t>Notice of Issuance of an Order received</t>
  </si>
  <si>
    <t>R2-ED-2023-0318</t>
  </si>
  <si>
    <t>Feb. 24,2023</t>
  </si>
  <si>
    <t>July 28, 2025</t>
  </si>
  <si>
    <t xml:space="preserve">20 PCS RED LAUAN LUMBER </t>
  </si>
  <si>
    <t>February 18, 2026</t>
  </si>
  <si>
    <t>R2-ED-2026-002-CAGALC</t>
  </si>
  <si>
    <t>Duyon, Rizal, Cagayan</t>
  </si>
  <si>
    <t>January 26, 2026</t>
  </si>
  <si>
    <t>Oniate E. Grospe</t>
  </si>
  <si>
    <t>Kitag, Sanchez Mira, Cagayan</t>
  </si>
  <si>
    <t>2 pcs round logs, 22 pcs lumbers of Narra &amp; 4 pcs Gmelina Lumber</t>
  </si>
  <si>
    <t>September 18, 2024</t>
  </si>
  <si>
    <t>Duyun, Rizal Cagayan</t>
  </si>
  <si>
    <t>October 28, 2025</t>
  </si>
  <si>
    <t>Mocag, Baggao, Cagayan</t>
  </si>
  <si>
    <t>BAGGAO POLICE STATION</t>
  </si>
  <si>
    <t>LEO ARRELANO, MELCHOR AYUDAN</t>
  </si>
  <si>
    <t xml:space="preserve">1 UNIT QUEEN SIZE BED (GMELINA), 1 UNIT QUEEN SIZE BED (NARRA), 1 UNIT DOUBLE DECK (NARRA) </t>
  </si>
  <si>
    <t>Bural, Rizal Cagayan</t>
  </si>
  <si>
    <t>PNP Rizal. Cagaya</t>
  </si>
  <si>
    <t>Cecilio C. Lagua</t>
  </si>
  <si>
    <t>8 pcs flitches and 1 pc lumber Narra</t>
  </si>
  <si>
    <t>27 pcs. tanguile lbr.</t>
  </si>
  <si>
    <t>Denie B. Verdadero</t>
  </si>
  <si>
    <t>March 20, 2023 acp conducted</t>
  </si>
  <si>
    <t>28 pcs Apnit (Lumber) &amp; 2 pcs Alim (flitches)</t>
  </si>
  <si>
    <t>Gerry B. Marquez</t>
  </si>
  <si>
    <t>7 pcs Red Lauan (Flitches)</t>
  </si>
  <si>
    <t>March 18,2023</t>
  </si>
  <si>
    <t>Merlan B. Fieror</t>
  </si>
  <si>
    <t>12 pcs Narra (Lumber)</t>
  </si>
  <si>
    <t>Alvin G. Balweg</t>
  </si>
  <si>
    <t>5 pcs. Red Lauan Flitches</t>
  </si>
  <si>
    <t>1 UNIT WHITE VAN BEARING PLATE NUMBER ABF 3437</t>
  </si>
  <si>
    <t>CSW Report received on April 16, 2026</t>
  </si>
  <si>
    <t>December 11, 2025</t>
  </si>
  <si>
    <t>folder at CENRO S. Mira</t>
  </si>
  <si>
    <t>Kalang, Masi,Pamplona, Cagayan</t>
  </si>
  <si>
    <t>DENR Solana</t>
  </si>
  <si>
    <t>Ballani, Sto. Niño, Cagayan</t>
  </si>
  <si>
    <t>Junmar M. Agbulig</t>
  </si>
  <si>
    <t>29 pcs. Red Lauan lumbers</t>
  </si>
  <si>
    <t>Ponciano B. Nicolas</t>
  </si>
  <si>
    <t>37 pcs Miscellaneous Species</t>
  </si>
  <si>
    <t>Kumatsu Backhoe</t>
  </si>
  <si>
    <t>November 16, 2024</t>
  </si>
  <si>
    <t>CAVAPROMS, San Juan, Sta. Praxedes, Cagayan</t>
  </si>
  <si>
    <t>CAVAPROMS personnel</t>
  </si>
  <si>
    <t>Mr. Jenmar Pascual</t>
  </si>
  <si>
    <t>300 Rattan Cradles (Duyan)</t>
  </si>
  <si>
    <t>Isuzu Elf with plate no. AMA 2803</t>
  </si>
  <si>
    <t>Brgy. Captain Rowel P. Delos Santos</t>
  </si>
  <si>
    <t>Groupings, Masi, Rizal, Cagayan</t>
  </si>
  <si>
    <t>Benjie M. Sabbun</t>
  </si>
  <si>
    <t>November 19, 2024</t>
  </si>
  <si>
    <t>.</t>
  </si>
  <si>
    <t>4 pcs. Narra lbr.</t>
  </si>
  <si>
    <t>2 pcs (post) 1 ( log ) Anabiong</t>
  </si>
  <si>
    <t>95 pcs common hardwood lumber</t>
  </si>
  <si>
    <t>STIHL chainsaw with serial number 135039015</t>
  </si>
  <si>
    <t>Barangay Kagawad Roger P. Caliboso</t>
  </si>
  <si>
    <t>Jonas V. Lagua</t>
  </si>
  <si>
    <t>25 pcs red Lauan Lumber</t>
  </si>
  <si>
    <t>Dungao, Sto. Niño, Cagayan</t>
  </si>
  <si>
    <t>Marian S. Macera</t>
  </si>
  <si>
    <t>5 Gmelina, 5 Mahogany flitches</t>
  </si>
  <si>
    <t>Centro 3, Claveria, cagayan</t>
  </si>
  <si>
    <t>PNP Claveria, Cag. / PMSg Mark Dave A. Roderigo</t>
  </si>
  <si>
    <t>Lolyn A. Hilanot &amp; Russel Neil A. Hilanot</t>
  </si>
  <si>
    <t>1 pc semi-finished Table top (Narra &amp; Kamagong)</t>
  </si>
  <si>
    <t>RUSI Macho 175 with sidecar-B339SY</t>
  </si>
  <si>
    <t>SANCHEZ MIRA</t>
  </si>
  <si>
    <t>DENR-CENRO Sanchez Mira</t>
  </si>
  <si>
    <t>Centro 2, Sanchez Mira, Cagayan</t>
  </si>
  <si>
    <t>Armando Acdal Cabacungan and Rosevel Inay Malto</t>
  </si>
  <si>
    <t>15 pcs. Mahogany Flitches</t>
  </si>
  <si>
    <t>April 17, 2023 acp conducted</t>
  </si>
  <si>
    <t>Chainsaw without Serial Number</t>
  </si>
  <si>
    <t>May 31, 2025</t>
  </si>
  <si>
    <t>Cabaritan East, Ballesteros, Cagayan</t>
  </si>
  <si>
    <t>R2-ED-2024-0140</t>
  </si>
  <si>
    <t>45 PCS MANGO LUMBER</t>
  </si>
  <si>
    <t>Edelson Tumbaya y Tacal (At Large)</t>
  </si>
  <si>
    <t>5 pcs Antipolo logs</t>
  </si>
  <si>
    <t>chainsaw (SANN)</t>
  </si>
  <si>
    <t>Thomas Tabil y Repani (At large)</t>
  </si>
  <si>
    <t>17 pcs Antipolo lumber</t>
  </si>
  <si>
    <t>Notice of Issuance of an Order received on April 29, 2026</t>
  </si>
  <si>
    <t>BLGU Fugu, Ballesteros, Cagayan</t>
  </si>
  <si>
    <t>R2-ED-2025-00079</t>
  </si>
  <si>
    <t>April 16, 2026</t>
  </si>
  <si>
    <t>Bacsay, Cataraoan Norte, Claveria, Cagayan</t>
  </si>
  <si>
    <t>Leopoldo E. Parasor Jr., Wilson P. Balanay amd Bonifacio P. Burigsay</t>
  </si>
  <si>
    <t>39 Pcs. Yemane</t>
  </si>
  <si>
    <t>Chainsaw registered to Lesley Macugay with Serial Number 178376031</t>
  </si>
  <si>
    <t>September 10, 2025</t>
  </si>
  <si>
    <t>Langagan, Sanchez Mira, Cagayan</t>
  </si>
  <si>
    <t>Cagayan Provincial Mobile Force Company, PIU, 203rd Maneuver Company-RMFB2</t>
  </si>
  <si>
    <t>ACP was conducted on April 14, 2026. The CSW report is currently being drafted.</t>
  </si>
  <si>
    <t>Maximo B. Asuncion Jr. and Benjie G. De Santos Tomas</t>
  </si>
  <si>
    <t>77 PCS TANGUILE LUMBER</t>
  </si>
  <si>
    <t>1 UNIT ISUZU FORWARD TRUCK BEARING PLATE NUMBER WFF 327</t>
  </si>
  <si>
    <t>Centro 1, Claveria, Cagayan</t>
  </si>
  <si>
    <t>Notice of Issuance of Finality received on July 15, 2026</t>
  </si>
  <si>
    <t>PNP Claveria/PSMS Elizer Tapec and PMSg Guillermo B. Escobar</t>
  </si>
  <si>
    <t>Jesus Aquino, Joseph Ramos, Emeral Ramos, Leo Taloga, Justin Udot, John Rey Sumaoang, Lloyd Balanay,Jimmy Ulnagan, Jaime Oandasan</t>
  </si>
  <si>
    <t>10,500 pieces Palmabrava leaves</t>
  </si>
  <si>
    <t>R2-ED-2025-00076</t>
  </si>
  <si>
    <t>March 16, 2026</t>
  </si>
  <si>
    <t>1 unit isuzu truck (tracktor head) with plate no. NDH1458 and trailer with plate no. 130110</t>
  </si>
  <si>
    <t>Diballo, Claveria, Cagayan</t>
  </si>
  <si>
    <t>September 11, 2025</t>
  </si>
  <si>
    <t>PNP Pamplona and PNREO</t>
  </si>
  <si>
    <t>37 PCS WHITE LAUAN LUMBERS</t>
  </si>
  <si>
    <t>R2-ED-2025-00080</t>
  </si>
  <si>
    <t>San Juan, Ballesteros, Cagayan</t>
  </si>
  <si>
    <t>Rolly Padua, Eduardo Duran</t>
  </si>
  <si>
    <t>6 PCS ANABIONG LUMBER</t>
  </si>
  <si>
    <t>1 UNIT CHAINSAW WITH SERIAL NUMBER 160786067</t>
  </si>
  <si>
    <t>R2-ED-2025-00087</t>
  </si>
  <si>
    <t>03/31/26</t>
  </si>
  <si>
    <t>R2-ed-2024-169</t>
  </si>
  <si>
    <t>Sept. 20, 2024</t>
  </si>
  <si>
    <t>March 26, 2024</t>
  </si>
  <si>
    <t>Dado Calayan, Cagayan</t>
  </si>
  <si>
    <t>99 pcs. Narra lbr.</t>
  </si>
  <si>
    <t>PNP Calayan</t>
  </si>
  <si>
    <t>6 pcs sawn white lauan lumber</t>
  </si>
  <si>
    <t>2 units of 070 stihl chainsaw bearing serial number s181736241 and 177794266</t>
  </si>
  <si>
    <t>2/26/2026</t>
  </si>
  <si>
    <t>R2-ED-2024-317</t>
  </si>
  <si>
    <t>April 5, 2025</t>
  </si>
  <si>
    <t>Barangay Magdalena, Claveria, Cagayan</t>
  </si>
  <si>
    <t xml:space="preserve">PNP Claveria </t>
  </si>
  <si>
    <t>Francisco Almazon and Cayetano Jamon Ganal</t>
  </si>
  <si>
    <t>19 PCS SANTOL LUMBER</t>
  </si>
  <si>
    <t>1 unit chainsaw with serial number 107012530</t>
  </si>
  <si>
    <t>R2-ED-2025-00092</t>
  </si>
  <si>
    <t>ISUZU CLOSE VAN plate no NCK 3555</t>
  </si>
  <si>
    <t>CAVAPROMS,Sta Praxedez ,Cagayan</t>
  </si>
  <si>
    <t>March 22, 2023 acp conducted</t>
  </si>
  <si>
    <t>January 23, 2024</t>
  </si>
  <si>
    <t>R2-ED-2023-00287</t>
  </si>
  <si>
    <t>November 24, 2023</t>
  </si>
  <si>
    <t>with pending case</t>
  </si>
  <si>
    <t>Notice of Issuance of Order received on June 1, 2026 with docket number R2-ED-2026-034-CAGSAN promulgated on May 25, 2026</t>
  </si>
  <si>
    <t>Notice of Issuance of Finality received on June 22, 2026 with docket number R2-ED-2026-034 promulgated on May 25, 2026</t>
  </si>
  <si>
    <t>Lablabig, Claveria, Cagayan</t>
  </si>
  <si>
    <t>PNP Claveria/PSSg James Caronan and PSMs Elizer Tapec</t>
  </si>
  <si>
    <t>Jayson a. Orel and Arthur P. Gapusan</t>
  </si>
  <si>
    <t>3 pieces yemane lumber</t>
  </si>
  <si>
    <t>ACP was rescheduled on April 23, 2026</t>
  </si>
  <si>
    <t>40 pcs. tanguile lbr.</t>
  </si>
  <si>
    <t>Capalalian, Pamplona, Cagayan</t>
  </si>
  <si>
    <t>5 pcs Antipolo Lumber</t>
  </si>
  <si>
    <t>CSW is at the Office of the PENRO for approval</t>
  </si>
  <si>
    <t>PNP Ballesteros/ PSSG Jake Unday</t>
  </si>
  <si>
    <t>2 pcs Dangula lumber</t>
  </si>
  <si>
    <t>Curva, Pamplona, Cagayan</t>
  </si>
  <si>
    <t>PNP Pamplona Station/ PCPL Max Dubal A. Galapon</t>
  </si>
  <si>
    <t>10 pcs Fire Tree lumber</t>
  </si>
  <si>
    <t>ACP is scheduled on April 21, 2026</t>
  </si>
  <si>
    <t>Sitio Lubong, Nagrangtayan, Sanchez Mira, Cagayan</t>
  </si>
  <si>
    <t>PNP Sanchez Mira/PCPL Joel P. Mabatan, PMSg Jonard Ubias, PCPL Dary John Rante</t>
  </si>
  <si>
    <t>4 pcs Narra lumber</t>
  </si>
  <si>
    <t>ACP conducted on April 14, 2026. CSW is for submission</t>
  </si>
  <si>
    <t>Malilitao, Claveria, Cagayan</t>
  </si>
  <si>
    <t>Clavera PNP Station/ PSMS Norman Secretariu, PMSg Ronald Paat, PCPL James Agno</t>
  </si>
  <si>
    <t>1 pc mahogany log</t>
  </si>
  <si>
    <t>1 unit small chainsaw (Ikon, Orange, No Serial number)</t>
  </si>
  <si>
    <t>Barangay Hall, Malilitao, Claveria, Cagayan/ CENRO Sanchez Mira Compound</t>
  </si>
  <si>
    <t>ACP conducted on April 14, 2026. CSW is currently being drafted.</t>
  </si>
  <si>
    <t>PNP Ballestereros/PMSg Marvin Lorenzana/</t>
  </si>
  <si>
    <t>Felipe Cardenas Jr. y Aguinaldo</t>
  </si>
  <si>
    <t>1 pc Gmelina log</t>
  </si>
  <si>
    <t>Cenrtro 2, Sta. Praxedes, Cagayan</t>
  </si>
  <si>
    <t>Albino M. Martines</t>
  </si>
  <si>
    <t>1 pc Narra Table Top</t>
  </si>
  <si>
    <t>Stihl Chainsaw (Small) SN 810581610</t>
  </si>
  <si>
    <t>PNP Sta Praxedes</t>
  </si>
  <si>
    <t>CENRO SUB OFFICE</t>
  </si>
  <si>
    <t>SITIO AKKARGAN, NABBABALAYAN, PEÑABLANCA, CAG.</t>
  </si>
  <si>
    <t>PENRO SUB-OFFICE PERSONNEL, COAST GUARD, 204TH MC RMFB2, PNP INTEL</t>
  </si>
  <si>
    <t>7 PCS MALUGAI FLITCHES</t>
  </si>
  <si>
    <t>PHIL. COAST GUARD PEÑABLANCA</t>
  </si>
  <si>
    <t>Sitio Guavan, Nanguilattan, Peñablanca, Cagayan</t>
  </si>
  <si>
    <t>RMFB 02/PENRO SUB-OFFICE Personnel</t>
  </si>
  <si>
    <t>20 pcs White Lauan</t>
  </si>
  <si>
    <t>kolong temp plate 0201-062233</t>
  </si>
  <si>
    <t>Guest house ,Claveria,Cag.</t>
  </si>
  <si>
    <t>204th Regional Mobile Force Batallion 02, Peñablanca, Cagayan</t>
  </si>
  <si>
    <t>Sitio Abbenditan, nanguilattan, Peñablanca, Cagayan</t>
  </si>
  <si>
    <t>4 pcs Paguringon and 5 pcs Gmelina lumbers</t>
  </si>
  <si>
    <t>March 28, 2023</t>
  </si>
  <si>
    <t>4-26-23</t>
  </si>
  <si>
    <t>Buyun Peñablanca Cagayan</t>
  </si>
  <si>
    <t>March 27,2023</t>
  </si>
  <si>
    <t>San Andress, Sanchez Mira, Cagayan</t>
  </si>
  <si>
    <t>Eduardo G. Buduan</t>
  </si>
  <si>
    <t xml:space="preserve">8 pcs.Gmelina lbr. </t>
  </si>
  <si>
    <t>kolong  euro 150</t>
  </si>
  <si>
    <t>SOLANA</t>
  </si>
  <si>
    <t>Notice of Issuance of Order received on June 11, 2026, promulgated on May 25, 2026 with Case No. R2-ED-2026-038-CAGTUG</t>
  </si>
  <si>
    <t>PENRO Note: Monitor the confiscation Order. Issuance on this will be donated to RMPB Checkpoint for their improvement/repair. Facilitate the donation once issued with Order ready for disposition.</t>
  </si>
  <si>
    <t>PNP  Sanchez Mira Station</t>
  </si>
  <si>
    <t>April 3 &amp; 17, 2023 acp conducted</t>
  </si>
  <si>
    <t>Manga, Peñablanca, Cagayan</t>
  </si>
  <si>
    <t>PNREO &amp; PENRO Sub-Office Personnel</t>
  </si>
  <si>
    <t>1 pcs Red Lauan (Flitch) and 1 pcs Gmelina (Flitch)</t>
  </si>
  <si>
    <t>PENRO Cagayan Sub-Office</t>
  </si>
  <si>
    <t>PNP Peñablanca &amp; PENRO Sub-Office Personnel</t>
  </si>
  <si>
    <t>Joseph B. Malana</t>
  </si>
  <si>
    <t>5 (lumber) 1 (Flitches) Narra/ 30 (lumber) Gmelina</t>
  </si>
  <si>
    <t>Hyundai Van Plate No. CTW-506</t>
  </si>
  <si>
    <t>San Roque, Peñablanca, Cagayan</t>
  </si>
  <si>
    <t>PENRO Sub-Office Personnel &amp; PNP Peñablanca</t>
  </si>
  <si>
    <t>Urbano Annang</t>
  </si>
  <si>
    <t>131 Gmelina lumber</t>
  </si>
  <si>
    <t>April 3,2023</t>
  </si>
  <si>
    <t xml:space="preserve"> Masi, Pamplona, Cagayan</t>
  </si>
  <si>
    <t>CENRO Personnel &amp; PNREO</t>
  </si>
  <si>
    <t>Jan. 31, 2024</t>
  </si>
  <si>
    <t>PENRO Sub-office 
PNREO 
LGU Peñablanca</t>
  </si>
  <si>
    <t>2 Narra flitches</t>
  </si>
  <si>
    <t>conducted ACP  June 21, 2024</t>
  </si>
  <si>
    <t>April 16,2024</t>
  </si>
  <si>
    <t>PNP Peñablanca,Cag.</t>
  </si>
  <si>
    <t xml:space="preserve">Primo Taltad </t>
  </si>
  <si>
    <t>2mpcs round log  Gmelina</t>
  </si>
  <si>
    <t>Minanga, Rizal, Cagayan</t>
  </si>
  <si>
    <t>PENRO Sub Office</t>
  </si>
  <si>
    <t>4th Mobile Force Platoon, 1st CPMFC and 202nd Regional Mobile Force Battalion 2 (RMFB2)</t>
  </si>
  <si>
    <t>05-02-24</t>
  </si>
  <si>
    <t>Carlos S. Dacayus</t>
  </si>
  <si>
    <t>19 PCS GMELINA FLITCHES</t>
  </si>
  <si>
    <t>Balzain East, Tuguegarao City</t>
  </si>
  <si>
    <t>Antonio Calagui and Paulo Apostol</t>
  </si>
  <si>
    <t>66 pieces gmelina lumber</t>
  </si>
  <si>
    <t>1 unit stihl chainsaw</t>
  </si>
  <si>
    <t>Conducted ACP on Sep.26, Oct 3, Nov.25, 2025</t>
  </si>
  <si>
    <t>Notice of Issuance of Finality received</t>
  </si>
  <si>
    <t>108 pcs.Rlauan lbr.</t>
  </si>
  <si>
    <t>R2-ED-2025-00091</t>
  </si>
  <si>
    <t>R2-ED-2024-465</t>
  </si>
  <si>
    <t>Agugaddan, Peñablanca, Cag.</t>
  </si>
  <si>
    <t>PENRO Cagayan Sub-office personnel</t>
  </si>
  <si>
    <t>Joel Leonud
Jerick Ballauan</t>
  </si>
  <si>
    <t>46 pcs Narra &amp; Guijo lumber/ flitches</t>
  </si>
  <si>
    <t>conducted ACP  June 20, 2024</t>
  </si>
  <si>
    <t>08-12-2024</t>
  </si>
  <si>
    <t>Feb. 25, 2024</t>
  </si>
  <si>
    <t>Antonio Ligutan</t>
  </si>
  <si>
    <t>July 8, 2025</t>
  </si>
  <si>
    <t>5 PCS RED LAUAN LUMBER</t>
  </si>
  <si>
    <t>Notice of Issuance of Finality received on March 31, 2026</t>
  </si>
  <si>
    <t>R2-ED-2025-00038</t>
  </si>
  <si>
    <t>August 22, 2025</t>
  </si>
  <si>
    <t>September 15, 2025</t>
  </si>
  <si>
    <t>Sitio Palubo, Barangay Pasingan, Rizal, Cagayan</t>
  </si>
  <si>
    <t>Roberto Bacuyag</t>
  </si>
  <si>
    <t>2 PCS NARRA FLITCHES</t>
  </si>
  <si>
    <t>Notice of Issuance of Order received on March 17, 2026</t>
  </si>
  <si>
    <t>R2-ED-2026-007-CAGSOL</t>
  </si>
  <si>
    <t>August 26, 2025</t>
  </si>
  <si>
    <t>Sitio Simpalan, Barangay Gaggabutan West, Rizal, Cagayan</t>
  </si>
  <si>
    <t xml:space="preserve">PNP Sto. Niño </t>
  </si>
  <si>
    <t>Rogelio Baloran y Alansigan</t>
  </si>
  <si>
    <t xml:space="preserve">12 PCS NARRA FLITCHES AND 5 PCS CALUMPIT FLITCHES AND LUMBER </t>
  </si>
  <si>
    <t>Notice of Issuance of Order received on March 13, 2026</t>
  </si>
  <si>
    <t>R2-ED-2026-042</t>
  </si>
  <si>
    <t>April 23, 2025</t>
  </si>
  <si>
    <t>Barangay Pata, Tuao, Cagayan</t>
  </si>
  <si>
    <t>Ariel Rola, Alexander Liggayu</t>
  </si>
  <si>
    <t>5 PCS TOKYO SET, 1 PIECE LONG BENCH, 1 PIECE DIVIDER</t>
  </si>
  <si>
    <t>1 PASSENGER JEEPNEY WITH PLATE NO. BVH 522</t>
  </si>
  <si>
    <t>Notice of Issuance of Finality received on June 22, 2026</t>
  </si>
  <si>
    <t>R2-ED-2026-009</t>
  </si>
  <si>
    <t>Barangay San Luis, Tuao, Cagayan</t>
  </si>
  <si>
    <t>Jay Bagurio y Mirafuente</t>
  </si>
  <si>
    <t>22 PCS RED LAUAN LUMBER</t>
  </si>
  <si>
    <t>1 UNIT SILVER STAREX VAN BEARING PLATE NUMBER 679</t>
  </si>
  <si>
    <t>R2-ED-2026-078-CAGSOL</t>
  </si>
  <si>
    <t>Barangay Abariongan Uneg, Sto. Niño, Cagayan</t>
  </si>
  <si>
    <t>Cauayan City Police</t>
  </si>
  <si>
    <t>Romel D. Tomas</t>
  </si>
  <si>
    <t>15 PCS GMELINA LUMBER</t>
  </si>
  <si>
    <t>Notice of Issuance of Finality received on July 7, 2026</t>
  </si>
  <si>
    <t>R2-ED-2025-00068</t>
  </si>
  <si>
    <t>July 12, 2025</t>
  </si>
  <si>
    <t>Barangay Mauanan, Rizal, Cagayan</t>
  </si>
  <si>
    <t>Reynante Mabborang y Keyog</t>
  </si>
  <si>
    <t>2 PCS GMELINA FLITCHES</t>
  </si>
  <si>
    <t>1 STIHL CHAINSAW WITH SERIAL NUMBER SW81130145</t>
  </si>
  <si>
    <t>R2-ED-2026-041</t>
  </si>
  <si>
    <t>April 28, 2026</t>
  </si>
  <si>
    <t>R2-ED-2023-00288</t>
  </si>
  <si>
    <t>December 12, 2023</t>
  </si>
  <si>
    <t>Nov. 12, 2024</t>
  </si>
  <si>
    <t>R2-Ed-2023-0288</t>
  </si>
  <si>
    <t>Dec. 12, 2023</t>
  </si>
  <si>
    <t>January 27, 2025</t>
  </si>
  <si>
    <t>April 13,2023</t>
  </si>
  <si>
    <t>Cabaggan, Pamplona</t>
  </si>
  <si>
    <t>Raymund Alegado&amp; john paul mMadriaga</t>
  </si>
  <si>
    <t>Barangay Masin, Alcala, Cagayan</t>
  </si>
  <si>
    <t>13 pcs. tanguile lbr.</t>
  </si>
  <si>
    <t xml:space="preserve">Kawasaki 125 (black) with kulong-kulong, bearing plate 265BZT </t>
  </si>
  <si>
    <t>May 17, 2023 acp condutec</t>
  </si>
  <si>
    <t>Lucban ,Abulog,Cagayan</t>
  </si>
  <si>
    <t>Joey Guillermo et.al.</t>
  </si>
  <si>
    <t>53 pcs. tanguile lbr.</t>
  </si>
  <si>
    <t>Jonel Rumbaoa</t>
  </si>
  <si>
    <t>9 PCS GMELINA LUMBER</t>
  </si>
  <si>
    <t>Isuzu Elf AWA-4467</t>
  </si>
  <si>
    <t>PNP Abulog station</t>
  </si>
  <si>
    <t>June 26, 2023 acp conducted</t>
  </si>
  <si>
    <t>April 15,2023</t>
  </si>
  <si>
    <t>Santiago, Sanchez Mira,Cagayan</t>
  </si>
  <si>
    <t>Benito Obispo</t>
  </si>
  <si>
    <t>18 pcs. santol lbr.</t>
  </si>
  <si>
    <t xml:space="preserve">Chainsaw </t>
  </si>
  <si>
    <t>BrgyHall,Santiago, Sanchez Mira,Cagayan</t>
  </si>
  <si>
    <t>May 05, 2023 acp conducted</t>
  </si>
  <si>
    <t>May 9, 2023</t>
  </si>
  <si>
    <t>1 CHAINSAW WITH SERIAL NUMBER 190525190</t>
  </si>
  <si>
    <t>Johny Barcena y Rico and Bernie Angligen y Ugalis (Alnor Sabado-owner of chainsaw)</t>
  </si>
  <si>
    <t>23 pcs. Gmelina lbr. And                           1 pc. Gmelina flitches</t>
  </si>
  <si>
    <t>Chainsaw (CI-2021-07-353)  Serial No. 116975534</t>
  </si>
  <si>
    <t>PNP station, Claveria, Cagayan</t>
  </si>
  <si>
    <t>ACP scheduled on May 9, 2023</t>
  </si>
  <si>
    <t>May 23, 2023</t>
  </si>
  <si>
    <t>Bagu, Pamplona, Cagayan</t>
  </si>
  <si>
    <t>R2-ED-2025-070</t>
  </si>
  <si>
    <t>May 4, 2025</t>
  </si>
  <si>
    <t>CENR Office Sanchez Mira ,Cagayan/FIII Conrado A. Toribio</t>
  </si>
  <si>
    <t>ACP is scheduled on June 26, 2023</t>
  </si>
  <si>
    <t>May 29, 2023</t>
  </si>
  <si>
    <t>Richard Aguinaldo</t>
  </si>
  <si>
    <t>1 pc. Molave square logs</t>
  </si>
  <si>
    <t>1 Mercedes Benz 100 (white) Van with plate # RML 222</t>
  </si>
  <si>
    <t>ACP is scheduled on July 04, 2023</t>
  </si>
  <si>
    <t>Carlito D. Villegas, Jeffrey V. Fronda, Polly D. Oreña</t>
  </si>
  <si>
    <t>Sept. 11, 2023</t>
  </si>
  <si>
    <t>November 15, 2025</t>
  </si>
  <si>
    <t>August 9, 2023</t>
  </si>
  <si>
    <t xml:space="preserve">Roderick B. Berido </t>
  </si>
  <si>
    <t>33 pcs. Tanguile lbrs.</t>
  </si>
  <si>
    <t>Barangay Sampaguita, Solana, Cagayan</t>
  </si>
  <si>
    <t>Aug. 16, 2023</t>
  </si>
  <si>
    <t>September 4, 2023</t>
  </si>
  <si>
    <t>Jayson Opilar and Roldan Jimenez</t>
  </si>
  <si>
    <t>3 pcs. Mahogany and 2 pcs. Gmelina lbrs.</t>
  </si>
  <si>
    <t>1 motorcycle with kulong-kulong</t>
  </si>
  <si>
    <t>PNP Ballesteros, Cagayan/PCpl Jake Unday and Pat. Jay Jay Guillermo</t>
  </si>
  <si>
    <t>Nov. 21, 2023</t>
  </si>
  <si>
    <t>So. Zimpigi, Masi, Pamplona, Cagayan</t>
  </si>
  <si>
    <t>PNREO Multi-Purpose Building, Nassiping, Gattaran, Cagayan/CDO II Haygie R. Hidalgo</t>
  </si>
  <si>
    <t>at PNREO</t>
  </si>
  <si>
    <t>September 18, 2023</t>
  </si>
  <si>
    <t>Benito Asuncion</t>
  </si>
  <si>
    <t>3 PCS GMELINA ROUND LOGS &amp; 60 PCS GMELINA LUMBER</t>
  </si>
  <si>
    <t>PNP Pamplona and CENRO Personnel</t>
  </si>
  <si>
    <t>1 UNIT ISUZU ELF BEARING PLATE NO. CBJ 3699</t>
  </si>
  <si>
    <t>15 pcs.Tanguile lbrs.</t>
  </si>
  <si>
    <t>October 14, 2023</t>
  </si>
  <si>
    <t>Centro 2, Sanchez Mira, Cagayn</t>
  </si>
  <si>
    <t>Julie D. Mingming</t>
  </si>
  <si>
    <t>3 pcs. Mahogany lumbers and 1 pc. Mahogany flitches</t>
  </si>
  <si>
    <t>R2-ED-2025-077</t>
  </si>
  <si>
    <t>1 unit STIHL 070 chainsaw with SN 073021681</t>
  </si>
  <si>
    <t>April 26, 2025</t>
  </si>
  <si>
    <t>Lipatan, Santo Niño, Cagayan</t>
  </si>
  <si>
    <t>Salvador Pagulayan</t>
  </si>
  <si>
    <t>2 PCS NARRA &amp; 3 PCS GMELINA</t>
  </si>
  <si>
    <t>Provincial Prosecutor's Office, Sanchez Mira, Cagayan</t>
  </si>
  <si>
    <t>Nov. 28, 2023</t>
  </si>
  <si>
    <t>7 pcs. Tanguile</t>
  </si>
  <si>
    <t>Nov. 23, 2023</t>
  </si>
  <si>
    <t>Dec. 11, 2023</t>
  </si>
  <si>
    <t>So. Dingin, Centro 2, Sanchez Mira</t>
  </si>
  <si>
    <t>20 pcs. Narra</t>
  </si>
  <si>
    <t>Dec. 28, 2023</t>
  </si>
  <si>
    <t>Nagrangtayan, Sanchez Mira</t>
  </si>
  <si>
    <t xml:space="preserve">Abandoned </t>
  </si>
  <si>
    <t>3 pcs. Mahogany</t>
  </si>
  <si>
    <t xml:space="preserve">1 unit STIHL 070 chainsaw </t>
  </si>
  <si>
    <t>Jan. 08, 2024 acp conducted</t>
  </si>
  <si>
    <t>r2-ed-2024-208</t>
  </si>
  <si>
    <t>Notice of Issuance of Order received on May 28, 2026</t>
  </si>
  <si>
    <t>May 28, 2026</t>
  </si>
  <si>
    <t>R2-ED-2025-00088</t>
  </si>
  <si>
    <t>May 18, 2025</t>
  </si>
  <si>
    <t>December 16, 2025</t>
  </si>
  <si>
    <t>Km 12. So. Daligadig, Sta. Margarita, Baggao, Cagayan</t>
  </si>
  <si>
    <t xml:space="preserve">55 PCS ASSORTED SIZES OF RED LAUAN LUMBER </t>
  </si>
  <si>
    <t>PNRE Office</t>
  </si>
  <si>
    <t>October 25, 2025</t>
  </si>
  <si>
    <t>Barangay Roma Norte, Enrile, Cagayan</t>
  </si>
  <si>
    <t>PNP Enrile, Roma Forward Operating Base, Regional Mobile Force Battalion 2</t>
  </si>
  <si>
    <t>Kim Michael Collado, Jomar Macatuggal y Yoma and German Uberita y Umrero</t>
  </si>
  <si>
    <t>58 PCS NARRA FLITCHES AND LUMBER</t>
  </si>
  <si>
    <t>1 UNIT HINO WHITE ALUMINUM CLOSE VAN BEARING PLATE NUMBER DAI-9860</t>
  </si>
  <si>
    <t>Notice of Issuance of Order received on March 19, 2026</t>
  </si>
  <si>
    <t>May 19, 2026</t>
  </si>
  <si>
    <t>R2-ED-2026-022</t>
  </si>
  <si>
    <t>April 23, 2026</t>
  </si>
  <si>
    <t>May 20, 2025</t>
  </si>
  <si>
    <t>Barangay San Roque, Peñablanca, Cagayan</t>
  </si>
  <si>
    <t>6 pieces Gmelina lumber</t>
  </si>
  <si>
    <t xml:space="preserve">Notice of Issuance of Finality received on March 25, 2026 </t>
  </si>
  <si>
    <t>R2-ED-2025-00019</t>
  </si>
  <si>
    <t>August 1, 2025</t>
  </si>
  <si>
    <t>June 20, 2025</t>
  </si>
  <si>
    <t>Pengue Ruyu, Tuguegarao City</t>
  </si>
  <si>
    <t>PNP Eastern Maritime</t>
  </si>
  <si>
    <t>Daniel Nhiel M. Alvarado</t>
  </si>
  <si>
    <t>2 heads green cheeked Conure (Pyrrhura Molinae)</t>
  </si>
  <si>
    <t>Notice of Issuance of Order received on April 29, 2026</t>
  </si>
  <si>
    <t>R2-ED-2025-00081-W</t>
  </si>
  <si>
    <t>April 16, 20254</t>
  </si>
  <si>
    <t>October 30, 2025</t>
  </si>
  <si>
    <t>Libag Norte, Tuguegarao City, Cagayan</t>
  </si>
  <si>
    <t>Semi-finished forest products</t>
  </si>
  <si>
    <t>1 unit black Nissan frontier bearing plate no. ZBY 933</t>
  </si>
  <si>
    <t xml:space="preserve">Notice of Issuance of an Order received on March 25, 2026 </t>
  </si>
  <si>
    <t>R2-ED-2025-00061</t>
  </si>
  <si>
    <t>Manaoag, Iguig, Cagayan</t>
  </si>
  <si>
    <t>PNP Iguig Municipal Station</t>
  </si>
  <si>
    <t>Jacinto Pamittan</t>
  </si>
  <si>
    <t>6 pcs misc lumber</t>
  </si>
  <si>
    <t>1 unit unregistered Stihl chainsaw with serial number 020920181</t>
  </si>
  <si>
    <t>Notice of Issuance of Order received on  July 11, 2026, promulgated on  May 20, 2026</t>
  </si>
  <si>
    <t>R2-ED-2026-064-CAGTUG</t>
  </si>
  <si>
    <t>The subject miscellaneous lumbers are already deteriorating due to termite attack and direct exposure to rain and sunlight</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</si>
</sst>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mmm\-yy"/>
    <numFmt numFmtId="165" formatCode="[$-409]mmmm\-yy"/>
    <numFmt numFmtId="166" formatCode="dd\-mmm\-yy"/>
    <numFmt numFmtId="167" formatCode="d\-mmm\-yy"/>
    <numFmt numFmtId="168" formatCode="0.000"/>
    <numFmt numFmtId="169" formatCode="_-* #,##0.00_-;\-* #,##0.00_-;_-* \-??_-;_-@"/>
    <numFmt numFmtId="170" formatCode="_(* #,##0.00_);_(* \(#,##0.00\);_(* \-??_);_(@_)"/>
    <numFmt numFmtId="171" formatCode="0.0"/>
    <numFmt numFmtId="172" formatCode="_(* #,##0.000_);_(* \(#,##0.000\);_(* \-??_);_(@_)"/>
    <numFmt numFmtId="173" formatCode="m/d/yyyy"/>
    <numFmt numFmtId="174" formatCode="0.000_ "/>
    <numFmt numFmtId="175" formatCode="0.00;[RED]0.00"/>
    <numFmt numFmtId="176" formatCode="dd/mm/yy"/>
    <numFmt numFmtId="177" formatCode="0.00_ "/>
    <numFmt numFmtId="178" formatCode="_-* #,##0_-;\-* #,##0_-;_-* \-??_-;_-@"/>
    <numFmt numFmtId="179" formatCode="#,##0.0"/>
    <numFmt numFmtId="180" formatCode="0_ "/>
    <numFmt numFmtId="181" formatCode="0.0_ "/>
    <numFmt numFmtId="182" formatCode="[$-409]mmmm\ d&quot;, &quot;yyyy"/>
    <numFmt numFmtId="183" formatCode="[$₱]#,##0.00"/>
    <numFmt numFmtId="184" formatCode="_-* #,##0.0_-;\-* #,##0.0_-;_-* \-??_-;_-@"/>
    <numFmt numFmtId="185" formatCode="mmmm\ d&quot;, &quot;yyyy"/>
    <numFmt numFmtId="186" formatCode="_-* #,##0.00000_-;\-* #,##0.00000_-;_-* \-??_-;_-@"/>
  </numFmts>
  <fonts count="79">
    <font>
      <sz val="11.0"/>
      <color theme="1"/>
      <name val="Aptos Narrow"/>
      <scheme val="minor"/>
    </font>
    <font>
      <b/>
      <sz val="12.0"/>
      <color rgb="FF000000"/>
      <name val="Times New Roman"/>
    </font>
    <font>
      <b/>
      <sz val="12.0"/>
      <color theme="1"/>
      <name val="Times New Roman"/>
    </font>
    <font>
      <b/>
      <sz val="14.0"/>
      <color theme="1"/>
      <name val="&quot;Aptos Narrow&quot;"/>
    </font>
    <font/>
    <font>
      <b/>
      <sz val="11.0"/>
      <color theme="1"/>
      <name val="Arial"/>
    </font>
    <font>
      <sz val="11.0"/>
      <color rgb="FF000000"/>
      <name val="&quot;Aptos Narrow&quot;"/>
    </font>
    <font>
      <b/>
      <sz val="11.0"/>
      <color rgb="FFFFFFFF"/>
      <name val="&quot;Aptos Narrow&quot;"/>
    </font>
    <font>
      <color theme="1"/>
      <name val="Arial"/>
    </font>
    <font>
      <sz val="12.0"/>
      <color theme="1"/>
      <name val="Times New Roman"/>
    </font>
    <font>
      <sz val="12.0"/>
      <color rgb="FF000000"/>
      <name val="Times New Roman"/>
    </font>
    <font>
      <color theme="1"/>
      <name val="Aptos Narrow"/>
      <scheme val="minor"/>
    </font>
    <font>
      <b/>
      <sz val="8.0"/>
      <color theme="1"/>
      <name val="Times New Roman"/>
    </font>
    <font>
      <b/>
      <sz val="14.0"/>
      <color theme="1"/>
      <name val="Calibri"/>
    </font>
    <font>
      <b/>
      <sz val="12.0"/>
      <color rgb="FF000000"/>
      <name val="Calibri"/>
    </font>
    <font>
      <sz val="10.0"/>
      <color theme="1"/>
      <name val="Aptos Narrow"/>
    </font>
    <font>
      <b/>
      <sz val="10.0"/>
      <color theme="1"/>
      <name val="Aptos Narrow"/>
    </font>
    <font>
      <sz val="12.0"/>
      <color rgb="FF000000"/>
      <name val="Calibri"/>
    </font>
    <font>
      <b/>
      <sz val="12.0"/>
      <color rgb="FFFF0000"/>
      <name val="Calibri"/>
    </font>
    <font>
      <sz val="10.0"/>
      <color rgb="FFFF0000"/>
      <name val="Aptos Narrow"/>
    </font>
    <font>
      <b/>
      <sz val="11.0"/>
      <color theme="1"/>
      <name val="&quot;Aptos Narrow&quot;"/>
    </font>
    <font>
      <b/>
      <sz val="10.0"/>
      <color rgb="FFFF0000"/>
      <name val="Aptos Narrow"/>
    </font>
    <font>
      <sz val="11.0"/>
      <color rgb="FF000000"/>
      <name val="Arial"/>
    </font>
    <font>
      <sz val="12.0"/>
      <color theme="1"/>
      <name val="Calibri"/>
    </font>
    <font>
      <b/>
      <sz val="11.0"/>
      <color theme="1"/>
      <name val="Aptos Narrow"/>
    </font>
    <font>
      <sz val="11.0"/>
      <color theme="1"/>
      <name val="Calibri"/>
    </font>
    <font>
      <sz val="11.0"/>
      <color theme="1"/>
      <name val="Aptos Narrow"/>
    </font>
    <font>
      <b/>
      <sz val="11.0"/>
      <color rgb="FFFF0000"/>
      <name val="Calibri"/>
    </font>
    <font>
      <b/>
      <sz val="12.0"/>
      <color theme="1"/>
      <name val="Calibri"/>
    </font>
    <font>
      <sz val="11.0"/>
      <color rgb="FFFF0000"/>
      <name val="Calibri"/>
    </font>
    <font>
      <sz val="20.0"/>
      <color theme="1"/>
      <name val="Aptos Narrow"/>
      <scheme val="minor"/>
    </font>
    <font>
      <b/>
      <sz val="11.0"/>
      <color rgb="FF0070C0"/>
      <name val="Calibri"/>
    </font>
    <font>
      <b/>
      <sz val="14.0"/>
      <color theme="1"/>
      <name val="Aptos Narrow"/>
    </font>
    <font>
      <sz val="11.0"/>
      <color rgb="FF000000"/>
      <name val="Aptos Narrow"/>
    </font>
    <font>
      <b/>
      <sz val="11.0"/>
      <color rgb="FFFF0000"/>
      <name val="Aptos Narrow"/>
    </font>
    <font>
      <b/>
      <sz val="11.0"/>
      <color rgb="FF0070C0"/>
      <name val="Aptos Narrow"/>
    </font>
    <font>
      <b/>
      <sz val="12.0"/>
      <color theme="1"/>
      <name val="Aptos Narrow"/>
    </font>
    <font>
      <sz val="11.0"/>
      <color theme="1"/>
      <name val="Times New Roman"/>
    </font>
    <font>
      <sz val="12.0"/>
      <color rgb="FFFF0000"/>
      <name val="Calibri"/>
    </font>
    <font>
      <sz val="11.0"/>
      <color rgb="FFFF0000"/>
      <name val="Aptos Narrow"/>
    </font>
    <font>
      <sz val="10.0"/>
      <color theme="1"/>
      <name val="Times New Roman"/>
    </font>
    <font>
      <sz val="10.0"/>
      <color theme="1"/>
      <name val="Calibri"/>
    </font>
    <font>
      <b/>
      <sz val="10.0"/>
      <color rgb="FF7030A0"/>
      <name val="Aptos Narrow"/>
    </font>
    <font>
      <b/>
      <sz val="11.0"/>
      <color theme="1"/>
      <name val="Calibri"/>
    </font>
    <font>
      <b/>
      <sz val="10.0"/>
      <color theme="1"/>
      <name val="Calibri"/>
    </font>
    <font>
      <b/>
      <sz val="10.0"/>
      <color rgb="FFFF0000"/>
      <name val="Calibri"/>
    </font>
    <font>
      <b/>
      <sz val="10.0"/>
      <color rgb="FF0070C0"/>
      <name val="Calibri"/>
    </font>
    <font>
      <sz val="10.0"/>
      <color rgb="FFFF0000"/>
      <name val="Calibri"/>
    </font>
    <font>
      <sz val="10.0"/>
      <color rgb="FF000000"/>
      <name val="Times New Roman"/>
    </font>
    <font>
      <sz val="10.0"/>
      <color theme="1"/>
      <name val="Arial"/>
    </font>
    <font>
      <sz val="10.0"/>
      <color rgb="FFFF0000"/>
      <name val="Times New Roman"/>
    </font>
    <font>
      <sz val="10.0"/>
      <color rgb="FF000000"/>
      <name val="Calibri"/>
    </font>
    <font>
      <b/>
      <sz val="11.0"/>
      <color theme="1"/>
      <name val="Times New Roman"/>
    </font>
    <font>
      <b/>
      <sz val="10.0"/>
      <color rgb="FFFF0000"/>
      <name val="Arial"/>
    </font>
    <font>
      <sz val="10.0"/>
      <color rgb="FF0070C0"/>
      <name val="Times New Roman"/>
    </font>
    <font>
      <b/>
      <sz val="10.0"/>
      <color theme="1"/>
      <name val="Arial"/>
    </font>
    <font>
      <b/>
      <sz val="10.0"/>
      <color rgb="FF00B0F0"/>
      <name val="Arial"/>
    </font>
    <font>
      <b/>
      <sz val="14.0"/>
      <color theme="1"/>
      <name val="Times New Roman"/>
    </font>
    <font>
      <b/>
      <sz val="10.0"/>
      <color theme="1"/>
      <name val="Times New Roman"/>
    </font>
    <font>
      <sz val="11.0"/>
      <color theme="1"/>
      <name val="Arial"/>
    </font>
    <font>
      <sz val="10.0"/>
      <color rgb="FF00B0F0"/>
      <name val="Times New Roman"/>
    </font>
    <font>
      <sz val="10.0"/>
      <color rgb="FF000000"/>
      <name val="Arial"/>
    </font>
    <font>
      <b/>
      <sz val="10.0"/>
      <color rgb="FFFF0000"/>
      <name val="Times New Roman"/>
    </font>
    <font>
      <b/>
      <sz val="10.0"/>
      <color rgb="FF00B0F0"/>
      <name val="Times New Roman"/>
    </font>
    <font>
      <b/>
      <sz val="9.0"/>
      <color theme="1"/>
      <name val="Times New Roman"/>
    </font>
    <font>
      <b/>
      <sz val="10.0"/>
      <color rgb="FF7030A0"/>
      <name val="Arial"/>
    </font>
    <font>
      <sz val="10.0"/>
      <color rgb="FFFF0000"/>
      <name val="Arial"/>
    </font>
    <font>
      <sz val="9.0"/>
      <color theme="1"/>
      <name val="Times New Roman"/>
    </font>
    <font>
      <sz val="14.0"/>
      <color theme="1"/>
      <name val="Times New Roman"/>
    </font>
    <font>
      <b/>
      <sz val="13.0"/>
      <color theme="1"/>
      <name val="Times New Roman"/>
    </font>
    <font>
      <i/>
      <sz val="11.0"/>
      <color theme="1"/>
      <name val="Times New Roman"/>
    </font>
    <font>
      <b/>
      <i/>
      <sz val="10.0"/>
      <color theme="1"/>
      <name val="Times New Roman"/>
    </font>
    <font>
      <b/>
      <i/>
      <sz val="11.0"/>
      <color theme="1"/>
      <name val="Times New Roman"/>
    </font>
    <font>
      <i/>
      <sz val="10.0"/>
      <color theme="1"/>
      <name val="Times New Roman"/>
    </font>
    <font>
      <b/>
      <sz val="9.0"/>
      <color rgb="FFFF0000"/>
      <name val="Times New Roman"/>
    </font>
    <font>
      <sz val="9.0"/>
      <color theme="1"/>
      <name val="Aptos Narrow"/>
    </font>
    <font>
      <sz val="8.0"/>
      <color theme="1"/>
      <name val="Times New Roman"/>
    </font>
    <font>
      <b/>
      <sz val="9.0"/>
      <color theme="1"/>
      <name val="Aptos Narrow"/>
    </font>
    <font>
      <sz val="9.0"/>
      <color rgb="FFFF0000"/>
      <name val="Times New Roman"/>
    </font>
  </fonts>
  <fills count="20">
    <fill>
      <patternFill patternType="none"/>
    </fill>
    <fill>
      <patternFill patternType="lightGray"/>
    </fill>
    <fill>
      <patternFill patternType="solid">
        <fgColor theme="0"/>
        <bgColor theme="0"/>
      </patternFill>
    </fill>
    <fill>
      <patternFill patternType="solid">
        <fgColor rgb="FF2F5233"/>
        <bgColor rgb="FF2F5233"/>
      </patternFill>
    </fill>
    <fill>
      <patternFill patternType="solid">
        <fgColor rgb="FF00B050"/>
        <bgColor rgb="FF00B050"/>
      </patternFill>
    </fill>
    <fill>
      <patternFill patternType="solid">
        <fgColor rgb="FFFAE2D5"/>
        <bgColor rgb="FFFAE2D5"/>
      </patternFill>
    </fill>
    <fill>
      <patternFill patternType="solid">
        <fgColor rgb="FFB3E5A1"/>
        <bgColor rgb="FFB3E5A1"/>
      </patternFill>
    </fill>
    <fill>
      <patternFill patternType="solid">
        <fgColor rgb="FFFFF2CC"/>
        <bgColor rgb="FFFFF2CC"/>
      </patternFill>
    </fill>
    <fill>
      <patternFill patternType="solid">
        <fgColor rgb="FF434343"/>
        <bgColor rgb="FF434343"/>
      </patternFill>
    </fill>
    <fill>
      <patternFill patternType="solid">
        <fgColor rgb="FFC1F0C8"/>
        <bgColor rgb="FFC1F0C8"/>
      </patternFill>
    </fill>
    <fill>
      <patternFill patternType="solid">
        <fgColor rgb="FFFFFF00"/>
        <bgColor rgb="FFFFFF00"/>
      </patternFill>
    </fill>
    <fill>
      <patternFill patternType="solid">
        <fgColor rgb="FFFFD966"/>
        <bgColor rgb="FFFFD966"/>
      </patternFill>
    </fill>
    <fill>
      <patternFill patternType="solid">
        <fgColor rgb="FF8ED873"/>
        <bgColor rgb="FF8ED873"/>
      </patternFill>
    </fill>
    <fill>
      <patternFill patternType="solid">
        <fgColor rgb="FFD9F2D0"/>
        <bgColor rgb="FFD9F2D0"/>
      </patternFill>
    </fill>
    <fill>
      <patternFill patternType="solid">
        <fgColor rgb="FFFFFF99"/>
        <bgColor rgb="FFFFFF99"/>
      </patternFill>
    </fill>
    <fill>
      <patternFill patternType="solid">
        <fgColor rgb="FFFBE4D5"/>
        <bgColor rgb="FFFBE4D5"/>
      </patternFill>
    </fill>
    <fill>
      <patternFill patternType="solid">
        <fgColor rgb="FFFFCCCC"/>
        <bgColor rgb="FFFFCCCC"/>
      </patternFill>
    </fill>
    <fill>
      <patternFill patternType="solid">
        <fgColor rgb="FFF4B083"/>
        <bgColor rgb="FFF4B083"/>
      </patternFill>
    </fill>
    <fill>
      <patternFill patternType="solid">
        <fgColor rgb="FFF6C6AC"/>
        <bgColor rgb="FFF6C6AC"/>
      </patternFill>
    </fill>
    <fill>
      <patternFill patternType="solid">
        <fgColor rgb="FFF1A983"/>
        <bgColor rgb="FFF1A983"/>
      </patternFill>
    </fill>
  </fills>
  <borders count="176">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bottom style="thin">
        <color rgb="FF000000"/>
      </bottom>
    </border>
    <border>
      <right style="thin">
        <color rgb="FF000000"/>
      </right>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bottom style="thin">
        <color rgb="FF000000"/>
      </bottom>
    </border>
    <border>
      <left/>
      <right/>
      <top/>
      <bottom/>
    </border>
    <border>
      <left/>
      <right/>
      <top style="medium">
        <color rgb="FF000000"/>
      </top>
      <bottom style="medium">
        <color rgb="FF000000"/>
      </bottom>
    </border>
    <border>
      <left style="thin">
        <color rgb="FF000000"/>
      </left>
      <right style="thin">
        <color rgb="FF000000"/>
      </right>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medium">
        <color rgb="FF000000"/>
      </top>
      <bottom/>
    </border>
    <border>
      <top style="medium">
        <color rgb="FF000000"/>
      </top>
      <bottom/>
    </border>
    <border>
      <right style="thin">
        <color rgb="FF000000"/>
      </right>
      <top style="medium">
        <color rgb="FF000000"/>
      </top>
      <bottom/>
    </border>
    <border>
      <left style="medium">
        <color rgb="FF000000"/>
      </left>
      <right style="thin">
        <color rgb="FF000000"/>
      </right>
      <top style="thin">
        <color rgb="FF000000"/>
      </top>
    </border>
    <border>
      <left style="medium">
        <color rgb="FF000000"/>
      </left>
      <top/>
      <bottom style="thin">
        <color rgb="FF000000"/>
      </bottom>
    </border>
    <border>
      <right style="medium">
        <color rgb="FF000000"/>
      </right>
      <top/>
      <bottom style="thin">
        <color rgb="FF000000"/>
      </bottom>
    </border>
    <border>
      <left style="thin">
        <color rgb="FF000000"/>
      </left>
      <right style="medium">
        <color rgb="FF000000"/>
      </right>
      <top style="thin">
        <color rgb="FF000000"/>
      </top>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top style="thin">
        <color rgb="FF000000"/>
      </top>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ttom/>
    </border>
    <border>
      <left style="thin">
        <color rgb="FF000000"/>
      </left>
      <right style="medium">
        <color rgb="FF000000"/>
      </right>
      <bottom/>
    </border>
    <border>
      <left style="thin">
        <color rgb="FF000000"/>
      </left>
      <right style="medium">
        <color rgb="FF000000"/>
      </right>
      <top/>
      <bottom/>
    </border>
    <border>
      <right style="medium">
        <color rgb="FF000000"/>
      </right>
      <top style="medium">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top style="medium">
        <color rgb="FF000000"/>
      </top>
    </border>
    <border>
      <left style="medium">
        <color rgb="FF000000"/>
      </left>
      <right style="thin">
        <color rgb="FF000000"/>
      </right>
      <top style="medium">
        <color rgb="FF000000"/>
      </top>
      <bottom/>
    </border>
    <border>
      <left style="thin">
        <color rgb="FF000000"/>
      </left>
      <right/>
      <top style="thin">
        <color rgb="FF000000"/>
      </top>
      <bottom style="thin">
        <color rgb="FF000000"/>
      </bottom>
    </border>
    <border>
      <left style="thin">
        <color rgb="FF000000"/>
      </left>
      <right style="thin">
        <color rgb="FF000000"/>
      </right>
      <top style="medium">
        <color rgb="FF000000"/>
      </top>
      <bottom/>
    </border>
    <border>
      <left style="medium">
        <color rgb="FF000000"/>
      </left>
      <bottom style="medium">
        <color rgb="FF000000"/>
      </bottom>
    </border>
    <border>
      <right style="medium">
        <color rgb="FF000000"/>
      </right>
      <bottom style="medium">
        <color rgb="FF000000"/>
      </bottom>
    </border>
    <border>
      <left style="thin">
        <color rgb="FF000000"/>
      </left>
      <right style="medium">
        <color rgb="FF000000"/>
      </right>
      <top style="medium">
        <color rgb="FF000000"/>
      </top>
      <bottom/>
    </border>
    <border>
      <left style="thin">
        <color rgb="FF000000"/>
      </left>
      <right/>
      <top style="thin">
        <color rgb="FF000000"/>
      </top>
      <bottom/>
    </border>
    <border>
      <left style="thin">
        <color rgb="FF000000"/>
      </left>
      <right/>
      <top/>
      <bottom style="thin">
        <color rgb="FF000000"/>
      </bottom>
    </border>
    <border>
      <bottom style="medium">
        <color rgb="FF000000"/>
      </bottom>
    </border>
    <border>
      <left style="thin">
        <color rgb="FF000000"/>
      </left>
      <right/>
      <top style="medium">
        <color rgb="FF000000"/>
      </top>
    </border>
    <border>
      <top style="thin">
        <color rgb="FF000000"/>
      </top>
    </border>
    <border>
      <left style="medium">
        <color rgb="FF000000"/>
      </left>
      <right style="medium">
        <color rgb="FF000000"/>
      </right>
      <bottom style="medium">
        <color rgb="FF000000"/>
      </bottom>
    </border>
    <border>
      <left style="thin">
        <color rgb="FF000000"/>
      </left>
      <right style="thin">
        <color rgb="FF000000"/>
      </right>
      <top/>
    </border>
    <border>
      <left style="thin">
        <color rgb="FF000000"/>
      </left>
      <right/>
      <bottom/>
    </border>
    <border>
      <left style="thin">
        <color rgb="FF000000"/>
      </left>
      <top/>
      <bottom/>
    </border>
    <border>
      <right style="thin">
        <color rgb="FF000000"/>
      </right>
      <top/>
      <bottom/>
    </border>
    <border>
      <left style="thin">
        <color rgb="FF000000"/>
      </left>
      <right/>
      <top/>
    </border>
    <border>
      <left style="thin">
        <color rgb="FF000000"/>
      </left>
      <right style="medium">
        <color rgb="FF000000"/>
      </right>
      <top/>
    </border>
    <border>
      <right/>
      <top style="thin">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bottom style="thin">
        <color rgb="FF000000"/>
      </bottom>
    </border>
    <border>
      <left/>
      <right style="thin">
        <color rgb="FF000000"/>
      </right>
      <top style="thin">
        <color rgb="FF000000"/>
      </top>
      <bottom/>
    </border>
    <border>
      <left style="medium">
        <color rgb="FF000000"/>
      </left>
      <right/>
      <top/>
      <bottom style="thin">
        <color rgb="FF000000"/>
      </bottom>
    </border>
    <border>
      <right style="thin">
        <color rgb="FF000000"/>
      </right>
      <top style="thin">
        <color rgb="FF000000"/>
      </top>
    </border>
    <border>
      <left style="thin">
        <color rgb="FF000000"/>
      </left>
      <top style="thin">
        <color rgb="FF000000"/>
      </top>
    </border>
    <border>
      <left style="medium">
        <color rgb="FF000000"/>
      </left>
      <top/>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border>
    <border>
      <left style="medium">
        <color rgb="FF000000"/>
      </left>
      <right style="thin">
        <color rgb="FF000000"/>
      </right>
      <top/>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border>
    <border>
      <right style="medium">
        <color rgb="FF000000"/>
      </right>
      <top style="thin">
        <color rgb="FF000000"/>
      </top>
      <bottom/>
    </border>
    <border>
      <left style="thin">
        <color rgb="FF000000"/>
      </left>
      <bottom style="thin">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top style="thin">
        <color rgb="FF000000"/>
      </top>
      <bottom style="thin">
        <color rgb="FF000000"/>
      </bottom>
    </border>
    <border>
      <left style="medium">
        <color rgb="FF000000"/>
      </left>
      <top style="medium">
        <color rgb="FF000000"/>
      </top>
      <bottom/>
    </border>
    <border>
      <right style="medium">
        <color rgb="FF000000"/>
      </right>
      <top style="medium">
        <color rgb="FF000000"/>
      </top>
      <bottom/>
    </border>
    <border>
      <left/>
      <right/>
      <top style="thin">
        <color rgb="FF000000"/>
      </top>
      <bottom/>
    </border>
    <border>
      <left style="medium">
        <color rgb="FF000000"/>
      </left>
      <right style="medium">
        <color rgb="FF000000"/>
      </right>
      <top/>
      <bottom style="medium">
        <color rgb="FF000000"/>
      </bottom>
    </border>
    <border>
      <left style="medium">
        <color rgb="FF000000"/>
      </left>
      <right/>
      <top/>
      <bottom style="medium">
        <color rgb="FF000000"/>
      </bottom>
    </border>
    <border>
      <left style="medium">
        <color rgb="FF000000"/>
      </left>
      <top style="thin">
        <color rgb="FF000000"/>
      </top>
    </border>
    <border>
      <left/>
      <right style="medium">
        <color rgb="FF000000"/>
      </right>
      <top/>
      <bottom style="medium">
        <color rgb="FF000000"/>
      </bottom>
    </border>
    <border>
      <left style="medium">
        <color rgb="FF000000"/>
      </left>
      <right style="thin">
        <color rgb="FF000000"/>
      </right>
      <top/>
      <bottom style="medium">
        <color rgb="FF000000"/>
      </bottom>
    </border>
    <border>
      <left/>
      <right/>
      <top style="medium">
        <color rgb="FF000000"/>
      </top>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medium">
        <color rgb="FF000000"/>
      </left>
    </border>
    <border>
      <left style="medium">
        <color rgb="FF000000"/>
      </left>
      <top style="medium">
        <color rgb="FF000000"/>
      </top>
    </border>
    <border>
      <right style="medium">
        <color rgb="FF000000"/>
      </right>
      <top style="medium">
        <color rgb="FF000000"/>
      </top>
    </border>
    <border>
      <left/>
      <right style="thin">
        <color rgb="FF000000"/>
      </right>
      <top style="medium">
        <color rgb="FF000000"/>
      </top>
      <bottom style="medium">
        <color rgb="FF000000"/>
      </bottom>
    </border>
    <border>
      <left style="medium">
        <color rgb="FFCCCCCC"/>
      </left>
    </border>
    <border>
      <right style="medium">
        <color rgb="FFCCCCCC"/>
      </right>
      <top style="medium">
        <color rgb="FFCCCCCC"/>
      </top>
      <bottom style="medium">
        <color rgb="FFCCCCCC"/>
      </bottom>
    </border>
    <border>
      <left style="thin">
        <color rgb="FF000000"/>
      </left>
      <right style="thin">
        <color rgb="FF000000"/>
      </right>
      <top/>
      <bottom style="medium">
        <color rgb="FF000000"/>
      </bottom>
    </border>
    <border>
      <left style="medium">
        <color rgb="FFCCCCCC"/>
      </left>
      <right style="medium">
        <color rgb="FFCCCCCC"/>
      </right>
      <top style="medium">
        <color rgb="FFCCCCCC"/>
      </top>
      <bottom style="medium">
        <color rgb="FFCCCCCC"/>
      </bottom>
    </border>
    <border>
      <left/>
      <right/>
      <top/>
      <bottom style="medium">
        <color rgb="FF000000"/>
      </bottom>
    </border>
    <border>
      <right/>
      <top style="medium">
        <color rgb="FF000000"/>
      </top>
      <bottom style="medium">
        <color rgb="FF000000"/>
      </bottom>
    </border>
    <border>
      <left style="medium">
        <color rgb="FF000000"/>
      </left>
      <right/>
      <top style="medium">
        <color rgb="FF000000"/>
      </top>
    </border>
    <border>
      <right style="medium">
        <color rgb="FFCCCCCC"/>
      </right>
      <top style="medium">
        <color rgb="FFCCCCCC"/>
      </top>
    </border>
    <border>
      <left style="thin">
        <color rgb="FF000000"/>
      </left>
      <right/>
      <top/>
      <bottom style="medium">
        <color rgb="FF000000"/>
      </bottom>
    </border>
    <border>
      <left style="medium">
        <color rgb="FFCCCCCC"/>
      </left>
      <right style="medium">
        <color rgb="FFCCCCCC"/>
      </right>
      <top style="medium">
        <color rgb="FFCCCCCC"/>
      </top>
    </border>
    <border>
      <left style="thick">
        <color rgb="FF000000"/>
      </left>
      <right style="thick">
        <color rgb="FF000000"/>
      </right>
      <top style="thick">
        <color rgb="FF000000"/>
      </top>
    </border>
    <border>
      <left style="medium">
        <color rgb="FF000000"/>
      </left>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medium">
        <color rgb="FF000000"/>
      </right>
      <top style="thick">
        <color rgb="FF000000"/>
      </top>
    </border>
    <border>
      <left style="medium">
        <color rgb="FF000000"/>
      </left>
      <right/>
      <bottom style="medium">
        <color rgb="FF000000"/>
      </bottom>
    </border>
    <border>
      <left style="medium">
        <color rgb="FF000000"/>
      </left>
      <right/>
      <top style="medium">
        <color rgb="FF000000"/>
      </top>
      <bottom style="thin">
        <color rgb="FF000000"/>
      </bottom>
    </border>
    <border>
      <left style="thick">
        <color rgb="FF000000"/>
      </left>
      <right style="thick">
        <color rgb="FF000000"/>
      </right>
      <bottom style="thick">
        <color rgb="FF000000"/>
      </bottom>
    </border>
    <border>
      <left style="medium">
        <color rgb="FFCCCCCC"/>
      </left>
      <right style="medium">
        <color rgb="FF000000"/>
      </right>
      <top style="medium">
        <color rgb="FFCCCCCC"/>
      </top>
      <bottom style="thick">
        <color rgb="FF000000"/>
      </bottom>
    </border>
    <border>
      <left style="medium">
        <color rgb="FFCCCCCC"/>
      </left>
      <right style="thick">
        <color rgb="FF000000"/>
      </right>
      <top style="medium">
        <color rgb="FFCCCCCC"/>
      </top>
      <bottom style="thick">
        <color rgb="FF000000"/>
      </bottom>
    </border>
    <border>
      <left style="thick">
        <color rgb="FF000000"/>
      </left>
      <right style="medium">
        <color rgb="FF000000"/>
      </right>
      <bottom style="thick">
        <color rgb="FF000000"/>
      </bottom>
    </border>
    <border>
      <left style="medium">
        <color rgb="FFCCCCCC"/>
      </left>
      <right style="medium">
        <color rgb="FF000000"/>
      </right>
      <top style="medium">
        <color rgb="FFCCCCCC"/>
      </top>
    </border>
    <border>
      <left style="medium">
        <color rgb="FFCCCCCC"/>
      </left>
      <right style="medium">
        <color rgb="FF000000"/>
      </right>
      <top style="medium">
        <color rgb="FFCCCCCC"/>
      </top>
      <bottom/>
    </border>
    <border>
      <left style="thin">
        <color rgb="FF000000"/>
      </left>
      <right/>
      <top style="medium">
        <color rgb="FF000000"/>
      </top>
      <bottom style="thin">
        <color rgb="FF000000"/>
      </bottom>
    </border>
    <border>
      <left style="medium">
        <color rgb="FFCCCCCC"/>
      </left>
      <right/>
      <bottom/>
    </border>
    <border>
      <left style="medium">
        <color rgb="FF000000"/>
      </left>
      <bottom/>
    </border>
    <border>
      <left style="medium">
        <color rgb="FF000000"/>
      </left>
      <right/>
      <top style="thin">
        <color rgb="FF000000"/>
      </top>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right/>
      <top style="thin">
        <color rgb="FF000000"/>
      </top>
      <bottom style="thin">
        <color rgb="FF000000"/>
      </bottom>
    </border>
    <border>
      <left/>
      <right style="thin">
        <color rgb="FF000000"/>
      </right>
      <top/>
      <bottom/>
    </border>
    <border>
      <left style="thin">
        <color rgb="FF000000"/>
      </left>
      <right/>
      <top/>
      <bottom/>
    </border>
    <border>
      <left/>
      <right style="medium">
        <color rgb="FF000000"/>
      </right>
      <top style="medium">
        <color rgb="FF000000"/>
      </top>
      <bottom/>
    </border>
    <border>
      <left style="medium">
        <color rgb="FF000000"/>
      </left>
      <right/>
      <top/>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border>
    <border>
      <left style="medium">
        <color rgb="FFCCCCCC"/>
      </left>
      <right style="medium">
        <color rgb="FF000000"/>
      </right>
      <top/>
      <bottom style="medium">
        <color rgb="FF000000"/>
      </bottom>
    </border>
    <border>
      <left style="medium">
        <color rgb="FFCCCCCC"/>
      </left>
      <right style="medium">
        <color rgb="FF000000"/>
      </right>
      <top/>
      <bottom style="thick">
        <color rgb="FF000000"/>
      </bottom>
    </border>
    <border>
      <left style="medium">
        <color rgb="FFCCCCCC"/>
      </left>
      <right/>
      <top/>
      <bottom style="medium">
        <color rgb="FF000000"/>
      </bottom>
    </border>
    <border>
      <left style="medium">
        <color rgb="FF000000"/>
      </left>
      <top/>
      <bottom style="medium">
        <color rgb="FF000000"/>
      </bottom>
    </border>
    <border>
      <left style="medium">
        <color rgb="FFCCCCCC"/>
      </left>
      <right style="medium">
        <color rgb="FF000000"/>
      </right>
      <top style="medium">
        <color rgb="FFCCCCCC"/>
      </top>
      <bottom style="medium">
        <color rgb="FF000000"/>
      </bottom>
    </border>
    <border>
      <left style="thin">
        <color rgb="FF000000"/>
      </left>
      <top style="medium">
        <color rgb="FF000000"/>
      </top>
      <bottom style="medium">
        <color rgb="FF000000"/>
      </bottom>
    </border>
    <border>
      <left style="medium">
        <color rgb="FFCCCCCC"/>
      </left>
      <right style="thick">
        <color rgb="FF000000"/>
      </right>
      <top style="medium">
        <color rgb="FFCCCCCC"/>
      </top>
      <bottom style="medium">
        <color rgb="FF000000"/>
      </bottom>
    </border>
    <border>
      <left style="thin">
        <color rgb="FF000000"/>
      </left>
      <right/>
      <top style="medium">
        <color rgb="FF000000"/>
      </top>
      <bottom style="medium">
        <color rgb="FF000000"/>
      </bottom>
    </border>
    <border>
      <left style="medium">
        <color rgb="FFCCCCCC"/>
      </left>
      <right/>
      <top style="medium">
        <color rgb="FFCCCCCC"/>
      </top>
      <bottom style="medium">
        <color rgb="FF000000"/>
      </bottom>
    </border>
    <border>
      <left style="medium">
        <color rgb="FFCCCCCC"/>
      </left>
      <right style="medium">
        <color rgb="FFCCCCCC"/>
      </right>
      <top/>
      <bottom style="medium">
        <color rgb="FFCCCCCC"/>
      </bottom>
    </border>
    <border>
      <left style="medium">
        <color rgb="FFCCCCCC"/>
      </left>
      <right style="medium">
        <color rgb="FFCCCCCC"/>
      </right>
      <bottom style="medium">
        <color rgb="FFCCCCCC"/>
      </bottom>
    </border>
    <border>
      <top style="medium">
        <color rgb="FFCCCCCC"/>
      </top>
      <bottom style="medium">
        <color rgb="FFCCCCCC"/>
      </bottom>
    </border>
  </borders>
  <cellStyleXfs count="1">
    <xf borderId="0" fillId="0" fontId="0" numFmtId="0" applyAlignment="1" applyFont="1"/>
  </cellStyleXfs>
  <cellXfs count="2144">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0"/>
    </xf>
    <xf borderId="1" fillId="2" fontId="2"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0" fillId="0" fontId="3" numFmtId="0" xfId="0" applyAlignment="1" applyFont="1">
      <alignment readingOrder="0" shrinkToFit="0" vertical="bottom" wrapText="0"/>
    </xf>
    <xf borderId="2" fillId="0" fontId="4" numFmtId="0" xfId="0" applyBorder="1" applyFont="1"/>
    <xf borderId="0" fillId="0" fontId="5" numFmtId="0" xfId="0" applyAlignment="1" applyFont="1">
      <alignment readingOrder="0" shrinkToFit="0" vertical="bottom" wrapText="0"/>
    </xf>
    <xf borderId="3" fillId="0" fontId="4" numFmtId="0" xfId="0" applyBorder="1" applyFont="1"/>
    <xf borderId="0" fillId="0" fontId="6" numFmtId="0" xfId="0" applyAlignment="1" applyFont="1">
      <alignment shrinkToFit="0" vertical="bottom" wrapText="0"/>
    </xf>
    <xf borderId="0" fillId="3" fontId="7" numFmtId="0" xfId="0" applyAlignment="1" applyFill="1" applyFont="1">
      <alignment horizontal="center" readingOrder="0" shrinkToFit="0" vertical="center" wrapText="1"/>
    </xf>
    <xf borderId="0" fillId="2" fontId="1" numFmtId="164" xfId="0" applyAlignment="1" applyFill="1" applyFont="1" applyNumberFormat="1">
      <alignment horizontal="center" shrinkToFit="0" vertical="bottom" wrapText="0"/>
    </xf>
    <xf borderId="0" fillId="0" fontId="8" numFmtId="0" xfId="0" applyAlignment="1" applyFont="1">
      <alignment horizontal="center" readingOrder="0" shrinkToFit="0" vertical="center" wrapText="1"/>
    </xf>
    <xf borderId="1" fillId="2" fontId="2" numFmtId="165" xfId="0" applyAlignment="1" applyBorder="1" applyFill="1" applyFont="1" applyNumberFormat="1">
      <alignment horizontal="center" shrinkToFit="0" vertical="bottom" wrapText="0"/>
    </xf>
    <xf borderId="1" fillId="2" fontId="1" numFmtId="164" xfId="0" applyAlignment="1" applyBorder="1" applyFill="1" applyFont="1" applyNumberFormat="1">
      <alignment horizontal="center" shrinkToFit="0" vertical="bottom" wrapText="0"/>
    </xf>
    <xf borderId="4" fillId="2" fontId="9" numFmtId="0" xfId="0" applyAlignment="1" applyBorder="1" applyFill="1" applyFont="1">
      <alignment horizontal="center" shrinkToFit="0" vertical="bottom" wrapText="0"/>
    </xf>
    <xf borderId="5" fillId="0" fontId="4" numFmtId="0" xfId="0" applyBorder="1" applyFont="1"/>
    <xf borderId="0" fillId="0" fontId="8" numFmtId="0" xfId="0" applyAlignment="1" applyFont="1">
      <alignment readingOrder="0" shrinkToFit="0" vertical="center" wrapText="1"/>
    </xf>
    <xf borderId="0" fillId="2" fontId="10" numFmtId="0" xfId="0" applyAlignment="1" applyFill="1" applyFont="1">
      <alignment horizontal="center" shrinkToFit="0" vertical="bottom" wrapText="0"/>
    </xf>
    <xf borderId="0" fillId="0" fontId="11" numFmtId="0" xfId="0" applyAlignment="1" applyFont="1">
      <alignment shrinkToFit="0" vertical="center" wrapText="1"/>
    </xf>
    <xf borderId="6" fillId="0" fontId="4" numFmtId="0" xfId="0" applyBorder="1" applyFont="1"/>
    <xf borderId="7" fillId="2" fontId="10" numFmtId="0" xfId="0" applyAlignment="1" applyBorder="1" applyFill="1" applyFont="1">
      <alignment horizontal="center" shrinkToFit="0" vertical="bottom" wrapText="0"/>
    </xf>
    <xf borderId="8" fillId="4" fontId="12" numFmtId="0" xfId="0" applyAlignment="1" applyBorder="1" applyFill="1" applyFont="1">
      <alignment horizontal="center" shrinkToFit="0" vertical="center" wrapText="1"/>
    </xf>
    <xf borderId="8" fillId="0" fontId="6" numFmtId="0" xfId="0" applyAlignment="1" applyBorder="1" applyFont="1">
      <alignment horizontal="center" readingOrder="0" shrinkToFit="0" vertical="center" wrapText="0"/>
    </xf>
    <xf borderId="0" fillId="4" fontId="10" numFmtId="0" xfId="0" applyAlignment="1" applyFill="1" applyFont="1">
      <alignment horizontal="center" shrinkToFit="0" vertical="center" wrapText="1"/>
    </xf>
    <xf borderId="9" fillId="4" fontId="12" numFmtId="0" xfId="0" applyAlignment="1" applyBorder="1" applyFill="1" applyFont="1">
      <alignment horizontal="center" shrinkToFit="0" vertical="center" wrapText="1"/>
    </xf>
    <xf borderId="10" fillId="0" fontId="6" numFmtId="0" xfId="0" applyAlignment="1" applyBorder="1" applyFont="1">
      <alignment readingOrder="0" shrinkToFit="0" vertical="center" wrapText="0"/>
    </xf>
    <xf borderId="8" fillId="4" fontId="10" numFmtId="0" xfId="0" applyAlignment="1" applyBorder="1" applyFill="1" applyFont="1">
      <alignment horizontal="center" shrinkToFit="0" vertical="center" wrapText="1"/>
    </xf>
    <xf borderId="11" fillId="0" fontId="4" numFmtId="0" xfId="0" applyBorder="1" applyFont="1"/>
    <xf borderId="12" fillId="0" fontId="4" numFmtId="0" xfId="0" applyBorder="1" applyFont="1"/>
    <xf borderId="9" fillId="4" fontId="10" numFmtId="0" xfId="0" applyAlignment="1" applyBorder="1" applyFill="1" applyFont="1">
      <alignment horizontal="center" shrinkToFit="0" vertical="center" wrapText="1"/>
    </xf>
    <xf borderId="10" fillId="0" fontId="6" numFmtId="3" xfId="0" applyAlignment="1" applyBorder="1" applyFont="1" applyNumberFormat="1">
      <alignment horizontal="right" readingOrder="0" shrinkToFit="0" vertical="center" wrapText="0"/>
    </xf>
    <xf borderId="13" fillId="0" fontId="4" numFmtId="0" xfId="0" applyBorder="1" applyFont="1"/>
    <xf borderId="10" fillId="4" fontId="12" numFmtId="0" xfId="0" applyAlignment="1" applyBorder="1" applyFill="1" applyFont="1">
      <alignment horizontal="center" shrinkToFit="0" vertical="center" wrapText="1"/>
    </xf>
    <xf borderId="10" fillId="0" fontId="6" numFmtId="4" xfId="0" applyAlignment="1" applyBorder="1" applyFont="1" applyNumberFormat="1">
      <alignment horizontal="right" readingOrder="0" shrinkToFit="0" vertical="center" wrapText="0"/>
    </xf>
    <xf borderId="10" fillId="4" fontId="10" numFmtId="0" xfId="0" applyAlignment="1" applyBorder="1" applyFill="1" applyFont="1">
      <alignment horizontal="center" shrinkToFit="0" vertical="center" wrapText="1"/>
    </xf>
    <xf borderId="9" fillId="5" fontId="13" numFmtId="0" xfId="0" applyAlignment="1" applyBorder="1" applyFill="1" applyFont="1">
      <alignment horizontal="left" shrinkToFit="0" vertical="center" wrapText="1"/>
    </xf>
    <xf borderId="0" fillId="0" fontId="8" numFmtId="0" xfId="0" applyAlignment="1" applyFont="1">
      <alignment readingOrder="0"/>
    </xf>
    <xf borderId="0" fillId="5" fontId="14" numFmtId="0" xfId="0" applyAlignment="1" applyFill="1" applyFont="1">
      <alignment horizontal="left" readingOrder="0" shrinkToFit="0" vertical="center" wrapText="1"/>
    </xf>
    <xf borderId="10" fillId="6" fontId="15" numFmtId="166" xfId="0" applyAlignment="1" applyBorder="1" applyFill="1" applyFont="1" applyNumberFormat="1">
      <alignment horizontal="left" shrinkToFit="0" vertical="top" wrapText="1"/>
    </xf>
    <xf borderId="9" fillId="5" fontId="14" numFmtId="0" xfId="0" applyAlignment="1" applyBorder="1" applyFill="1" applyFont="1">
      <alignment horizontal="left" shrinkToFit="0" vertical="center" wrapText="1"/>
    </xf>
    <xf borderId="10" fillId="6" fontId="16" numFmtId="0" xfId="0" applyAlignment="1" applyBorder="1" applyFill="1" applyFont="1">
      <alignment shrinkToFit="0" vertical="top" wrapText="1"/>
    </xf>
    <xf borderId="14" fillId="0" fontId="4" numFmtId="0" xfId="0" applyBorder="1" applyFont="1"/>
    <xf borderId="0" fillId="2" fontId="17" numFmtId="0" xfId="0" applyAlignment="1" applyFill="1" applyFont="1">
      <alignment horizontal="left" readingOrder="0" shrinkToFit="0" vertical="top" wrapText="1"/>
    </xf>
    <xf borderId="10" fillId="6" fontId="15" numFmtId="0" xfId="0" applyAlignment="1" applyBorder="1" applyFill="1" applyFont="1">
      <alignment shrinkToFit="0" vertical="top" wrapText="1"/>
    </xf>
    <xf borderId="10" fillId="2" fontId="17" numFmtId="167" xfId="0" applyAlignment="1" applyBorder="1" applyFill="1" applyFont="1" applyNumberFormat="1">
      <alignment horizontal="left" shrinkToFit="0" vertical="top" wrapText="1"/>
    </xf>
    <xf borderId="10" fillId="6" fontId="15" numFmtId="168" xfId="0" applyAlignment="1" applyBorder="1" applyFill="1" applyFont="1" applyNumberFormat="1">
      <alignment shrinkToFit="0" vertical="top" wrapText="1"/>
    </xf>
    <xf borderId="10" fillId="2" fontId="17" numFmtId="0" xfId="0" applyAlignment="1" applyBorder="1" applyFill="1" applyFont="1">
      <alignment shrinkToFit="0" vertical="top" wrapText="1"/>
    </xf>
    <xf borderId="10" fillId="6" fontId="15" numFmtId="2" xfId="0" applyAlignment="1" applyBorder="1" applyFill="1" applyFont="1" applyNumberFormat="1">
      <alignment shrinkToFit="0" vertical="top" wrapText="1"/>
    </xf>
    <xf borderId="10" fillId="2" fontId="17" numFmtId="2" xfId="0" applyAlignment="1" applyBorder="1" applyFill="1" applyFont="1" applyNumberFormat="1">
      <alignment shrinkToFit="0" vertical="top" wrapText="1"/>
    </xf>
    <xf borderId="0" fillId="0" fontId="11" numFmtId="0" xfId="0" applyAlignment="1" applyFont="1">
      <alignment horizontal="center" readingOrder="0"/>
    </xf>
    <xf borderId="10" fillId="6" fontId="15" numFmtId="169" xfId="0" applyAlignment="1" applyBorder="1" applyFill="1" applyFont="1" applyNumberFormat="1">
      <alignment shrinkToFit="0" vertical="top" wrapText="1"/>
    </xf>
    <xf borderId="10" fillId="2" fontId="17" numFmtId="170" xfId="0" applyAlignment="1" applyBorder="1" applyFill="1" applyFont="1" applyNumberFormat="1">
      <alignment shrinkToFit="0" vertical="top" wrapText="1"/>
    </xf>
    <xf borderId="0" fillId="0" fontId="11" numFmtId="0" xfId="0" applyAlignment="1" applyFont="1">
      <alignment horizontal="center"/>
    </xf>
    <xf borderId="10" fillId="2" fontId="18" numFmtId="0" xfId="0" applyAlignment="1" applyBorder="1" applyFill="1" applyFont="1">
      <alignment shrinkToFit="0" vertical="top" wrapText="1"/>
    </xf>
    <xf borderId="10" fillId="2" fontId="15" numFmtId="166" xfId="0" applyAlignment="1" applyBorder="1" applyFill="1" applyFont="1" applyNumberFormat="1">
      <alignment horizontal="left" shrinkToFit="0" vertical="top" wrapText="1"/>
    </xf>
    <xf borderId="10" fillId="2" fontId="19" numFmtId="0" xfId="0" applyAlignment="1" applyBorder="1" applyFill="1" applyFont="1">
      <alignment shrinkToFit="0" vertical="top" wrapText="1"/>
    </xf>
    <xf borderId="10" fillId="2" fontId="15" numFmtId="0" xfId="0" applyAlignment="1" applyBorder="1" applyFill="1" applyFont="1">
      <alignment shrinkToFit="0" vertical="top" wrapText="1"/>
    </xf>
    <xf borderId="10" fillId="2" fontId="15" numFmtId="168" xfId="0" applyAlignment="1" applyBorder="1" applyFill="1" applyFont="1" applyNumberFormat="1">
      <alignment shrinkToFit="0" vertical="top" wrapText="1"/>
    </xf>
    <xf borderId="10" fillId="2" fontId="15" numFmtId="2" xfId="0" applyAlignment="1" applyBorder="1" applyFill="1" applyFont="1" applyNumberFormat="1">
      <alignment shrinkToFit="0" vertical="top" wrapText="1"/>
    </xf>
    <xf borderId="10" fillId="2" fontId="15" numFmtId="169" xfId="0" applyAlignment="1" applyBorder="1" applyFill="1" applyFont="1" applyNumberFormat="1">
      <alignment shrinkToFit="0" vertical="top" wrapText="1"/>
    </xf>
    <xf borderId="10" fillId="7" fontId="20" numFmtId="0" xfId="0" applyAlignment="1" applyBorder="1" applyFill="1" applyFont="1">
      <alignment readingOrder="0" shrinkToFit="0" vertical="center" wrapText="0"/>
    </xf>
    <xf borderId="10" fillId="2" fontId="16" numFmtId="0" xfId="0" applyAlignment="1" applyBorder="1" applyFill="1" applyFont="1">
      <alignment shrinkToFit="0" vertical="top" wrapText="1"/>
    </xf>
    <xf borderId="10" fillId="7" fontId="6" numFmtId="0" xfId="0" applyAlignment="1" applyBorder="1" applyFill="1" applyFont="1">
      <alignment shrinkToFit="0" vertical="center" wrapText="0"/>
    </xf>
    <xf borderId="10" fillId="2" fontId="18" numFmtId="0" xfId="0" applyAlignment="1" applyBorder="1" applyFill="1" applyFont="1">
      <alignment horizontal="left" shrinkToFit="0" vertical="top" wrapText="1"/>
    </xf>
    <xf borderId="10" fillId="7" fontId="20" numFmtId="3" xfId="0" applyAlignment="1" applyBorder="1" applyFill="1" applyFont="1" applyNumberFormat="1">
      <alignment horizontal="right" readingOrder="0" shrinkToFit="0" vertical="center" wrapText="0"/>
    </xf>
    <xf borderId="10" fillId="2" fontId="17" numFmtId="0" xfId="0" applyAlignment="1" applyBorder="1" applyFill="1" applyFont="1">
      <alignment horizontal="left" shrinkToFit="0" vertical="top" wrapText="1"/>
    </xf>
    <xf borderId="10" fillId="7" fontId="20" numFmtId="4" xfId="0" applyAlignment="1" applyBorder="1" applyFill="1" applyFont="1" applyNumberFormat="1">
      <alignment horizontal="right" readingOrder="0" shrinkToFit="0" vertical="center" wrapText="0"/>
    </xf>
    <xf borderId="10" fillId="2" fontId="17" numFmtId="0" xfId="0" applyAlignment="1" applyBorder="1" applyFill="1" applyFont="1">
      <alignment horizontal="center" shrinkToFit="0" vertical="top" wrapText="1"/>
    </xf>
    <xf borderId="10" fillId="2" fontId="21" numFmtId="0" xfId="0" applyAlignment="1" applyBorder="1" applyFill="1" applyFont="1">
      <alignment shrinkToFit="0" vertical="center" wrapText="1"/>
    </xf>
    <xf borderId="8" fillId="0" fontId="22" numFmtId="0" xfId="0" applyAlignment="1" applyBorder="1" applyFont="1">
      <alignment horizontal="center" readingOrder="0" shrinkToFit="0" vertical="center" wrapText="0"/>
    </xf>
    <xf borderId="15" fillId="2" fontId="17" numFmtId="170" xfId="0" applyAlignment="1" applyBorder="1" applyFill="1" applyFont="1" applyNumberFormat="1">
      <alignment shrinkToFit="0" vertical="top" wrapText="1"/>
    </xf>
    <xf borderId="10" fillId="2" fontId="21" numFmtId="0" xfId="0" applyAlignment="1" applyBorder="1" applyFill="1" applyFont="1">
      <alignment horizontal="left" shrinkToFit="0" vertical="center" wrapText="1"/>
    </xf>
    <xf borderId="10" fillId="0" fontId="22" numFmtId="4" xfId="0" applyAlignment="1" applyBorder="1" applyFont="1" applyNumberFormat="1">
      <alignment horizontal="right" readingOrder="0" shrinkToFit="0" vertical="center" wrapText="0"/>
    </xf>
    <xf borderId="10" fillId="2" fontId="17" numFmtId="170" xfId="0" applyAlignment="1" applyBorder="1" applyFill="1" applyFont="1" applyNumberFormat="1">
      <alignment horizontal="center" shrinkToFit="0" vertical="top" wrapText="1"/>
    </xf>
    <xf borderId="10" fillId="2" fontId="21" numFmtId="0" xfId="0" applyAlignment="1" applyBorder="1" applyFill="1" applyFont="1">
      <alignment horizontal="center" shrinkToFit="0" vertical="center" wrapText="1"/>
    </xf>
    <xf borderId="8" fillId="2" fontId="17" numFmtId="167" xfId="0" applyAlignment="1" applyBorder="1" applyFill="1" applyFont="1" applyNumberFormat="1">
      <alignment horizontal="left" shrinkToFit="0" vertical="center" wrapText="1"/>
    </xf>
    <xf borderId="8" fillId="2" fontId="17" numFmtId="0" xfId="0" applyAlignment="1" applyBorder="1" applyFill="1" applyFont="1">
      <alignment horizontal="left" shrinkToFit="0" vertical="center" wrapText="1"/>
    </xf>
    <xf borderId="10" fillId="2" fontId="21" numFmtId="0" xfId="0" applyAlignment="1" applyBorder="1" applyFill="1" applyFont="1">
      <alignment shrinkToFit="0" vertical="top" wrapText="1"/>
    </xf>
    <xf borderId="10" fillId="2" fontId="17" numFmtId="170" xfId="0" applyAlignment="1" applyBorder="1" applyFill="1" applyFont="1" applyNumberFormat="1">
      <alignment horizontal="center" shrinkToFit="0" vertical="center" wrapText="1"/>
    </xf>
    <xf borderId="10" fillId="0" fontId="22" numFmtId="3" xfId="0" applyAlignment="1" applyBorder="1" applyFont="1" applyNumberFormat="1">
      <alignment horizontal="right" readingOrder="0" shrinkToFit="0" vertical="center" wrapText="0"/>
    </xf>
    <xf borderId="8" fillId="2" fontId="18" numFmtId="0" xfId="0" applyAlignment="1" applyBorder="1" applyFill="1" applyFont="1">
      <alignment horizontal="left" shrinkToFit="0" vertical="center" wrapText="1"/>
    </xf>
    <xf borderId="10" fillId="6" fontId="23" numFmtId="167" xfId="0" applyAlignment="1" applyBorder="1" applyFill="1" applyFont="1" applyNumberFormat="1">
      <alignment horizontal="left" shrinkToFit="0" vertical="top" wrapText="1"/>
    </xf>
    <xf borderId="10" fillId="6" fontId="23" numFmtId="0" xfId="0" applyAlignment="1" applyBorder="1" applyFill="1" applyFont="1">
      <alignment shrinkToFit="0" vertical="top" wrapText="1"/>
    </xf>
    <xf borderId="10" fillId="6" fontId="21" numFmtId="0" xfId="0" applyAlignment="1" applyBorder="1" applyFill="1" applyFont="1">
      <alignment shrinkToFit="0" vertical="top" wrapText="1"/>
    </xf>
    <xf borderId="10" fillId="6" fontId="23" numFmtId="2" xfId="0" applyAlignment="1" applyBorder="1" applyFill="1" applyFont="1" applyNumberFormat="1">
      <alignment shrinkToFit="0" vertical="top" wrapText="1"/>
    </xf>
    <xf borderId="10" fillId="6" fontId="23" numFmtId="170" xfId="0" applyAlignment="1" applyBorder="1" applyFill="1" applyFont="1" applyNumberFormat="1">
      <alignment horizontal="center" shrinkToFit="0" vertical="top" wrapText="1"/>
    </xf>
    <xf borderId="10" fillId="2" fontId="16" numFmtId="0" xfId="0" applyAlignment="1" applyBorder="1" applyFill="1" applyFont="1">
      <alignment horizontal="center" shrinkToFit="0" vertical="center" wrapText="1"/>
    </xf>
    <xf borderId="10" fillId="6" fontId="16" numFmtId="0" xfId="0" applyAlignment="1" applyBorder="1" applyFill="1" applyFont="1">
      <alignment horizontal="center" shrinkToFit="0" vertical="center" wrapText="1"/>
    </xf>
    <xf borderId="0" fillId="4" fontId="14" numFmtId="0" xfId="0" applyAlignment="1" applyFill="1" applyFont="1">
      <alignment shrinkToFit="0" vertical="top" wrapText="1"/>
    </xf>
    <xf borderId="10" fillId="4" fontId="14" numFmtId="167" xfId="0" applyAlignment="1" applyBorder="1" applyFill="1" applyFont="1" applyNumberFormat="1">
      <alignment shrinkToFit="0" vertical="top" wrapText="1"/>
    </xf>
    <xf borderId="10" fillId="4" fontId="14" numFmtId="0" xfId="0" applyAlignment="1" applyBorder="1" applyFill="1" applyFont="1">
      <alignment shrinkToFit="0" vertical="top" wrapText="1"/>
    </xf>
    <xf borderId="10" fillId="4" fontId="14" numFmtId="2" xfId="0" applyAlignment="1" applyBorder="1" applyFill="1" applyFont="1" applyNumberFormat="1">
      <alignment shrinkToFit="0" vertical="top" wrapText="1"/>
    </xf>
    <xf borderId="10" fillId="4" fontId="14" numFmtId="170" xfId="0" applyAlignment="1" applyBorder="1" applyFill="1" applyFont="1" applyNumberFormat="1">
      <alignment shrinkToFit="0" vertical="top" wrapText="1"/>
    </xf>
    <xf borderId="0" fillId="5" fontId="14" numFmtId="0" xfId="0" applyAlignment="1" applyFill="1" applyFont="1">
      <alignment horizontal="left" shrinkToFit="0" vertical="center" wrapText="1"/>
    </xf>
    <xf borderId="16" fillId="5" fontId="14" numFmtId="0" xfId="0" applyAlignment="1" applyBorder="1" applyFill="1" applyFont="1">
      <alignment horizontal="left" shrinkToFit="0" vertical="center" wrapText="1"/>
    </xf>
    <xf borderId="17" fillId="0" fontId="4" numFmtId="0" xfId="0" applyBorder="1" applyFont="1"/>
    <xf borderId="18" fillId="0" fontId="4" numFmtId="0" xfId="0" applyBorder="1" applyFont="1"/>
    <xf borderId="0" fillId="2" fontId="17" numFmtId="1" xfId="0" applyAlignment="1" applyFill="1" applyFont="1" applyNumberFormat="1">
      <alignment horizontal="left" readingOrder="0" shrinkToFit="0" vertical="top" wrapText="1"/>
    </xf>
    <xf borderId="10" fillId="2" fontId="23" numFmtId="0" xfId="0" applyAlignment="1" applyBorder="1" applyFill="1" applyFont="1">
      <alignment horizontal="center" shrinkToFit="0" vertical="top" wrapText="1"/>
    </xf>
    <xf borderId="10" fillId="2" fontId="17" numFmtId="2" xfId="0" applyAlignment="1" applyBorder="1" applyFill="1" applyFont="1" applyNumberFormat="1">
      <alignment horizontal="right" shrinkToFit="0" vertical="top" wrapText="1"/>
    </xf>
    <xf borderId="10" fillId="2" fontId="17" numFmtId="170" xfId="0" applyAlignment="1" applyBorder="1" applyFill="1" applyFont="1" applyNumberFormat="1">
      <alignment horizontal="right" shrinkToFit="0" vertical="top" wrapText="1"/>
    </xf>
    <xf borderId="10" fillId="2" fontId="23" numFmtId="0" xfId="0" applyAlignment="1" applyBorder="1" applyFill="1" applyFont="1">
      <alignment shrinkToFit="0" vertical="top" wrapText="0"/>
    </xf>
    <xf borderId="10" fillId="2" fontId="17" numFmtId="170" xfId="0" applyAlignment="1" applyBorder="1" applyFill="1" applyFont="1" applyNumberFormat="1">
      <alignment horizontal="center" shrinkToFit="0" vertical="top" wrapText="0"/>
    </xf>
    <xf borderId="10" fillId="2" fontId="23" numFmtId="0" xfId="0" applyAlignment="1" applyBorder="1" applyFill="1" applyFont="1">
      <alignment shrinkToFit="0" vertical="top" wrapText="1"/>
    </xf>
    <xf borderId="10" fillId="2" fontId="17" numFmtId="170" xfId="0" applyAlignment="1" applyBorder="1" applyFill="1" applyFont="1" applyNumberFormat="1">
      <alignment horizontal="left" shrinkToFit="0" vertical="top" wrapText="1"/>
    </xf>
    <xf borderId="10" fillId="4" fontId="24" numFmtId="166" xfId="0" applyAlignment="1" applyBorder="1" applyFill="1" applyFont="1" applyNumberFormat="1">
      <alignment horizontal="center" shrinkToFit="0" vertical="top" wrapText="1"/>
    </xf>
    <xf borderId="10" fillId="6" fontId="17" numFmtId="0" xfId="0" applyAlignment="1" applyBorder="1" applyFill="1" applyFont="1">
      <alignment horizontal="left" shrinkToFit="0" vertical="top" wrapText="1"/>
    </xf>
    <xf borderId="10" fillId="6" fontId="18" numFmtId="0" xfId="0" applyAlignment="1" applyBorder="1" applyFill="1" applyFont="1">
      <alignment horizontal="left" shrinkToFit="0" vertical="top" wrapText="1"/>
    </xf>
    <xf borderId="10" fillId="4" fontId="24" numFmtId="0" xfId="0" applyAlignment="1" applyBorder="1" applyFill="1" applyFont="1">
      <alignment shrinkToFit="0" vertical="top" wrapText="1"/>
    </xf>
    <xf borderId="10" fillId="6" fontId="17" numFmtId="0" xfId="0" applyAlignment="1" applyBorder="1" applyFill="1" applyFont="1">
      <alignment shrinkToFit="0" vertical="top" wrapText="1"/>
    </xf>
    <xf borderId="10" fillId="6" fontId="23" numFmtId="0" xfId="0" applyAlignment="1" applyBorder="1" applyFill="1" applyFont="1">
      <alignment shrinkToFit="0" vertical="top" wrapText="0"/>
    </xf>
    <xf borderId="10" fillId="4" fontId="24" numFmtId="168" xfId="0" applyAlignment="1" applyBorder="1" applyFill="1" applyFont="1" applyNumberFormat="1">
      <alignment shrinkToFit="0" vertical="top" wrapText="1"/>
    </xf>
    <xf borderId="10" fillId="6" fontId="17" numFmtId="170" xfId="0" applyAlignment="1" applyBorder="1" applyFill="1" applyFont="1" applyNumberFormat="1">
      <alignment horizontal="center" shrinkToFit="0" vertical="top" wrapText="0"/>
    </xf>
    <xf borderId="10" fillId="6" fontId="17" numFmtId="0" xfId="0" applyAlignment="1" applyBorder="1" applyFill="1" applyFont="1">
      <alignment horizontal="center" shrinkToFit="0" vertical="top" wrapText="1"/>
    </xf>
    <xf borderId="10" fillId="4" fontId="24" numFmtId="169" xfId="0" applyAlignment="1" applyBorder="1" applyFill="1" applyFont="1" applyNumberFormat="1">
      <alignment shrinkToFit="0" vertical="top" wrapText="1"/>
    </xf>
    <xf borderId="10" fillId="2" fontId="18" numFmtId="0" xfId="0" applyAlignment="1" applyBorder="1" applyFill="1" applyFont="1">
      <alignment horizontal="center" shrinkToFit="0" vertical="top" wrapText="1"/>
    </xf>
    <xf borderId="10" fillId="2" fontId="23" numFmtId="0" xfId="0" applyAlignment="1" applyBorder="1" applyFill="1" applyFont="1">
      <alignment horizontal="left" shrinkToFit="0" vertical="top" wrapText="1"/>
    </xf>
    <xf borderId="10" fillId="2" fontId="25" numFmtId="0" xfId="0" applyAlignment="1" applyBorder="1" applyFill="1" applyFont="1">
      <alignment horizontal="left" shrinkToFit="0" vertical="top" wrapText="1"/>
    </xf>
    <xf borderId="19" fillId="2" fontId="17" numFmtId="0" xfId="0" applyAlignment="1" applyBorder="1" applyFill="1" applyFont="1">
      <alignment horizontal="left" shrinkToFit="0" vertical="top" wrapText="1"/>
    </xf>
    <xf borderId="10" fillId="2" fontId="26" numFmtId="0" xfId="0" applyAlignment="1" applyBorder="1" applyFill="1" applyFont="1">
      <alignment horizontal="center" shrinkToFit="0" vertical="top" wrapText="1"/>
    </xf>
    <xf borderId="20" fillId="2" fontId="18" numFmtId="0" xfId="0" applyAlignment="1" applyBorder="1" applyFill="1" applyFont="1">
      <alignment horizontal="center" shrinkToFit="0" vertical="top" wrapText="1"/>
    </xf>
    <xf borderId="10" fillId="2" fontId="25" numFmtId="168" xfId="0" applyAlignment="1" applyBorder="1" applyFill="1" applyFont="1" applyNumberFormat="1">
      <alignment horizontal="right" shrinkToFit="0" vertical="top" wrapText="1"/>
    </xf>
    <xf borderId="10" fillId="2" fontId="25" numFmtId="0" xfId="0" applyAlignment="1" applyBorder="1" applyFill="1" applyFont="1">
      <alignment horizontal="right" shrinkToFit="0" vertical="top" wrapText="1"/>
    </xf>
    <xf borderId="20" fillId="2" fontId="17" numFmtId="0" xfId="0" applyAlignment="1" applyBorder="1" applyFill="1" applyFont="1">
      <alignment shrinkToFit="0" vertical="top" wrapText="1"/>
    </xf>
    <xf borderId="10" fillId="2" fontId="25" numFmtId="169" xfId="0" applyAlignment="1" applyBorder="1" applyFill="1" applyFont="1" applyNumberFormat="1">
      <alignment horizontal="right" shrinkToFit="0" vertical="top" wrapText="1"/>
    </xf>
    <xf borderId="20" fillId="2" fontId="23" numFmtId="0" xfId="0" applyAlignment="1" applyBorder="1" applyFill="1" applyFont="1">
      <alignment shrinkToFit="0" vertical="top" wrapText="0"/>
    </xf>
    <xf borderId="10" fillId="2" fontId="15" numFmtId="0" xfId="0" applyAlignment="1" applyBorder="1" applyFill="1" applyFont="1">
      <alignment horizontal="left" shrinkToFit="0" vertical="top" wrapText="1"/>
    </xf>
    <xf borderId="10" fillId="2" fontId="15" numFmtId="0" xfId="0" applyAlignment="1" applyBorder="1" applyFill="1" applyFont="1">
      <alignment horizontal="center" shrinkToFit="0" vertical="top" wrapText="1"/>
    </xf>
    <xf borderId="20" fillId="2" fontId="17" numFmtId="170" xfId="0" applyAlignment="1" applyBorder="1" applyFill="1" applyFont="1" applyNumberFormat="1">
      <alignment horizontal="center" shrinkToFit="0" vertical="top" wrapText="0"/>
    </xf>
    <xf borderId="19" fillId="2" fontId="17" numFmtId="0" xfId="0" applyAlignment="1" applyBorder="1" applyFill="1" applyFont="1">
      <alignment horizontal="center" shrinkToFit="0" vertical="top" wrapText="1"/>
    </xf>
    <xf borderId="19" fillId="2" fontId="17" numFmtId="0" xfId="0" applyAlignment="1" applyBorder="1" applyFill="1" applyFont="1">
      <alignment horizontal="left" shrinkToFit="0" vertical="center" wrapText="1"/>
    </xf>
    <xf borderId="10" fillId="2" fontId="17" numFmtId="0" xfId="0" applyAlignment="1" applyBorder="1" applyFill="1" applyFont="1">
      <alignment horizontal="left" shrinkToFit="0" vertical="center" wrapText="1"/>
    </xf>
    <xf borderId="10" fillId="6" fontId="25" numFmtId="0" xfId="0" applyAlignment="1" applyBorder="1" applyFill="1" applyFont="1">
      <alignment horizontal="left" shrinkToFit="0" vertical="top" wrapText="1"/>
    </xf>
    <xf borderId="10" fillId="6" fontId="25" numFmtId="168" xfId="0" applyAlignment="1" applyBorder="1" applyFill="1" applyFont="1" applyNumberFormat="1">
      <alignment horizontal="right" shrinkToFit="0" vertical="top" wrapText="1"/>
    </xf>
    <xf borderId="15" fillId="2" fontId="17" numFmtId="0" xfId="0" applyAlignment="1" applyBorder="1" applyFill="1" applyFont="1">
      <alignment shrinkToFit="0" vertical="top" wrapText="1"/>
    </xf>
    <xf borderId="10" fillId="6" fontId="25" numFmtId="0" xfId="0" applyAlignment="1" applyBorder="1" applyFill="1" applyFont="1">
      <alignment horizontal="right" shrinkToFit="0" vertical="top" wrapText="1"/>
    </xf>
    <xf borderId="15" fillId="2" fontId="23" numFmtId="0" xfId="0" applyAlignment="1" applyBorder="1" applyFill="1" applyFont="1">
      <alignment shrinkToFit="0" vertical="center" wrapText="1"/>
    </xf>
    <xf borderId="10" fillId="6" fontId="25" numFmtId="169" xfId="0" applyAlignment="1" applyBorder="1" applyFill="1" applyFont="1" applyNumberFormat="1">
      <alignment horizontal="right" shrinkToFit="0" vertical="top" wrapText="1"/>
    </xf>
    <xf borderId="15" fillId="2" fontId="18" numFmtId="0" xfId="0" applyAlignment="1" applyBorder="1" applyFill="1" applyFont="1">
      <alignment shrinkToFit="0" vertical="center" wrapText="1"/>
    </xf>
    <xf borderId="10" fillId="6" fontId="15" numFmtId="0" xfId="0" applyAlignment="1" applyBorder="1" applyFill="1" applyFont="1">
      <alignment horizontal="left" shrinkToFit="0" vertical="top" wrapText="1"/>
    </xf>
    <xf borderId="10" fillId="6" fontId="15" numFmtId="0" xfId="0" applyAlignment="1" applyBorder="1" applyFill="1" applyFont="1">
      <alignment horizontal="center" shrinkToFit="0" vertical="top" wrapText="1"/>
    </xf>
    <xf borderId="10" fillId="6" fontId="23" numFmtId="0" xfId="0" applyAlignment="1" applyBorder="1" applyFill="1" applyFont="1">
      <alignment horizontal="left" shrinkToFit="0" vertical="top" wrapText="1"/>
    </xf>
    <xf borderId="10" fillId="6" fontId="17" numFmtId="0" xfId="0" applyAlignment="1" applyBorder="1" applyFill="1" applyFont="1">
      <alignment horizontal="left" shrinkToFit="0" vertical="center" wrapText="1"/>
    </xf>
    <xf borderId="10" fillId="4" fontId="24" numFmtId="0" xfId="0" applyAlignment="1" applyBorder="1" applyFill="1" applyFont="1">
      <alignment shrinkToFit="0" vertical="top" wrapText="0"/>
    </xf>
    <xf borderId="15" fillId="2" fontId="18" numFmtId="0" xfId="0" applyAlignment="1" applyBorder="1" applyFill="1" applyFont="1">
      <alignment horizontal="center" shrinkToFit="0" vertical="top" wrapText="1"/>
    </xf>
    <xf borderId="10" fillId="4" fontId="24" numFmtId="169" xfId="0" applyAlignment="1" applyBorder="1" applyFill="1" applyFont="1" applyNumberFormat="1">
      <alignment shrinkToFit="0" vertical="top" wrapText="0"/>
    </xf>
    <xf borderId="10" fillId="4" fontId="24" numFmtId="170" xfId="0" applyAlignment="1" applyBorder="1" applyFill="1" applyFont="1" applyNumberFormat="1">
      <alignment shrinkToFit="0" vertical="top" wrapText="0"/>
    </xf>
    <xf borderId="10" fillId="2" fontId="23" numFmtId="2" xfId="0" applyAlignment="1" applyBorder="1" applyFill="1" applyFont="1" applyNumberFormat="1">
      <alignment shrinkToFit="0" vertical="top" wrapText="0"/>
    </xf>
    <xf borderId="10" fillId="4" fontId="26" numFmtId="0" xfId="0" applyAlignment="1" applyBorder="1" applyFill="1" applyFont="1">
      <alignment shrinkToFit="0" vertical="top" wrapText="1"/>
    </xf>
    <xf borderId="10" fillId="6" fontId="18" numFmtId="0" xfId="0" applyAlignment="1" applyBorder="1" applyFill="1" applyFont="1">
      <alignment horizontal="left" shrinkToFit="0" vertical="center" wrapText="1"/>
    </xf>
    <xf borderId="10" fillId="4" fontId="15" numFmtId="0" xfId="0" applyAlignment="1" applyBorder="1" applyFill="1" applyFont="1">
      <alignment horizontal="center" shrinkToFit="0" vertical="center" wrapText="1"/>
    </xf>
    <xf borderId="15" fillId="6" fontId="18" numFmtId="0" xfId="0" applyAlignment="1" applyBorder="1" applyFill="1" applyFont="1">
      <alignment horizontal="center" shrinkToFit="0" vertical="top" wrapText="1"/>
    </xf>
    <xf borderId="10" fillId="4" fontId="24" numFmtId="0" xfId="0" applyAlignment="1" applyBorder="1" applyFill="1" applyFont="1">
      <alignment shrinkToFit="0" vertical="bottom" wrapText="0"/>
    </xf>
    <xf borderId="10" fillId="2" fontId="17" numFmtId="167" xfId="0" applyAlignment="1" applyBorder="1" applyFill="1" applyFont="1" applyNumberFormat="1">
      <alignment shrinkToFit="0" vertical="top" wrapText="1"/>
    </xf>
    <xf borderId="10" fillId="2" fontId="17" numFmtId="170" xfId="0" applyAlignment="1" applyBorder="1" applyFill="1" applyFont="1" applyNumberFormat="1">
      <alignment shrinkToFit="0" vertical="top" wrapText="0"/>
    </xf>
    <xf borderId="10" fillId="2" fontId="25" numFmtId="166" xfId="0" applyAlignment="1" applyBorder="1" applyFill="1" applyFont="1" applyNumberFormat="1">
      <alignment horizontal="center" shrinkToFit="0" vertical="top" wrapText="1"/>
    </xf>
    <xf borderId="10" fillId="2" fontId="17" numFmtId="167" xfId="0" applyAlignment="1" applyBorder="1" applyFill="1" applyFont="1" applyNumberFormat="1">
      <alignment horizontal="center" shrinkToFit="0" vertical="top" wrapText="1"/>
    </xf>
    <xf borderId="10" fillId="2" fontId="27" numFmtId="0" xfId="0" applyAlignment="1" applyBorder="1" applyFill="1" applyFont="1">
      <alignment horizontal="center" shrinkToFit="0" vertical="top" wrapText="1"/>
    </xf>
    <xf borderId="10" fillId="8" fontId="22" numFmtId="4" xfId="0" applyAlignment="1" applyBorder="1" applyFill="1" applyFont="1" applyNumberFormat="1">
      <alignment horizontal="right" readingOrder="0" shrinkToFit="0" vertical="center" wrapText="0"/>
    </xf>
    <xf borderId="10" fillId="2" fontId="23" numFmtId="0" xfId="0" applyAlignment="1" applyBorder="1" applyFill="1" applyFont="1">
      <alignment horizontal="center" shrinkToFit="0" vertical="top" wrapText="0"/>
    </xf>
    <xf borderId="10" fillId="2" fontId="25" numFmtId="168" xfId="0" applyAlignment="1" applyBorder="1" applyFill="1" applyFont="1" applyNumberFormat="1">
      <alignment shrinkToFit="0" vertical="top" wrapText="1"/>
    </xf>
    <xf borderId="10" fillId="6" fontId="28" numFmtId="0" xfId="0" applyAlignment="1" applyBorder="1" applyFill="1" applyFont="1">
      <alignment horizontal="center" shrinkToFit="0" vertical="top" wrapText="1"/>
    </xf>
    <xf borderId="10" fillId="2" fontId="25" numFmtId="0" xfId="0" applyAlignment="1" applyBorder="1" applyFill="1" applyFont="1">
      <alignment shrinkToFit="0" vertical="top" wrapText="1"/>
    </xf>
    <xf borderId="10" fillId="6" fontId="23" numFmtId="167" xfId="0" applyAlignment="1" applyBorder="1" applyFill="1" applyFont="1" applyNumberFormat="1">
      <alignment horizontal="center" shrinkToFit="0" vertical="top" wrapText="1"/>
    </xf>
    <xf borderId="10" fillId="2" fontId="25" numFmtId="169" xfId="0" applyAlignment="1" applyBorder="1" applyFill="1" applyFont="1" applyNumberFormat="1">
      <alignment shrinkToFit="0" vertical="top" wrapText="1"/>
    </xf>
    <xf borderId="10" fillId="0" fontId="22" numFmtId="0" xfId="0" applyAlignment="1" applyBorder="1" applyFont="1">
      <alignment readingOrder="0" shrinkToFit="0" vertical="center" wrapText="0"/>
    </xf>
    <xf borderId="10" fillId="6" fontId="23" numFmtId="0" xfId="0" applyAlignment="1" applyBorder="1" applyFill="1" applyFont="1">
      <alignment horizontal="center" shrinkToFit="0" vertical="top" wrapText="0"/>
    </xf>
    <xf borderId="10" fillId="2" fontId="25" numFmtId="0" xfId="0" applyAlignment="1" applyBorder="1" applyFill="1" applyFont="1">
      <alignment horizontal="center" shrinkToFit="0" vertical="top" wrapText="1"/>
    </xf>
    <xf borderId="10" fillId="6" fontId="23" numFmtId="170" xfId="0" applyAlignment="1" applyBorder="1" applyFill="1" applyFont="1" applyNumberFormat="1">
      <alignment horizontal="center" shrinkToFit="0" vertical="top" wrapText="0"/>
    </xf>
    <xf borderId="10" fillId="2" fontId="29" numFmtId="0" xfId="0" applyAlignment="1" applyBorder="1" applyFill="1" applyFont="1">
      <alignment horizontal="center" shrinkToFit="0" vertical="top" wrapText="1"/>
    </xf>
    <xf borderId="10" fillId="6" fontId="23" numFmtId="0" xfId="0" applyAlignment="1" applyBorder="1" applyFill="1" applyFont="1">
      <alignment horizontal="center" shrinkToFit="0" vertical="top" wrapText="1"/>
    </xf>
    <xf borderId="10" fillId="7" fontId="5" numFmtId="4" xfId="0" applyAlignment="1" applyBorder="1" applyFill="1" applyFont="1" applyNumberFormat="1">
      <alignment horizontal="right" readingOrder="0" shrinkToFit="0" vertical="center" wrapText="0"/>
    </xf>
    <xf borderId="15" fillId="6" fontId="17" numFmtId="0" xfId="0" applyAlignment="1" applyBorder="1" applyFill="1" applyFont="1">
      <alignment horizontal="center" shrinkToFit="0" vertical="top" wrapText="1"/>
    </xf>
    <xf borderId="15" fillId="6" fontId="28" numFmtId="0" xfId="0" applyAlignment="1" applyBorder="1" applyFill="1" applyFont="1">
      <alignment horizontal="center" shrinkToFit="0" vertical="top" wrapText="1"/>
    </xf>
    <xf borderId="10" fillId="6" fontId="17" numFmtId="167" xfId="0" applyAlignment="1" applyBorder="1" applyFill="1" applyFont="1" applyNumberFormat="1">
      <alignment horizontal="center" shrinkToFit="0" vertical="top" wrapText="1"/>
    </xf>
    <xf borderId="0" fillId="0" fontId="30" numFmtId="0" xfId="0" applyFont="1"/>
    <xf borderId="10" fillId="2" fontId="17" numFmtId="0" xfId="0" applyAlignment="1" applyBorder="1" applyFill="1" applyFont="1">
      <alignment horizontal="center" shrinkToFit="0" vertical="center" wrapText="1"/>
    </xf>
    <xf borderId="10" fillId="2" fontId="31" numFmtId="0" xfId="0" applyAlignment="1" applyBorder="1" applyFill="1" applyFont="1">
      <alignment horizontal="center" shrinkToFit="0" vertical="top" wrapText="1"/>
    </xf>
    <xf borderId="10" fillId="2" fontId="18" numFmtId="0" xfId="0" applyAlignment="1" applyBorder="1" applyFill="1" applyFont="1">
      <alignment horizontal="center" shrinkToFit="0" vertical="center" wrapText="1"/>
    </xf>
    <xf borderId="10" fillId="2" fontId="25" numFmtId="168" xfId="0" applyAlignment="1" applyBorder="1" applyFill="1" applyFont="1" applyNumberFormat="1">
      <alignment horizontal="center" shrinkToFit="0" vertical="top" wrapText="1"/>
    </xf>
    <xf borderId="15" fillId="2" fontId="17" numFmtId="167" xfId="0" applyAlignment="1" applyBorder="1" applyFill="1" applyFont="1" applyNumberFormat="1">
      <alignment horizontal="center" shrinkToFit="0" vertical="top" wrapText="1"/>
    </xf>
    <xf borderId="15" fillId="2" fontId="18" numFmtId="0" xfId="0" applyAlignment="1" applyBorder="1" applyFill="1" applyFont="1">
      <alignment horizontal="center" shrinkToFit="0" vertical="center" wrapText="1"/>
    </xf>
    <xf borderId="15" fillId="2" fontId="17" numFmtId="0" xfId="0" applyAlignment="1" applyBorder="1" applyFill="1" applyFont="1">
      <alignment horizontal="center" shrinkToFit="0" vertical="top" wrapText="1"/>
    </xf>
    <xf borderId="10" fillId="4" fontId="24" numFmtId="166" xfId="0" applyAlignment="1" applyBorder="1" applyFill="1" applyFont="1" applyNumberFormat="1">
      <alignment shrinkToFit="0" vertical="center" wrapText="1"/>
    </xf>
    <xf borderId="10" fillId="4" fontId="24" numFmtId="170" xfId="0" applyAlignment="1" applyBorder="1" applyFill="1" applyFont="1" applyNumberFormat="1">
      <alignment shrinkToFit="0" vertical="top" wrapText="1"/>
    </xf>
    <xf borderId="10" fillId="4" fontId="26" numFmtId="170" xfId="0" applyAlignment="1" applyBorder="1" applyFill="1" applyFont="1" applyNumberFormat="1">
      <alignment shrinkToFit="0" vertical="top" wrapText="1"/>
    </xf>
    <xf borderId="10" fillId="4" fontId="25" numFmtId="0" xfId="0" applyAlignment="1" applyBorder="1" applyFill="1" applyFont="1">
      <alignment shrinkToFit="0" vertical="center" wrapText="1"/>
    </xf>
    <xf borderId="10" fillId="4" fontId="24" numFmtId="0" xfId="0" applyAlignment="1" applyBorder="1" applyFill="1" applyFont="1">
      <alignment shrinkToFit="0" vertical="center" wrapText="1"/>
    </xf>
    <xf borderId="9" fillId="5" fontId="32" numFmtId="166" xfId="0" applyAlignment="1" applyBorder="1" applyFill="1" applyFont="1" applyNumberFormat="1">
      <alignment horizontal="left" shrinkToFit="0" vertical="center" wrapText="1"/>
    </xf>
    <xf borderId="15" fillId="2" fontId="23" numFmtId="0" xfId="0" applyAlignment="1" applyBorder="1" applyFill="1" applyFont="1">
      <alignment horizontal="center" shrinkToFit="0" vertical="top" wrapText="1"/>
    </xf>
    <xf borderId="10" fillId="6" fontId="26" numFmtId="166" xfId="0" applyAlignment="1" applyBorder="1" applyFill="1" applyFont="1" applyNumberFormat="1">
      <alignment horizontal="left" shrinkToFit="0" vertical="center" wrapText="1"/>
    </xf>
    <xf borderId="10" fillId="6" fontId="26" numFmtId="166" xfId="0" applyAlignment="1" applyBorder="1" applyFill="1" applyFont="1" applyNumberFormat="1">
      <alignment horizontal="left" shrinkToFit="0" vertical="top" wrapText="1"/>
    </xf>
    <xf borderId="8" fillId="2" fontId="17" numFmtId="0" xfId="0" applyAlignment="1" applyBorder="1" applyFill="1" applyFont="1">
      <alignment horizontal="center" shrinkToFit="0" vertical="center" wrapText="1"/>
    </xf>
    <xf borderId="10" fillId="6" fontId="26" numFmtId="168" xfId="0" applyAlignment="1" applyBorder="1" applyFill="1" applyFont="1" applyNumberFormat="1">
      <alignment horizontal="center" shrinkToFit="0" vertical="top" wrapText="1"/>
    </xf>
    <xf borderId="8" fillId="2" fontId="23" numFmtId="0" xfId="0" applyAlignment="1" applyBorder="1" applyFill="1" applyFont="1">
      <alignment horizontal="center" shrinkToFit="0" vertical="center" wrapText="1"/>
    </xf>
    <xf borderId="10" fillId="2" fontId="23" numFmtId="0" xfId="0" applyAlignment="1" applyBorder="1" applyFill="1" applyFont="1">
      <alignment horizontal="center" shrinkToFit="0" vertical="center" wrapText="1"/>
    </xf>
    <xf borderId="10" fillId="6" fontId="26" numFmtId="169" xfId="0" applyAlignment="1" applyBorder="1" applyFill="1" applyFont="1" applyNumberFormat="1">
      <alignment horizontal="left" shrinkToFit="0" vertical="top" wrapText="1"/>
    </xf>
    <xf borderId="10" fillId="2" fontId="23" numFmtId="170" xfId="0" applyAlignment="1" applyBorder="1" applyFill="1" applyFont="1" applyNumberFormat="1">
      <alignment horizontal="center" shrinkToFit="0" vertical="center" wrapText="0"/>
    </xf>
    <xf borderId="10" fillId="2" fontId="17" numFmtId="170" xfId="0" applyAlignment="1" applyBorder="1" applyFill="1" applyFont="1" applyNumberFormat="1">
      <alignment horizontal="center" shrinkToFit="0" vertical="center" wrapText="0"/>
    </xf>
    <xf borderId="10" fillId="6" fontId="26" numFmtId="169" xfId="0" applyAlignment="1" applyBorder="1" applyFill="1" applyFont="1" applyNumberFormat="1">
      <alignment horizontal="center" shrinkToFit="0" vertical="top" wrapText="1"/>
    </xf>
    <xf borderId="10" fillId="2" fontId="26" numFmtId="166" xfId="0" applyAlignment="1" applyBorder="1" applyFill="1" applyFont="1" applyNumberFormat="1">
      <alignment horizontal="left" shrinkToFit="0" vertical="top" wrapText="1"/>
    </xf>
    <xf borderId="10" fillId="2" fontId="26" numFmtId="168" xfId="0" applyAlignment="1" applyBorder="1" applyFill="1" applyFont="1" applyNumberFormat="1">
      <alignment horizontal="center" shrinkToFit="0" vertical="top" wrapText="1"/>
    </xf>
    <xf borderId="10" fillId="2" fontId="26" numFmtId="169" xfId="0" applyAlignment="1" applyBorder="1" applyFill="1" applyFont="1" applyNumberFormat="1">
      <alignment horizontal="center" shrinkToFit="0" vertical="top" wrapText="1"/>
    </xf>
    <xf borderId="10" fillId="2" fontId="33" numFmtId="0" xfId="0" applyAlignment="1" applyBorder="1" applyFill="1" applyFont="1">
      <alignment shrinkToFit="0" vertical="top" wrapText="1"/>
    </xf>
    <xf borderId="10" fillId="2" fontId="34" numFmtId="166" xfId="0" applyAlignment="1" applyBorder="1" applyFill="1" applyFont="1" applyNumberFormat="1">
      <alignment horizontal="center" shrinkToFit="0" vertical="center" wrapText="1"/>
    </xf>
    <xf borderId="10" fillId="2" fontId="26" numFmtId="166" xfId="0" applyAlignment="1" applyBorder="1" applyFill="1" applyFont="1" applyNumberFormat="1">
      <alignment horizontal="center" shrinkToFit="0" vertical="top" wrapText="1"/>
    </xf>
    <xf borderId="10" fillId="2" fontId="26" numFmtId="170" xfId="0" applyAlignment="1" applyBorder="1" applyFill="1" applyFont="1" applyNumberFormat="1">
      <alignment shrinkToFit="0" vertical="top" wrapText="1"/>
    </xf>
    <xf borderId="10" fillId="2" fontId="10" numFmtId="0" xfId="0" applyAlignment="1" applyBorder="1" applyFill="1" applyFont="1">
      <alignment shrinkToFit="0" vertical="top" wrapText="1"/>
    </xf>
    <xf borderId="10" fillId="2" fontId="35" numFmtId="166" xfId="0" applyAlignment="1" applyBorder="1" applyFill="1" applyFont="1" applyNumberFormat="1">
      <alignment horizontal="center" shrinkToFit="0" vertical="center" wrapText="1"/>
    </xf>
    <xf borderId="10" fillId="2" fontId="23" numFmtId="170" xfId="0" applyAlignment="1" applyBorder="1" applyFill="1" applyFont="1" applyNumberFormat="1">
      <alignment horizontal="center" shrinkToFit="0" vertical="top" wrapText="0"/>
    </xf>
    <xf borderId="20" fillId="2" fontId="17" numFmtId="0" xfId="0" applyAlignment="1" applyBorder="1" applyFill="1" applyFont="1">
      <alignment horizontal="center" shrinkToFit="0" vertical="top" wrapText="1"/>
    </xf>
    <xf borderId="10" fillId="4" fontId="24" numFmtId="166" xfId="0" applyAlignment="1" applyBorder="1" applyFill="1" applyFont="1" applyNumberFormat="1">
      <alignment horizontal="left" shrinkToFit="0" vertical="top" wrapText="1"/>
    </xf>
    <xf borderId="20" fillId="2" fontId="23" numFmtId="0" xfId="0" applyAlignment="1" applyBorder="1" applyFill="1" applyFont="1">
      <alignment horizontal="center" shrinkToFit="0" vertical="top" wrapText="1"/>
    </xf>
    <xf borderId="10" fillId="4" fontId="26" numFmtId="166" xfId="0" applyAlignment="1" applyBorder="1" applyFill="1" applyFont="1" applyNumberFormat="1">
      <alignment horizontal="left" shrinkToFit="0" vertical="top" wrapText="1"/>
    </xf>
    <xf borderId="10" fillId="4" fontId="24" numFmtId="168" xfId="0" applyAlignment="1" applyBorder="1" applyFill="1" applyFont="1" applyNumberFormat="1">
      <alignment horizontal="center" shrinkToFit="0" vertical="top" wrapText="1"/>
    </xf>
    <xf borderId="10" fillId="4" fontId="16" numFmtId="169" xfId="0" applyAlignment="1" applyBorder="1" applyFill="1" applyFont="1" applyNumberFormat="1">
      <alignment shrinkToFit="0" vertical="top" wrapText="1"/>
    </xf>
    <xf borderId="10" fillId="4" fontId="26" numFmtId="166" xfId="0" applyAlignment="1" applyBorder="1" applyFill="1" applyFont="1" applyNumberFormat="1">
      <alignment shrinkToFit="0" vertical="top" wrapText="1"/>
    </xf>
    <xf borderId="10" fillId="4" fontId="16" numFmtId="0" xfId="0" applyAlignment="1" applyBorder="1" applyFill="1" applyFont="1">
      <alignment shrinkToFit="0" vertical="top" wrapText="1"/>
    </xf>
    <xf borderId="10" fillId="6" fontId="25" numFmtId="166" xfId="0" applyAlignment="1" applyBorder="1" applyFill="1" applyFont="1" applyNumberFormat="1">
      <alignment horizontal="center" shrinkToFit="0" vertical="top" wrapText="1"/>
    </xf>
    <xf borderId="10" fillId="6" fontId="25" numFmtId="0" xfId="0" applyAlignment="1" applyBorder="1" applyFill="1" applyFont="1">
      <alignment horizontal="center" shrinkToFit="0" vertical="top" wrapText="1"/>
    </xf>
    <xf borderId="15" fillId="2" fontId="23" numFmtId="170" xfId="0" applyAlignment="1" applyBorder="1" applyFill="1" applyFont="1" applyNumberFormat="1">
      <alignment horizontal="center" shrinkToFit="0" vertical="top" wrapText="0"/>
    </xf>
    <xf borderId="10" fillId="6" fontId="25" numFmtId="168" xfId="0" applyAlignment="1" applyBorder="1" applyFill="1" applyFont="1" applyNumberFormat="1">
      <alignment shrinkToFit="0" vertical="top" wrapText="1"/>
    </xf>
    <xf borderId="15" fillId="2" fontId="17" numFmtId="170" xfId="0" applyAlignment="1" applyBorder="1" applyFill="1" applyFont="1" applyNumberFormat="1">
      <alignment horizontal="center" shrinkToFit="0" vertical="top" wrapText="0"/>
    </xf>
    <xf borderId="8" fillId="6" fontId="15" numFmtId="166" xfId="0" applyAlignment="1" applyBorder="1" applyFill="1" applyFont="1" applyNumberFormat="1">
      <alignment horizontal="center" shrinkToFit="0" vertical="center" wrapText="1"/>
    </xf>
    <xf borderId="10" fillId="6" fontId="25" numFmtId="0" xfId="0" applyAlignment="1" applyBorder="1" applyFill="1" applyFont="1">
      <alignment shrinkToFit="0" vertical="top" wrapText="1"/>
    </xf>
    <xf borderId="15" fillId="2" fontId="23" numFmtId="0" xfId="0" applyAlignment="1" applyBorder="1" applyFill="1" applyFont="1">
      <alignment shrinkToFit="0" vertical="top" wrapText="1"/>
    </xf>
    <xf borderId="8" fillId="6" fontId="15" numFmtId="0" xfId="0" applyAlignment="1" applyBorder="1" applyFill="1" applyFont="1">
      <alignment horizontal="center" shrinkToFit="0" vertical="center" wrapText="1"/>
    </xf>
    <xf borderId="10" fillId="6" fontId="25" numFmtId="169" xfId="0" applyAlignment="1" applyBorder="1" applyFill="1" applyFont="1" applyNumberFormat="1">
      <alignment shrinkToFit="0" vertical="top" wrapText="1"/>
    </xf>
    <xf borderId="10" fillId="6" fontId="15" numFmtId="0" xfId="0" applyAlignment="1" applyBorder="1" applyFill="1" applyFont="1">
      <alignment shrinkToFit="0" vertical="center" wrapText="1"/>
    </xf>
    <xf borderId="0" fillId="4" fontId="14" numFmtId="0" xfId="0" applyAlignment="1" applyFill="1" applyFont="1">
      <alignment shrinkToFit="0" vertical="top" wrapText="0"/>
    </xf>
    <xf borderId="15" fillId="6" fontId="26" numFmtId="166" xfId="0" applyAlignment="1" applyBorder="1" applyFill="1" applyFont="1" applyNumberFormat="1">
      <alignment horizontal="center" shrinkToFit="0" vertical="top" wrapText="1"/>
    </xf>
    <xf borderId="10" fillId="6" fontId="15" numFmtId="168" xfId="0" applyAlignment="1" applyBorder="1" applyFill="1" applyFont="1" applyNumberFormat="1">
      <alignment shrinkToFit="0" vertical="center" wrapText="1"/>
    </xf>
    <xf borderId="21" fillId="4" fontId="14" numFmtId="0" xfId="0" applyAlignment="1" applyBorder="1" applyFill="1" applyFont="1">
      <alignment shrinkToFit="0" vertical="top" wrapText="0"/>
    </xf>
    <xf borderId="15" fillId="2" fontId="25" numFmtId="166" xfId="0" applyAlignment="1" applyBorder="1" applyFill="1" applyFont="1" applyNumberFormat="1">
      <alignment horizontal="center" shrinkToFit="0" vertical="top" wrapText="1"/>
    </xf>
    <xf borderId="10" fillId="6" fontId="15" numFmtId="2" xfId="0" applyAlignment="1" applyBorder="1" applyFill="1" applyFont="1" applyNumberFormat="1">
      <alignment shrinkToFit="0" vertical="center" wrapText="1"/>
    </xf>
    <xf borderId="22" fillId="4" fontId="14" numFmtId="0" xfId="0" applyAlignment="1" applyBorder="1" applyFill="1" applyFont="1">
      <alignment shrinkToFit="0" vertical="top" wrapText="0"/>
    </xf>
    <xf borderId="10" fillId="6" fontId="15" numFmtId="169" xfId="0" applyAlignment="1" applyBorder="1" applyFill="1" applyFont="1" applyNumberFormat="1">
      <alignment shrinkToFit="0" vertical="center" wrapText="1"/>
    </xf>
    <xf borderId="15" fillId="2" fontId="26" numFmtId="166" xfId="0" applyAlignment="1" applyBorder="1" applyFill="1" applyFont="1" applyNumberFormat="1">
      <alignment horizontal="center" shrinkToFit="0" vertical="top" wrapText="1"/>
    </xf>
    <xf borderId="8" fillId="6" fontId="25" numFmtId="0" xfId="0" applyAlignment="1" applyBorder="1" applyFill="1" applyFont="1">
      <alignment horizontal="center" shrinkToFit="0" vertical="center" wrapText="1"/>
    </xf>
    <xf borderId="10" fillId="2" fontId="21" numFmtId="0" xfId="0" applyAlignment="1" applyBorder="1" applyFill="1" applyFont="1">
      <alignment horizontal="center" shrinkToFit="0" vertical="top" wrapText="1"/>
    </xf>
    <xf borderId="10" fillId="6" fontId="26" numFmtId="168" xfId="0" applyAlignment="1" applyBorder="1" applyFill="1" applyFont="1" applyNumberFormat="1">
      <alignment shrinkToFit="0" vertical="top" wrapText="1"/>
    </xf>
    <xf borderId="10" fillId="6" fontId="26" numFmtId="170" xfId="0" applyAlignment="1" applyBorder="1" applyFill="1" applyFont="1" applyNumberFormat="1">
      <alignment shrinkToFit="0" vertical="top" wrapText="1"/>
    </xf>
    <xf borderId="22" fillId="4" fontId="14" numFmtId="2" xfId="0" applyAlignment="1" applyBorder="1" applyFill="1" applyFont="1" applyNumberFormat="1">
      <alignment shrinkToFit="0" vertical="top" wrapText="0"/>
    </xf>
    <xf borderId="10" fillId="6" fontId="16" numFmtId="0" xfId="0" applyAlignment="1" applyBorder="1" applyFill="1" applyFont="1">
      <alignment horizontal="center" shrinkToFit="0" vertical="top" wrapText="1"/>
    </xf>
    <xf borderId="15" fillId="2" fontId="15" numFmtId="166" xfId="0" applyAlignment="1" applyBorder="1" applyFill="1" applyFont="1" applyNumberFormat="1">
      <alignment horizontal="left" shrinkToFit="0" vertical="top" wrapText="1"/>
    </xf>
    <xf borderId="22" fillId="4" fontId="14" numFmtId="170" xfId="0" applyAlignment="1" applyBorder="1" applyFill="1" applyFont="1" applyNumberFormat="1">
      <alignment shrinkToFit="0" vertical="top" wrapText="0"/>
    </xf>
    <xf borderId="10" fillId="2" fontId="27" numFmtId="0" xfId="0" applyAlignment="1" applyBorder="1" applyFill="1" applyFont="1">
      <alignment horizontal="center" shrinkToFit="0" vertical="center" wrapText="1"/>
    </xf>
    <xf borderId="22" fillId="4" fontId="23" numFmtId="0" xfId="0" applyAlignment="1" applyBorder="1" applyFill="1" applyFont="1">
      <alignment shrinkToFit="0" vertical="top" wrapText="1"/>
    </xf>
    <xf borderId="10" fillId="2" fontId="26" numFmtId="168" xfId="0" applyAlignment="1" applyBorder="1" applyFill="1" applyFont="1" applyNumberFormat="1">
      <alignment shrinkToFit="0" vertical="top" wrapText="1"/>
    </xf>
    <xf borderId="22" fillId="4" fontId="17" numFmtId="0" xfId="0" applyAlignment="1" applyBorder="1" applyFill="1" applyFont="1">
      <alignment horizontal="center" shrinkToFit="0" vertical="center" wrapText="1"/>
    </xf>
    <xf borderId="23" fillId="4" fontId="23" numFmtId="0" xfId="0" applyAlignment="1" applyBorder="1" applyFill="1" applyFont="1">
      <alignment shrinkToFit="0" vertical="bottom" wrapText="0"/>
    </xf>
    <xf borderId="10" fillId="2" fontId="16" numFmtId="0" xfId="0" applyAlignment="1" applyBorder="1" applyFill="1" applyFont="1">
      <alignment horizontal="center" shrinkToFit="0" vertical="top" wrapText="1"/>
    </xf>
    <xf borderId="24" fillId="5" fontId="14" numFmtId="0" xfId="0" applyAlignment="1" applyBorder="1" applyFill="1" applyFont="1">
      <alignment horizontal="left" shrinkToFit="0" vertical="center" wrapText="1"/>
    </xf>
    <xf borderId="8" fillId="6" fontId="15" numFmtId="166" xfId="0" applyAlignment="1" applyBorder="1" applyFill="1" applyFont="1" applyNumberFormat="1">
      <alignment horizontal="left" shrinkToFit="0" vertical="top" wrapText="1"/>
    </xf>
    <xf borderId="10" fillId="4" fontId="36" numFmtId="166" xfId="0" applyAlignment="1" applyBorder="1" applyFill="1" applyFont="1" applyNumberFormat="1">
      <alignment horizontal="left" shrinkToFit="0" vertical="center" wrapText="1"/>
    </xf>
    <xf borderId="25" fillId="0" fontId="4" numFmtId="0" xfId="0" applyBorder="1" applyFont="1"/>
    <xf borderId="15" fillId="6" fontId="15" numFmtId="0" xfId="0" applyAlignment="1" applyBorder="1" applyFill="1" applyFont="1">
      <alignment horizontal="left" shrinkToFit="0" vertical="top" wrapText="1"/>
    </xf>
    <xf borderId="10" fillId="4" fontId="26" numFmtId="166" xfId="0" applyAlignment="1" applyBorder="1" applyFill="1" applyFont="1" applyNumberFormat="1">
      <alignment horizontal="left" shrinkToFit="0" vertical="center" wrapText="1"/>
    </xf>
    <xf borderId="10" fillId="4" fontId="24" numFmtId="168" xfId="0" applyAlignment="1" applyBorder="1" applyFill="1" applyFont="1" applyNumberFormat="1">
      <alignment shrinkToFit="0" vertical="center" wrapText="1"/>
    </xf>
    <xf borderId="8" fillId="6" fontId="15" numFmtId="0" xfId="0" applyAlignment="1" applyBorder="1" applyFill="1" applyFont="1">
      <alignment horizontal="left" shrinkToFit="0" vertical="center" wrapText="1"/>
    </xf>
    <xf borderId="0" fillId="6" fontId="23" numFmtId="0" xfId="0" applyAlignment="1" applyFill="1" applyFont="1">
      <alignment horizontal="center" readingOrder="0" shrinkToFit="0" vertical="top" wrapText="1"/>
    </xf>
    <xf borderId="10" fillId="4" fontId="16" numFmtId="169" xfId="0" applyAlignment="1" applyBorder="1" applyFill="1" applyFont="1" applyNumberFormat="1">
      <alignment shrinkToFit="0" vertical="center" wrapText="1"/>
    </xf>
    <xf borderId="20" fillId="6" fontId="15" numFmtId="0" xfId="0" applyAlignment="1" applyBorder="1" applyFill="1" applyFont="1">
      <alignment horizontal="left" shrinkToFit="0" vertical="top" wrapText="1"/>
    </xf>
    <xf borderId="10" fillId="4" fontId="24" numFmtId="170" xfId="0" applyAlignment="1" applyBorder="1" applyFill="1" applyFont="1" applyNumberFormat="1">
      <alignment shrinkToFit="0" vertical="center" wrapText="1"/>
    </xf>
    <xf borderId="10" fillId="6" fontId="23" numFmtId="170" xfId="0" applyAlignment="1" applyBorder="1" applyFill="1" applyFont="1" applyNumberFormat="1">
      <alignment shrinkToFit="0" vertical="top" wrapText="1"/>
    </xf>
    <xf borderId="10" fillId="4" fontId="26" numFmtId="166" xfId="0" applyAlignment="1" applyBorder="1" applyFill="1" applyFont="1" applyNumberFormat="1">
      <alignment shrinkToFit="0" vertical="center" wrapText="1"/>
    </xf>
    <xf borderId="0" fillId="2" fontId="17" numFmtId="0" xfId="0" applyAlignment="1" applyFill="1" applyFont="1">
      <alignment horizontal="center" readingOrder="0" shrinkToFit="0" vertical="top" wrapText="1"/>
    </xf>
    <xf borderId="10" fillId="4" fontId="16" numFmtId="0" xfId="0" applyAlignment="1" applyBorder="1" applyFill="1" applyFont="1">
      <alignment shrinkToFit="0" vertical="center" wrapText="1"/>
    </xf>
    <xf borderId="20" fillId="2" fontId="15" numFmtId="166" xfId="0" applyAlignment="1" applyBorder="1" applyFill="1" applyFont="1" applyNumberFormat="1">
      <alignment horizontal="left" shrinkToFit="0" vertical="top" wrapText="1"/>
    </xf>
    <xf borderId="0" fillId="6" fontId="17" numFmtId="0" xfId="0" applyAlignment="1" applyFill="1" applyFont="1">
      <alignment horizontal="center" readingOrder="0" shrinkToFit="0" vertical="top" wrapText="1"/>
    </xf>
    <xf borderId="10" fillId="4" fontId="24" numFmtId="0" xfId="0" applyAlignment="1" applyBorder="1" applyFill="1" applyFont="1">
      <alignment shrinkToFit="0" vertical="bottom" wrapText="1"/>
    </xf>
    <xf borderId="20" fillId="2" fontId="15" numFmtId="0" xfId="0" applyAlignment="1" applyBorder="1" applyFill="1" applyFont="1">
      <alignment horizontal="left" shrinkToFit="0" vertical="top" wrapText="1"/>
    </xf>
    <xf borderId="10" fillId="6" fontId="17" numFmtId="171" xfId="0" applyAlignment="1" applyBorder="1" applyFill="1" applyFont="1" applyNumberFormat="1">
      <alignment shrinkToFit="0" vertical="top" wrapText="1"/>
    </xf>
    <xf borderId="10" fillId="2" fontId="37" numFmtId="0" xfId="0" applyAlignment="1" applyBorder="1" applyFill="1" applyFont="1">
      <alignment horizontal="center" shrinkToFit="0" vertical="top" wrapText="1"/>
    </xf>
    <xf borderId="10" fillId="4" fontId="24" numFmtId="168" xfId="0" applyAlignment="1" applyBorder="1" applyFill="1" applyFont="1" applyNumberFormat="1">
      <alignment shrinkToFit="0" vertical="bottom" wrapText="0"/>
    </xf>
    <xf borderId="10" fillId="6" fontId="17" numFmtId="170" xfId="0" applyAlignment="1" applyBorder="1" applyFill="1" applyFont="1" applyNumberFormat="1">
      <alignment shrinkToFit="0" vertical="top" wrapText="1"/>
    </xf>
    <xf borderId="20" fillId="2" fontId="15" numFmtId="0" xfId="0" applyAlignment="1" applyBorder="1" applyFill="1" applyFont="1">
      <alignment horizontal="center" shrinkToFit="0" vertical="center" wrapText="1"/>
    </xf>
    <xf borderId="10" fillId="4" fontId="24" numFmtId="169" xfId="0" applyAlignment="1" applyBorder="1" applyFill="1" applyFont="1" applyNumberFormat="1">
      <alignment shrinkToFit="0" vertical="bottom" wrapText="0"/>
    </xf>
    <xf borderId="20" fillId="2" fontId="15" numFmtId="0" xfId="0" applyAlignment="1" applyBorder="1" applyFill="1" applyFont="1">
      <alignment horizontal="left" shrinkToFit="0" vertical="center" wrapText="1"/>
    </xf>
    <xf borderId="10" fillId="4" fontId="24" numFmtId="170" xfId="0" applyAlignment="1" applyBorder="1" applyFill="1" applyFont="1" applyNumberFormat="1">
      <alignment shrinkToFit="0" vertical="bottom" wrapText="0"/>
    </xf>
    <xf borderId="10" fillId="2" fontId="19" numFmtId="0" xfId="0" applyAlignment="1" applyBorder="1" applyFill="1" applyFont="1">
      <alignment horizontal="left" shrinkToFit="0" vertical="top" wrapText="1"/>
    </xf>
    <xf borderId="10" fillId="2" fontId="38" numFmtId="0" xfId="0" applyAlignment="1" applyBorder="1" applyFill="1" applyFont="1">
      <alignment horizontal="center" shrinkToFit="0" vertical="top" wrapText="1"/>
    </xf>
    <xf borderId="15" fillId="2" fontId="38" numFmtId="0" xfId="0" applyAlignment="1" applyBorder="1" applyFill="1" applyFont="1">
      <alignment horizontal="center" shrinkToFit="0" vertical="top" wrapText="1"/>
    </xf>
    <xf borderId="20" fillId="6" fontId="16" numFmtId="0" xfId="0" applyAlignment="1" applyBorder="1" applyFill="1" applyFont="1">
      <alignment horizontal="left" shrinkToFit="0" vertical="top" wrapText="1"/>
    </xf>
    <xf borderId="15" fillId="2" fontId="17" numFmtId="0" xfId="0" applyAlignment="1" applyBorder="1" applyFill="1" applyFont="1">
      <alignment horizontal="left" shrinkToFit="0" vertical="top" wrapText="1"/>
    </xf>
    <xf borderId="0" fillId="0" fontId="39" numFmtId="0" xfId="0" applyAlignment="1" applyFont="1">
      <alignment shrinkToFit="0" vertical="bottom" wrapText="0"/>
    </xf>
    <xf borderId="0" fillId="4" fontId="14" numFmtId="0" xfId="0" applyAlignment="1" applyFill="1" applyFont="1">
      <alignment horizontal="left" readingOrder="0" shrinkToFit="0" vertical="center" wrapText="1"/>
    </xf>
    <xf borderId="20" fillId="2" fontId="19" numFmtId="0" xfId="0" applyAlignment="1" applyBorder="1" applyFill="1" applyFont="1">
      <alignment horizontal="left" shrinkToFit="0" vertical="top" wrapText="1"/>
    </xf>
    <xf borderId="26" fillId="4" fontId="14" numFmtId="167" xfId="0" applyAlignment="1" applyBorder="1" applyFill="1" applyFont="1" applyNumberFormat="1">
      <alignment horizontal="left" shrinkToFit="0" vertical="center" wrapText="1"/>
    </xf>
    <xf borderId="27" fillId="0" fontId="4" numFmtId="0" xfId="0" applyBorder="1" applyFont="1"/>
    <xf borderId="28" fillId="0" fontId="4" numFmtId="0" xfId="0" applyBorder="1" applyFont="1"/>
    <xf borderId="22" fillId="4" fontId="14" numFmtId="2" xfId="0" applyAlignment="1" applyBorder="1" applyFill="1" applyFont="1" applyNumberFormat="1">
      <alignment shrinkToFit="0" vertical="top" wrapText="1"/>
    </xf>
    <xf borderId="22" fillId="4" fontId="14" numFmtId="170" xfId="0" applyAlignment="1" applyBorder="1" applyFill="1" applyFont="1" applyNumberFormat="1">
      <alignment shrinkToFit="0" vertical="top" wrapText="1"/>
    </xf>
    <xf borderId="22" fillId="4" fontId="17" numFmtId="170" xfId="0" applyAlignment="1" applyBorder="1" applyFill="1" applyFont="1" applyNumberFormat="1">
      <alignment shrinkToFit="0" vertical="top" wrapText="1"/>
    </xf>
    <xf borderId="22" fillId="4" fontId="17" numFmtId="0" xfId="0" applyAlignment="1" applyBorder="1" applyFill="1" applyFont="1">
      <alignment shrinkToFit="0" vertical="center" wrapText="1"/>
    </xf>
    <xf borderId="23" fillId="4" fontId="17" numFmtId="0" xfId="0" applyAlignment="1" applyBorder="1" applyFill="1" applyFont="1">
      <alignment shrinkToFit="0" vertical="center" wrapText="1"/>
    </xf>
    <xf borderId="0" fillId="5" fontId="14" numFmtId="167" xfId="0" applyAlignment="1" applyFill="1" applyFont="1" applyNumberFormat="1">
      <alignment horizontal="left" shrinkToFit="0" vertical="center" wrapText="1"/>
    </xf>
    <xf borderId="24" fillId="5" fontId="14" numFmtId="167" xfId="0" applyAlignment="1" applyBorder="1" applyFill="1" applyFont="1" applyNumberFormat="1">
      <alignment horizontal="left" shrinkToFit="0" vertical="center" wrapText="1"/>
    </xf>
    <xf borderId="0" fillId="9" fontId="23" numFmtId="0" xfId="0" applyAlignment="1" applyFill="1" applyFont="1">
      <alignment horizontal="center" readingOrder="0" shrinkToFit="0" vertical="top" wrapText="1"/>
    </xf>
    <xf borderId="10" fillId="9" fontId="23" numFmtId="167" xfId="0" applyAlignment="1" applyBorder="1" applyFill="1" applyFont="1" applyNumberFormat="1">
      <alignment horizontal="center" shrinkToFit="0" vertical="top" wrapText="1"/>
    </xf>
    <xf borderId="10" fillId="9" fontId="28" numFmtId="167" xfId="0" applyAlignment="1" applyBorder="1" applyFill="1" applyFont="1" applyNumberFormat="1">
      <alignment horizontal="center" shrinkToFit="0" vertical="top" wrapText="1"/>
    </xf>
    <xf borderId="10" fillId="9" fontId="23" numFmtId="167" xfId="0" applyAlignment="1" applyBorder="1" applyFill="1" applyFont="1" applyNumberFormat="1">
      <alignment horizontal="left" shrinkToFit="0" vertical="top" wrapText="1"/>
    </xf>
    <xf borderId="10" fillId="9" fontId="23" numFmtId="2" xfId="0" applyAlignment="1" applyBorder="1" applyFill="1" applyFont="1" applyNumberFormat="1">
      <alignment shrinkToFit="0" vertical="top" wrapText="1"/>
    </xf>
    <xf borderId="10" fillId="9" fontId="17" numFmtId="170" xfId="0" applyAlignment="1" applyBorder="1" applyFill="1" applyFont="1" applyNumberFormat="1">
      <alignment shrinkToFit="0" vertical="top" wrapText="1"/>
    </xf>
    <xf borderId="15" fillId="9" fontId="17" numFmtId="0" xfId="0" applyAlignment="1" applyBorder="1" applyFill="1" applyFont="1">
      <alignment horizontal="left" shrinkToFit="0" vertical="top" wrapText="1"/>
    </xf>
    <xf borderId="10" fillId="9" fontId="17" numFmtId="0" xfId="0" applyAlignment="1" applyBorder="1" applyFill="1" applyFont="1">
      <alignment horizontal="center" shrinkToFit="0" vertical="top" wrapText="1"/>
    </xf>
    <xf borderId="10" fillId="9" fontId="17" numFmtId="0" xfId="0" applyAlignment="1" applyBorder="1" applyFill="1" applyFont="1">
      <alignment horizontal="left" shrinkToFit="0" vertical="top" wrapText="1"/>
    </xf>
    <xf borderId="19" fillId="2" fontId="19" numFmtId="0" xfId="0" applyAlignment="1" applyBorder="1" applyFill="1" applyFont="1">
      <alignment horizontal="left" shrinkToFit="0" vertical="top" wrapText="1"/>
    </xf>
    <xf borderId="0" fillId="2" fontId="23" numFmtId="0" xfId="0" applyAlignment="1" applyFill="1" applyFont="1">
      <alignment horizontal="center" readingOrder="0" shrinkToFit="0" vertical="top" wrapText="1"/>
    </xf>
    <xf borderId="15" fillId="2" fontId="15" numFmtId="0" xfId="0" applyAlignment="1" applyBorder="1" applyFill="1" applyFont="1">
      <alignment shrinkToFit="0" vertical="top" wrapText="1"/>
    </xf>
    <xf borderId="10" fillId="2" fontId="23" numFmtId="167" xfId="0" applyAlignment="1" applyBorder="1" applyFill="1" applyFont="1" applyNumberFormat="1">
      <alignment horizontal="center" shrinkToFit="0" vertical="top" wrapText="1"/>
    </xf>
    <xf borderId="10" fillId="2" fontId="23" numFmtId="167" xfId="0" applyAlignment="1" applyBorder="1" applyFill="1" applyFont="1" applyNumberFormat="1">
      <alignment horizontal="left" shrinkToFit="0" vertical="top" wrapText="1"/>
    </xf>
    <xf borderId="15" fillId="2" fontId="15" numFmtId="168" xfId="0" applyAlignment="1" applyBorder="1" applyFill="1" applyFont="1" applyNumberFormat="1">
      <alignment shrinkToFit="0" vertical="top" wrapText="1"/>
    </xf>
    <xf borderId="10" fillId="2" fontId="23" numFmtId="2" xfId="0" applyAlignment="1" applyBorder="1" applyFill="1" applyFont="1" applyNumberFormat="1">
      <alignment shrinkToFit="0" vertical="top" wrapText="1"/>
    </xf>
    <xf borderId="0" fillId="0" fontId="2" numFmtId="0" xfId="0" applyAlignment="1" applyFont="1">
      <alignment horizontal="center" shrinkToFit="0" vertical="bottom" wrapText="0"/>
    </xf>
    <xf borderId="15" fillId="2" fontId="15" numFmtId="2" xfId="0" applyAlignment="1" applyBorder="1" applyFill="1" applyFont="1" applyNumberFormat="1">
      <alignment shrinkToFit="0" vertical="top" wrapText="1"/>
    </xf>
    <xf borderId="10" fillId="2" fontId="23" numFmtId="170" xfId="0" applyAlignment="1" applyBorder="1" applyFill="1" applyFont="1" applyNumberFormat="1">
      <alignment shrinkToFit="0" vertical="top" wrapText="1"/>
    </xf>
    <xf borderId="15" fillId="2" fontId="15" numFmtId="169" xfId="0" applyAlignment="1" applyBorder="1" applyFill="1" applyFont="1" applyNumberFormat="1">
      <alignment shrinkToFit="0" vertical="top" wrapText="1"/>
    </xf>
    <xf borderId="0" fillId="0" fontId="2" numFmtId="165" xfId="0" applyAlignment="1" applyFont="1" applyNumberFormat="1">
      <alignment horizontal="center" shrinkToFit="0" vertical="bottom" wrapText="0"/>
    </xf>
    <xf borderId="10" fillId="2" fontId="23" numFmtId="167" xfId="0" applyAlignment="1" applyBorder="1" applyFill="1" applyFont="1" applyNumberFormat="1">
      <alignment shrinkToFit="0" vertical="top" wrapText="1"/>
    </xf>
    <xf borderId="29" fillId="0" fontId="9" numFmtId="0" xfId="0" applyAlignment="1" applyBorder="1" applyFont="1">
      <alignment horizontal="center" shrinkToFit="0" vertical="bottom" wrapText="0"/>
    </xf>
    <xf borderId="30" fillId="2" fontId="17" numFmtId="0" xfId="0" applyAlignment="1" applyBorder="1" applyFill="1" applyFont="1">
      <alignment shrinkToFit="0" vertical="top" wrapText="1"/>
    </xf>
    <xf borderId="15" fillId="2" fontId="25" numFmtId="0" xfId="0" applyAlignment="1" applyBorder="1" applyFill="1" applyFont="1">
      <alignment horizontal="center" shrinkToFit="0" vertical="top" wrapText="1"/>
    </xf>
    <xf borderId="21" fillId="4" fontId="24" numFmtId="166" xfId="0" applyAlignment="1" applyBorder="1" applyFill="1" applyFont="1" applyNumberFormat="1">
      <alignment horizontal="center" shrinkToFit="0" vertical="top" wrapText="1"/>
    </xf>
    <xf borderId="31" fillId="4" fontId="26" numFmtId="0" xfId="0" applyAlignment="1" applyBorder="1" applyFill="1" applyFont="1">
      <alignment shrinkToFit="0" vertical="bottom" wrapText="0"/>
    </xf>
    <xf borderId="29" fillId="0" fontId="4" numFmtId="0" xfId="0" applyBorder="1" applyFont="1"/>
    <xf borderId="22" fillId="4" fontId="24" numFmtId="168" xfId="0" applyAlignment="1" applyBorder="1" applyFill="1" applyFont="1" applyNumberFormat="1">
      <alignment shrinkToFit="0" vertical="top" wrapText="1"/>
    </xf>
    <xf borderId="15" fillId="2" fontId="23" numFmtId="167" xfId="0" applyAlignment="1" applyBorder="1" applyFill="1" applyFont="1" applyNumberFormat="1">
      <alignment horizontal="center" shrinkToFit="0" vertical="top" wrapText="1"/>
    </xf>
    <xf borderId="22" fillId="4" fontId="24" numFmtId="169" xfId="0" applyAlignment="1" applyBorder="1" applyFill="1" applyFont="1" applyNumberFormat="1">
      <alignment shrinkToFit="0" vertical="top" wrapText="1"/>
    </xf>
    <xf borderId="15" fillId="2" fontId="23" numFmtId="167" xfId="0" applyAlignment="1" applyBorder="1" applyFill="1" applyFont="1" applyNumberFormat="1">
      <alignment horizontal="left" shrinkToFit="0" vertical="top" wrapText="1"/>
    </xf>
    <xf borderId="10" fillId="2" fontId="40" numFmtId="0" xfId="0" applyAlignment="1" applyBorder="1" applyFill="1" applyFont="1">
      <alignment horizontal="left" shrinkToFit="0" vertical="center" wrapText="1"/>
    </xf>
    <xf borderId="10" fillId="2" fontId="40" numFmtId="0" xfId="0" applyAlignment="1" applyBorder="1" applyFill="1" applyFont="1">
      <alignment horizontal="left" shrinkToFit="0" vertical="top" wrapText="1"/>
    </xf>
    <xf borderId="22" fillId="4" fontId="24" numFmtId="0" xfId="0" applyAlignment="1" applyBorder="1" applyFill="1" applyFont="1">
      <alignment shrinkToFit="0" vertical="top" wrapText="1"/>
    </xf>
    <xf borderId="15" fillId="2" fontId="23" numFmtId="2" xfId="0" applyAlignment="1" applyBorder="1" applyFill="1" applyFont="1" applyNumberFormat="1">
      <alignment shrinkToFit="0" vertical="top" wrapText="1"/>
    </xf>
    <xf borderId="10" fillId="2" fontId="40" numFmtId="0" xfId="0" applyAlignment="1" applyBorder="1" applyFill="1" applyFont="1">
      <alignment horizontal="right" shrinkToFit="0" vertical="top" wrapText="1"/>
    </xf>
    <xf borderId="23" fillId="4" fontId="24" numFmtId="0" xfId="0" applyAlignment="1" applyBorder="1" applyFill="1" applyFont="1">
      <alignment shrinkToFit="0" vertical="top" wrapText="1"/>
    </xf>
    <xf borderId="0" fillId="4" fontId="14" numFmtId="0" xfId="0" applyAlignment="1" applyFill="1" applyFont="1">
      <alignment horizontal="left" readingOrder="0" shrinkToFit="0" vertical="top" wrapText="1"/>
    </xf>
    <xf borderId="10" fillId="2" fontId="40" numFmtId="169" xfId="0" applyAlignment="1" applyBorder="1" applyFill="1" applyFont="1" applyNumberFormat="1">
      <alignment horizontal="left" shrinkToFit="0" vertical="top" wrapText="1"/>
    </xf>
    <xf borderId="24" fillId="5" fontId="13" numFmtId="0" xfId="0" applyAlignment="1" applyBorder="1" applyFill="1" applyFont="1">
      <alignment horizontal="left" shrinkToFit="0" vertical="center" wrapText="1"/>
    </xf>
    <xf borderId="21" fillId="4" fontId="14" numFmtId="167" xfId="0" applyAlignment="1" applyBorder="1" applyFill="1" applyFont="1" applyNumberFormat="1">
      <alignment horizontal="left" shrinkToFit="0" vertical="top" wrapText="1"/>
    </xf>
    <xf borderId="10" fillId="2" fontId="41" numFmtId="0" xfId="0" applyAlignment="1" applyBorder="1" applyFill="1" applyFont="1">
      <alignment horizontal="left" shrinkToFit="0" vertical="center" wrapText="1"/>
    </xf>
    <xf borderId="22" fillId="4" fontId="14" numFmtId="167" xfId="0" applyAlignment="1" applyBorder="1" applyFill="1" applyFont="1" applyNumberFormat="1">
      <alignment horizontal="left" shrinkToFit="0" vertical="top" wrapText="1"/>
    </xf>
    <xf borderId="10" fillId="2" fontId="41" numFmtId="0" xfId="0" applyAlignment="1" applyBorder="1" applyFill="1" applyFont="1">
      <alignment horizontal="left" shrinkToFit="0" vertical="top" wrapText="1"/>
    </xf>
    <xf borderId="10" fillId="2" fontId="42" numFmtId="0" xfId="0" applyAlignment="1" applyBorder="1" applyFill="1" applyFont="1">
      <alignment shrinkToFit="0" vertical="top" wrapText="1"/>
    </xf>
    <xf borderId="22" fillId="4" fontId="14" numFmtId="167" xfId="0" applyAlignment="1" applyBorder="1" applyFill="1" applyFont="1" applyNumberFormat="1">
      <alignment shrinkToFit="0" vertical="top" wrapText="1"/>
    </xf>
    <xf borderId="10" fillId="2" fontId="41" numFmtId="2" xfId="0" applyAlignment="1" applyBorder="1" applyFill="1" applyFont="1" applyNumberFormat="1">
      <alignment horizontal="right" shrinkToFit="0" vertical="top" wrapText="1"/>
    </xf>
    <xf borderId="23" fillId="4" fontId="14" numFmtId="167" xfId="0" applyAlignment="1" applyBorder="1" applyFill="1" applyFont="1" applyNumberFormat="1">
      <alignment horizontal="left" shrinkToFit="0" vertical="center" wrapText="1"/>
    </xf>
    <xf borderId="10" fillId="2" fontId="41" numFmtId="169" xfId="0" applyAlignment="1" applyBorder="1" applyFill="1" applyFont="1" applyNumberFormat="1">
      <alignment horizontal="left" shrinkToFit="0" vertical="top" wrapText="1"/>
    </xf>
    <xf borderId="10" fillId="2" fontId="18" numFmtId="167" xfId="0" applyAlignment="1" applyBorder="1" applyFill="1" applyFont="1" applyNumberFormat="1">
      <alignment horizontal="center" shrinkToFit="0" vertical="top" wrapText="1"/>
    </xf>
    <xf borderId="8" fillId="2" fontId="15" numFmtId="167" xfId="0" applyAlignment="1" applyBorder="1" applyFill="1" applyFont="1" applyNumberFormat="1">
      <alignment horizontal="left" shrinkToFit="0" vertical="top" wrapText="1"/>
    </xf>
    <xf borderId="8" fillId="2" fontId="15" numFmtId="0" xfId="0" applyAlignment="1" applyBorder="1" applyFill="1" applyFont="1">
      <alignment horizontal="left" shrinkToFit="0" vertical="top" wrapText="1"/>
    </xf>
    <xf borderId="10" fillId="4" fontId="26" numFmtId="0" xfId="0" applyAlignment="1" applyBorder="1" applyFill="1" applyFont="1">
      <alignment shrinkToFit="0" vertical="bottom" wrapText="0"/>
    </xf>
    <xf borderId="10" fillId="2" fontId="14" numFmtId="2" xfId="0" applyAlignment="1" applyBorder="1" applyFill="1" applyFont="1" applyNumberFormat="1">
      <alignment shrinkToFit="0" vertical="top" wrapText="1"/>
    </xf>
    <xf borderId="10" fillId="2" fontId="14" numFmtId="170" xfId="0" applyAlignment="1" applyBorder="1" applyFill="1" applyFont="1" applyNumberFormat="1">
      <alignment shrinkToFit="0" vertical="top" wrapText="1"/>
    </xf>
    <xf borderId="8" fillId="2" fontId="15" numFmtId="169" xfId="0" applyAlignment="1" applyBorder="1" applyFill="1" applyFont="1" applyNumberFormat="1">
      <alignment horizontal="center" shrinkToFit="0" vertical="top" wrapText="1"/>
    </xf>
    <xf borderId="10" fillId="6" fontId="43" numFmtId="0" xfId="0" applyAlignment="1" applyBorder="1" applyFill="1" applyFont="1">
      <alignment horizontal="center" shrinkToFit="0" vertical="top" wrapText="1"/>
    </xf>
    <xf borderId="15" fillId="2" fontId="18" numFmtId="167" xfId="0" applyAlignment="1" applyBorder="1" applyFill="1" applyFont="1" applyNumberFormat="1">
      <alignment horizontal="center" shrinkToFit="0" vertical="top" wrapText="1"/>
    </xf>
    <xf borderId="8" fillId="2" fontId="25" numFmtId="0" xfId="0" applyAlignment="1" applyBorder="1" applyFill="1" applyFont="1">
      <alignment horizontal="left" shrinkToFit="0" vertical="top" wrapText="1"/>
    </xf>
    <xf borderId="10" fillId="2" fontId="25" numFmtId="166" xfId="0" applyAlignment="1" applyBorder="1" applyFill="1" applyFont="1" applyNumberFormat="1">
      <alignment horizontal="left" shrinkToFit="0" vertical="top" wrapText="1"/>
    </xf>
    <xf borderId="15" fillId="2" fontId="14" numFmtId="170" xfId="0" applyAlignment="1" applyBorder="1" applyFill="1" applyFont="1" applyNumberFormat="1">
      <alignment shrinkToFit="0" vertical="top" wrapText="1"/>
    </xf>
    <xf borderId="10" fillId="6" fontId="25" numFmtId="166" xfId="0" applyAlignment="1" applyBorder="1" applyFill="1" applyFont="1" applyNumberFormat="1">
      <alignment horizontal="left" shrinkToFit="0" vertical="top" wrapText="1"/>
    </xf>
    <xf borderId="10" fillId="4" fontId="14" numFmtId="167" xfId="0" applyAlignment="1" applyBorder="1" applyFill="1" applyFont="1" applyNumberFormat="1">
      <alignment horizontal="left" shrinkToFit="0" vertical="center" wrapText="1"/>
    </xf>
    <xf borderId="10" fillId="6" fontId="15" numFmtId="167" xfId="0" applyAlignment="1" applyBorder="1" applyFill="1" applyFont="1" applyNumberFormat="1">
      <alignment horizontal="left" shrinkToFit="0" vertical="top" wrapText="1"/>
    </xf>
    <xf borderId="10" fillId="4" fontId="23" numFmtId="167" xfId="0" applyAlignment="1" applyBorder="1" applyFill="1" applyFont="1" applyNumberFormat="1">
      <alignment horizontal="left" shrinkToFit="0" vertical="center" wrapText="1"/>
    </xf>
    <xf borderId="0" fillId="0" fontId="26" numFmtId="0" xfId="0" applyAlignment="1" applyFont="1">
      <alignment shrinkToFit="0" vertical="center" wrapText="1"/>
    </xf>
    <xf borderId="10" fillId="4" fontId="14" numFmtId="2" xfId="0" applyAlignment="1" applyBorder="1" applyFill="1" applyFont="1" applyNumberFormat="1">
      <alignment shrinkToFit="0" vertical="center" wrapText="1"/>
    </xf>
    <xf borderId="10" fillId="6" fontId="44" numFmtId="0" xfId="0" applyAlignment="1" applyBorder="1" applyFill="1" applyFont="1">
      <alignment horizontal="center" shrinkToFit="0" vertical="top" wrapText="1"/>
    </xf>
    <xf borderId="9" fillId="4" fontId="24" numFmtId="166" xfId="0" applyAlignment="1" applyBorder="1" applyFill="1" applyFont="1" applyNumberFormat="1">
      <alignment horizontal="left" shrinkToFit="0" vertical="center" wrapText="1"/>
    </xf>
    <xf borderId="10" fillId="4" fontId="14" numFmtId="170" xfId="0" applyAlignment="1" applyBorder="1" applyFill="1" applyFont="1" applyNumberFormat="1">
      <alignment shrinkToFit="0" vertical="center" wrapText="1"/>
    </xf>
    <xf borderId="0" fillId="0" fontId="15" numFmtId="169" xfId="0" applyAlignment="1" applyFont="1" applyNumberFormat="1">
      <alignment shrinkToFit="0" vertical="top" wrapText="1"/>
    </xf>
    <xf borderId="10" fillId="4" fontId="26" numFmtId="0" xfId="0" applyAlignment="1" applyBorder="1" applyFill="1" applyFont="1">
      <alignment shrinkToFit="0" vertical="center" wrapText="1"/>
    </xf>
    <xf borderId="10" fillId="4" fontId="23" numFmtId="167" xfId="0" applyAlignment="1" applyBorder="1" applyFill="1" applyFont="1" applyNumberFormat="1">
      <alignment shrinkToFit="0" vertical="center" wrapText="1"/>
    </xf>
    <xf borderId="10" fillId="2" fontId="15" numFmtId="167" xfId="0" applyAlignment="1" applyBorder="1" applyFill="1" applyFont="1" applyNumberFormat="1">
      <alignment horizontal="left" shrinkToFit="0" vertical="top" wrapText="1"/>
    </xf>
    <xf borderId="10" fillId="6" fontId="24" numFmtId="166" xfId="0" applyAlignment="1" applyBorder="1" applyFill="1" applyFont="1" applyNumberFormat="1">
      <alignment horizontal="center" shrinkToFit="0" vertical="center" wrapText="1"/>
    </xf>
    <xf borderId="10" fillId="4" fontId="17" numFmtId="0" xfId="0" applyAlignment="1" applyBorder="1" applyFill="1" applyFont="1">
      <alignment shrinkToFit="0" vertical="center" wrapText="1"/>
    </xf>
    <xf borderId="0" fillId="0" fontId="26" numFmtId="169" xfId="0" applyAlignment="1" applyFont="1" applyNumberFormat="1">
      <alignment shrinkToFit="0" vertical="top" wrapText="0"/>
    </xf>
    <xf borderId="10" fillId="6" fontId="33" numFmtId="0" xfId="0" applyAlignment="1" applyBorder="1" applyFill="1" applyFont="1">
      <alignment shrinkToFit="0" vertical="top" wrapText="1"/>
    </xf>
    <xf borderId="10" fillId="2" fontId="15" numFmtId="167" xfId="0" applyAlignment="1" applyBorder="1" applyFill="1" applyFont="1" applyNumberFormat="1">
      <alignment shrinkToFit="0" vertical="top" wrapText="1"/>
    </xf>
    <xf borderId="10" fillId="6" fontId="26" numFmtId="0" xfId="0" applyAlignment="1" applyBorder="1" applyFill="1" applyFont="1">
      <alignment shrinkToFit="0" vertical="top" wrapText="1"/>
    </xf>
    <xf borderId="0" fillId="4" fontId="28" numFmtId="0" xfId="0" applyAlignment="1" applyFill="1" applyFont="1">
      <alignment shrinkToFit="0" vertical="bottom" wrapText="0"/>
    </xf>
    <xf borderId="10" fillId="2" fontId="45" numFmtId="0" xfId="0" applyAlignment="1" applyBorder="1" applyFill="1" applyFont="1">
      <alignment horizontal="center" shrinkToFit="0" vertical="center" wrapText="1"/>
    </xf>
    <xf borderId="10" fillId="4" fontId="28" numFmtId="0" xfId="0" applyAlignment="1" applyBorder="1" applyFill="1" applyFont="1">
      <alignment shrinkToFit="0" vertical="bottom" wrapText="0"/>
    </xf>
    <xf borderId="10" fillId="4" fontId="28" numFmtId="0" xfId="0" applyAlignment="1" applyBorder="1" applyFill="1" applyFont="1">
      <alignment shrinkToFit="0" vertical="bottom" wrapText="1"/>
    </xf>
    <xf borderId="8" fillId="2" fontId="26" numFmtId="166" xfId="0" applyAlignment="1" applyBorder="1" applyFill="1" applyFont="1" applyNumberFormat="1">
      <alignment horizontal="left" shrinkToFit="0" vertical="center" wrapText="1"/>
    </xf>
    <xf borderId="10" fillId="4" fontId="28" numFmtId="2" xfId="0" applyAlignment="1" applyBorder="1" applyFill="1" applyFont="1" applyNumberFormat="1">
      <alignment shrinkToFit="0" vertical="bottom" wrapText="0"/>
    </xf>
    <xf borderId="10" fillId="2" fontId="46" numFmtId="0" xfId="0" applyAlignment="1" applyBorder="1" applyFill="1" applyFont="1">
      <alignment shrinkToFit="0" vertical="top" wrapText="1"/>
    </xf>
    <xf borderId="8" fillId="2" fontId="26" numFmtId="166" xfId="0" applyAlignment="1" applyBorder="1" applyFill="1" applyFont="1" applyNumberFormat="1">
      <alignment horizontal="center" shrinkToFit="0" vertical="center" wrapText="1"/>
    </xf>
    <xf borderId="10" fillId="4" fontId="28" numFmtId="170" xfId="0" applyAlignment="1" applyBorder="1" applyFill="1" applyFont="1" applyNumberFormat="1">
      <alignment shrinkToFit="0" vertical="bottom" wrapText="0"/>
    </xf>
    <xf borderId="8" fillId="2" fontId="47" numFmtId="0" xfId="0" applyAlignment="1" applyBorder="1" applyFill="1" applyFont="1">
      <alignment horizontal="center" shrinkToFit="0" vertical="top" wrapText="1"/>
    </xf>
    <xf borderId="10" fillId="4" fontId="23" numFmtId="0" xfId="0" applyAlignment="1" applyBorder="1" applyFill="1" applyFont="1">
      <alignment shrinkToFit="0" vertical="bottom" wrapText="0"/>
    </xf>
    <xf borderId="8" fillId="2" fontId="26" numFmtId="170" xfId="0" applyAlignment="1" applyBorder="1" applyFill="1" applyFont="1" applyNumberFormat="1">
      <alignment horizontal="center" shrinkToFit="0" vertical="center" wrapText="1"/>
    </xf>
    <xf borderId="8" fillId="2" fontId="25" numFmtId="0" xfId="0" applyAlignment="1" applyBorder="1" applyFill="1" applyFont="1">
      <alignment horizontal="center" shrinkToFit="0" vertical="top" wrapText="1"/>
    </xf>
    <xf borderId="0" fillId="0" fontId="25" numFmtId="0" xfId="0" applyAlignment="1" applyFont="1">
      <alignment shrinkToFit="0" vertical="bottom" wrapText="0"/>
    </xf>
    <xf borderId="8" fillId="2" fontId="25" numFmtId="0" xfId="0" applyAlignment="1" applyBorder="1" applyFill="1" applyFont="1">
      <alignment horizontal="center" shrinkToFit="0" vertical="center" wrapText="1"/>
    </xf>
    <xf borderId="8" fillId="2" fontId="15" numFmtId="0" xfId="0" applyAlignment="1" applyBorder="1" applyFill="1" applyFont="1">
      <alignment horizontal="center" shrinkToFit="0" vertical="top" wrapText="1"/>
    </xf>
    <xf borderId="8" fillId="2" fontId="33" numFmtId="0" xfId="0" applyAlignment="1" applyBorder="1" applyFill="1" applyFont="1">
      <alignment horizontal="center" shrinkToFit="0" vertical="top" wrapText="1"/>
    </xf>
    <xf borderId="8" fillId="2" fontId="15" numFmtId="0" xfId="0" applyAlignment="1" applyBorder="1" applyFill="1" applyFont="1">
      <alignment horizontal="left" shrinkToFit="0" vertical="center" wrapText="1"/>
    </xf>
    <xf borderId="32" fillId="0" fontId="4" numFmtId="0" xfId="0" applyBorder="1" applyFont="1"/>
    <xf borderId="10" fillId="2" fontId="41" numFmtId="0" xfId="0" applyAlignment="1" applyBorder="1" applyFill="1" applyFont="1">
      <alignment shrinkToFit="0" vertical="top" wrapText="1"/>
    </xf>
    <xf borderId="15" fillId="2" fontId="26" numFmtId="166" xfId="0" applyAlignment="1" applyBorder="1" applyFill="1" applyFont="1" applyNumberFormat="1">
      <alignment horizontal="left" shrinkToFit="0" vertical="top" wrapText="1"/>
    </xf>
    <xf borderId="10" fillId="2" fontId="47" numFmtId="0" xfId="0" applyAlignment="1" applyBorder="1" applyFill="1" applyFont="1">
      <alignment shrinkToFit="0" vertical="top" wrapText="1"/>
    </xf>
    <xf borderId="15" fillId="2" fontId="26" numFmtId="168" xfId="0" applyAlignment="1" applyBorder="1" applyFill="1" applyFont="1" applyNumberFormat="1">
      <alignment horizontal="center" shrinkToFit="0" vertical="top" wrapText="1"/>
    </xf>
    <xf borderId="10" fillId="6" fontId="44" numFmtId="0" xfId="0" applyAlignment="1" applyBorder="1" applyFill="1" applyFont="1">
      <alignment shrinkToFit="0" vertical="top" wrapText="1"/>
    </xf>
    <xf borderId="21" fillId="4" fontId="26" numFmtId="166" xfId="0" applyAlignment="1" applyBorder="1" applyFill="1" applyFont="1" applyNumberFormat="1">
      <alignment horizontal="left" shrinkToFit="0" vertical="top" wrapText="1"/>
    </xf>
    <xf borderId="10" fillId="2" fontId="46" numFmtId="0" xfId="0" applyAlignment="1" applyBorder="1" applyFill="1" applyFont="1">
      <alignment horizontal="center" shrinkToFit="0" vertical="center" wrapText="1"/>
    </xf>
    <xf borderId="22" fillId="4" fontId="26" numFmtId="166" xfId="0" applyAlignment="1" applyBorder="1" applyFill="1" applyFont="1" applyNumberFormat="1">
      <alignment horizontal="left" shrinkToFit="0" vertical="top" wrapText="1"/>
    </xf>
    <xf borderId="8" fillId="2" fontId="15" numFmtId="167" xfId="0" applyAlignment="1" applyBorder="1" applyFill="1" applyFont="1" applyNumberFormat="1">
      <alignment horizontal="left" shrinkToFit="0" vertical="center" wrapText="1"/>
    </xf>
    <xf borderId="22" fillId="4" fontId="24" numFmtId="168" xfId="0" applyAlignment="1" applyBorder="1" applyFill="1" applyFont="1" applyNumberFormat="1">
      <alignment horizontal="center" shrinkToFit="0" vertical="top" wrapText="1"/>
    </xf>
    <xf borderId="8" fillId="2" fontId="41" numFmtId="0" xfId="0" applyAlignment="1" applyBorder="1" applyFill="1" applyFont="1">
      <alignment horizontal="left" shrinkToFit="0" vertical="center" wrapText="1"/>
    </xf>
    <xf borderId="22" fillId="4" fontId="16" numFmtId="169" xfId="0" applyAlignment="1" applyBorder="1" applyFill="1" applyFont="1" applyNumberFormat="1">
      <alignment shrinkToFit="0" vertical="top" wrapText="1"/>
    </xf>
    <xf borderId="22" fillId="4" fontId="26" numFmtId="166" xfId="0" applyAlignment="1" applyBorder="1" applyFill="1" applyFont="1" applyNumberFormat="1">
      <alignment shrinkToFit="0" vertical="top" wrapText="1"/>
    </xf>
    <xf borderId="23" fillId="4" fontId="15" numFmtId="0" xfId="0" applyAlignment="1" applyBorder="1" applyFill="1" applyFont="1">
      <alignment shrinkToFit="0" vertical="top" wrapText="1"/>
    </xf>
    <xf borderId="8" fillId="2" fontId="15" numFmtId="169" xfId="0" applyAlignment="1" applyBorder="1" applyFill="1" applyFont="1" applyNumberFormat="1">
      <alignment horizontal="center" shrinkToFit="0" vertical="center" wrapText="1"/>
    </xf>
    <xf borderId="24" fillId="5" fontId="32" numFmtId="166" xfId="0" applyAlignment="1" applyBorder="1" applyFill="1" applyFont="1" applyNumberFormat="1">
      <alignment horizontal="left" shrinkToFit="0" vertical="center" wrapText="1"/>
    </xf>
    <xf borderId="0" fillId="0" fontId="25" numFmtId="169" xfId="0" applyAlignment="1" applyFont="1" applyNumberFormat="1">
      <alignment horizontal="center" shrinkToFit="0" vertical="top" wrapText="1"/>
    </xf>
    <xf borderId="8" fillId="2" fontId="15" numFmtId="167" xfId="0" applyAlignment="1" applyBorder="1" applyFill="1" applyFont="1" applyNumberFormat="1">
      <alignment horizontal="center" shrinkToFit="0" vertical="center" wrapText="1"/>
    </xf>
    <xf borderId="8" fillId="2" fontId="41" numFmtId="0" xfId="0" applyAlignment="1" applyBorder="1" applyFill="1" applyFont="1">
      <alignment horizontal="center" shrinkToFit="0" vertical="center" wrapText="1"/>
    </xf>
    <xf borderId="8" fillId="2" fontId="25" numFmtId="166" xfId="0" applyAlignment="1" applyBorder="1" applyFill="1" applyFont="1" applyNumberFormat="1">
      <alignment horizontal="center" shrinkToFit="0" vertical="center" wrapText="1"/>
    </xf>
    <xf borderId="10" fillId="2" fontId="15" numFmtId="0" xfId="0" applyAlignment="1" applyBorder="1" applyFill="1" applyFont="1">
      <alignment shrinkToFit="0" vertical="center" wrapText="1"/>
    </xf>
    <xf borderId="10" fillId="2" fontId="34" numFmtId="166" xfId="0" applyAlignment="1" applyBorder="1" applyFill="1" applyFont="1" applyNumberFormat="1">
      <alignment horizontal="left" shrinkToFit="0" vertical="top" wrapText="1"/>
    </xf>
    <xf borderId="33" fillId="4" fontId="12" numFmtId="0" xfId="0" applyAlignment="1" applyBorder="1" applyFill="1" applyFont="1">
      <alignment horizontal="center" shrinkToFit="0" vertical="center" wrapText="1"/>
    </xf>
    <xf borderId="34" fillId="4" fontId="12" numFmtId="0" xfId="0" applyAlignment="1" applyBorder="1" applyFill="1" applyFont="1">
      <alignment horizontal="center" shrinkToFit="0" vertical="center" wrapText="1"/>
    </xf>
    <xf borderId="10" fillId="2" fontId="15" numFmtId="168" xfId="0" applyAlignment="1" applyBorder="1" applyFill="1" applyFont="1" applyNumberFormat="1">
      <alignment shrinkToFit="0" vertical="center" wrapText="1"/>
    </xf>
    <xf borderId="35" fillId="4" fontId="12" numFmtId="0" xfId="0" applyAlignment="1" applyBorder="1" applyFill="1" applyFont="1">
      <alignment horizontal="center" shrinkToFit="0" vertical="center" wrapText="1"/>
    </xf>
    <xf borderId="10" fillId="2" fontId="15" numFmtId="2" xfId="0" applyAlignment="1" applyBorder="1" applyFill="1" applyFont="1" applyNumberFormat="1">
      <alignment shrinkToFit="0" vertical="center" wrapText="1"/>
    </xf>
    <xf borderId="36" fillId="0" fontId="4" numFmtId="0" xfId="0" applyBorder="1" applyFont="1"/>
    <xf borderId="10" fillId="2" fontId="15" numFmtId="169" xfId="0" applyAlignment="1" applyBorder="1" applyFill="1" applyFont="1" applyNumberFormat="1">
      <alignment shrinkToFit="0" vertical="center" wrapText="1"/>
    </xf>
    <xf borderId="37" fillId="0" fontId="4" numFmtId="0" xfId="0" applyBorder="1" applyFont="1"/>
    <xf borderId="10" fillId="4" fontId="15" numFmtId="0" xfId="0" applyAlignment="1" applyBorder="1" applyFill="1" applyFont="1">
      <alignment shrinkToFit="0" vertical="center" wrapText="1"/>
    </xf>
    <xf borderId="8" fillId="2" fontId="15" numFmtId="0" xfId="0" applyAlignment="1" applyBorder="1" applyFill="1" applyFont="1">
      <alignment horizontal="center" shrinkToFit="0" vertical="center" wrapText="1"/>
    </xf>
    <xf borderId="38" fillId="4" fontId="12"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39" fillId="0" fontId="4" numFmtId="0" xfId="0" applyBorder="1" applyFont="1"/>
    <xf borderId="10" fillId="2" fontId="15" numFmtId="167" xfId="0" applyAlignment="1" applyBorder="1" applyFill="1" applyFont="1" applyNumberFormat="1">
      <alignment horizontal="center" shrinkToFit="0" vertical="top" wrapText="1"/>
    </xf>
    <xf borderId="40" fillId="0" fontId="4" numFmtId="0" xfId="0" applyBorder="1" applyFont="1"/>
    <xf borderId="41" fillId="4" fontId="12" numFmtId="0" xfId="0" applyAlignment="1" applyBorder="1" applyFill="1" applyFont="1">
      <alignment horizontal="center" shrinkToFit="0" vertical="center" wrapText="1"/>
    </xf>
    <xf borderId="0" fillId="0" fontId="26" numFmtId="170" xfId="0" applyAlignment="1" applyFont="1" applyNumberFormat="1">
      <alignment shrinkToFit="0" vertical="top" wrapText="1"/>
    </xf>
    <xf borderId="42" fillId="0" fontId="4" numFmtId="0" xfId="0" applyBorder="1" applyFont="1"/>
    <xf borderId="43" fillId="5" fontId="13" numFmtId="0" xfId="0" applyAlignment="1" applyBorder="1" applyFill="1" applyFont="1">
      <alignment horizontal="left" shrinkToFit="0" vertical="center" wrapText="1"/>
    </xf>
    <xf borderId="44" fillId="0" fontId="4" numFmtId="0" xfId="0" applyBorder="1" applyFont="1"/>
    <xf borderId="0" fillId="0" fontId="13" numFmtId="0" xfId="0" applyAlignment="1" applyFont="1">
      <alignment horizontal="left" shrinkToFit="0" vertical="center" wrapText="1"/>
    </xf>
    <xf borderId="45" fillId="0" fontId="41" numFmtId="0" xfId="0" applyAlignment="1" applyBorder="1" applyFont="1">
      <alignment horizontal="left" shrinkToFit="0" vertical="top" wrapText="1"/>
    </xf>
    <xf borderId="10" fillId="0" fontId="41" numFmtId="0" xfId="0" applyAlignment="1" applyBorder="1" applyFont="1">
      <alignment horizontal="left" shrinkToFit="0" vertical="top" wrapText="1"/>
    </xf>
    <xf borderId="10" fillId="0" fontId="41" numFmtId="0" xfId="0" applyAlignment="1" applyBorder="1" applyFont="1">
      <alignment horizontal="left" shrinkToFit="0" vertical="center" wrapText="1"/>
    </xf>
    <xf borderId="10" fillId="0" fontId="41" numFmtId="0" xfId="0" applyAlignment="1" applyBorder="1" applyFont="1">
      <alignment horizontal="center" shrinkToFit="0" vertical="top" wrapText="1"/>
    </xf>
    <xf borderId="10" fillId="0" fontId="41" numFmtId="170" xfId="0" applyAlignment="1" applyBorder="1" applyFont="1" applyNumberFormat="1">
      <alignment horizontal="right" shrinkToFit="0" vertical="top" wrapText="1"/>
    </xf>
    <xf borderId="10" fillId="6" fontId="45" numFmtId="0" xfId="0" applyAlignment="1" applyBorder="1" applyFill="1" applyFont="1">
      <alignment horizontal="center" shrinkToFit="0" vertical="center" wrapText="1"/>
    </xf>
    <xf borderId="46" fillId="0" fontId="41" numFmtId="0" xfId="0" applyAlignment="1" applyBorder="1" applyFont="1">
      <alignment horizontal="left" shrinkToFit="0" vertical="top" wrapText="1"/>
    </xf>
    <xf borderId="0" fillId="0" fontId="25" numFmtId="0" xfId="0" applyAlignment="1" applyFont="1">
      <alignment horizontal="left" shrinkToFit="0" vertical="top" wrapText="1"/>
    </xf>
    <xf borderId="10" fillId="0" fontId="41" numFmtId="170" xfId="0" applyAlignment="1" applyBorder="1" applyFont="1" applyNumberFormat="1">
      <alignment horizontal="left" shrinkToFit="0" vertical="top" wrapText="1"/>
    </xf>
    <xf borderId="8" fillId="2" fontId="41" numFmtId="0" xfId="0" applyAlignment="1" applyBorder="1" applyFill="1" applyFont="1">
      <alignment shrinkToFit="0" vertical="center" wrapText="1"/>
    </xf>
    <xf borderId="10" fillId="0" fontId="45" numFmtId="0" xfId="0" applyAlignment="1" applyBorder="1" applyFont="1">
      <alignment horizontal="center" shrinkToFit="0" vertical="center" wrapText="1"/>
    </xf>
    <xf borderId="10" fillId="0" fontId="44" numFmtId="0" xfId="0" applyAlignment="1" applyBorder="1" applyFont="1">
      <alignment horizontal="center" shrinkToFit="0" vertical="center" wrapText="1"/>
    </xf>
    <xf borderId="46" fillId="0" fontId="44" numFmtId="0" xfId="0" applyAlignment="1" applyBorder="1" applyFont="1">
      <alignment horizontal="left" shrinkToFit="0" vertical="top" wrapText="1"/>
    </xf>
    <xf borderId="10" fillId="0" fontId="41" numFmtId="0" xfId="0" applyAlignment="1" applyBorder="1" applyFont="1">
      <alignment shrinkToFit="0" vertical="top" wrapText="1"/>
    </xf>
    <xf borderId="10" fillId="0" fontId="46" numFmtId="0" xfId="0" applyAlignment="1" applyBorder="1" applyFont="1">
      <alignment shrinkToFit="0" vertical="top" wrapText="1"/>
    </xf>
    <xf borderId="45" fillId="6" fontId="41" numFmtId="0" xfId="0" applyAlignment="1" applyBorder="1" applyFill="1" applyFont="1">
      <alignment horizontal="left" shrinkToFit="0" vertical="top" wrapText="1"/>
    </xf>
    <xf borderId="10" fillId="6" fontId="41" numFmtId="0" xfId="0" applyAlignment="1" applyBorder="1" applyFill="1" applyFont="1">
      <alignment shrinkToFit="0" vertical="top" wrapText="1"/>
    </xf>
    <xf borderId="10" fillId="6" fontId="41" numFmtId="0" xfId="0" applyAlignment="1" applyBorder="1" applyFill="1" applyFont="1">
      <alignment horizontal="left" shrinkToFit="0" vertical="top" wrapText="1"/>
    </xf>
    <xf borderId="10" fillId="6" fontId="41" numFmtId="0" xfId="0" applyAlignment="1" applyBorder="1" applyFill="1" applyFont="1">
      <alignment horizontal="center" shrinkToFit="0" vertical="top" wrapText="1"/>
    </xf>
    <xf borderId="10" fillId="6" fontId="41" numFmtId="170" xfId="0" applyAlignment="1" applyBorder="1" applyFill="1" applyFont="1" applyNumberFormat="1">
      <alignment horizontal="left" shrinkToFit="0" vertical="top" wrapText="1"/>
    </xf>
    <xf borderId="46" fillId="6" fontId="41" numFmtId="0" xfId="0" applyAlignment="1" applyBorder="1" applyFill="1" applyFont="1">
      <alignment horizontal="left" shrinkToFit="0" vertical="top" wrapText="1"/>
    </xf>
    <xf borderId="45" fillId="6" fontId="41" numFmtId="167" xfId="0" applyAlignment="1" applyBorder="1" applyFill="1" applyFont="1" applyNumberFormat="1">
      <alignment horizontal="left" shrinkToFit="0" vertical="top" wrapText="1"/>
    </xf>
    <xf borderId="10" fillId="6" fontId="41" numFmtId="170" xfId="0" applyAlignment="1" applyBorder="1" applyFill="1" applyFont="1" applyNumberFormat="1">
      <alignment shrinkToFit="0" vertical="top" wrapText="1"/>
    </xf>
    <xf borderId="15" fillId="6" fontId="41" numFmtId="167" xfId="0" applyAlignment="1" applyBorder="1" applyFill="1" applyFont="1" applyNumberFormat="1">
      <alignment horizontal="center" shrinkToFit="0" vertical="top" wrapText="1"/>
    </xf>
    <xf borderId="46" fillId="6" fontId="41" numFmtId="0" xfId="0" applyAlignment="1" applyBorder="1" applyFill="1" applyFont="1">
      <alignment shrinkToFit="0" vertical="top" wrapText="1"/>
    </xf>
    <xf borderId="0" fillId="0" fontId="25" numFmtId="0" xfId="0" applyAlignment="1" applyFont="1">
      <alignment shrinkToFit="0" vertical="top" wrapText="1"/>
    </xf>
    <xf borderId="0" fillId="0" fontId="25" numFmtId="169" xfId="0" applyAlignment="1" applyFont="1" applyNumberFormat="1">
      <alignment shrinkToFit="0" vertical="top" wrapText="1"/>
    </xf>
    <xf borderId="45" fillId="0" fontId="41" numFmtId="167" xfId="0" applyAlignment="1" applyBorder="1" applyFont="1" applyNumberFormat="1">
      <alignment horizontal="left" shrinkToFit="0" vertical="top" wrapText="1"/>
    </xf>
    <xf borderId="1" fillId="2" fontId="9" numFmtId="0" xfId="0" applyAlignment="1" applyBorder="1" applyFill="1" applyFont="1">
      <alignment horizontal="center" shrinkToFit="0" vertical="bottom" wrapText="0"/>
    </xf>
    <xf borderId="10" fillId="0" fontId="45" numFmtId="0" xfId="0" applyAlignment="1" applyBorder="1" applyFont="1">
      <alignment shrinkToFit="0" vertical="center" wrapText="1"/>
    </xf>
    <xf borderId="33" fillId="4" fontId="40" numFmtId="0" xfId="0" applyAlignment="1" applyBorder="1" applyFill="1" applyFont="1">
      <alignment horizontal="center" shrinkToFit="0" vertical="center" wrapText="1"/>
    </xf>
    <xf borderId="10" fillId="0" fontId="41" numFmtId="170" xfId="0" applyAlignment="1" applyBorder="1" applyFont="1" applyNumberFormat="1">
      <alignment shrinkToFit="0" vertical="top" wrapText="1"/>
    </xf>
    <xf borderId="34" fillId="4" fontId="40" numFmtId="0" xfId="0" applyAlignment="1" applyBorder="1" applyFill="1" applyFont="1">
      <alignment horizontal="center" shrinkToFit="0" vertical="center" wrapText="1"/>
    </xf>
    <xf borderId="8" fillId="0" fontId="41" numFmtId="167" xfId="0" applyAlignment="1" applyBorder="1" applyFont="1" applyNumberFormat="1">
      <alignment horizontal="center" shrinkToFit="0" vertical="top" wrapText="1"/>
    </xf>
    <xf borderId="47" fillId="4" fontId="40" numFmtId="0" xfId="0" applyAlignment="1" applyBorder="1" applyFill="1" applyFont="1">
      <alignment horizontal="center" shrinkToFit="0" vertical="center" wrapText="1"/>
    </xf>
    <xf borderId="48" fillId="0" fontId="4" numFmtId="0" xfId="0" applyBorder="1" applyFont="1"/>
    <xf borderId="49" fillId="0" fontId="4" numFmtId="0" xfId="0" applyBorder="1" applyFont="1"/>
    <xf borderId="46" fillId="0" fontId="41" numFmtId="0" xfId="0" applyAlignment="1" applyBorder="1" applyFont="1">
      <alignment shrinkToFit="0" vertical="top" wrapText="1"/>
    </xf>
    <xf borderId="10" fillId="2" fontId="45" numFmtId="0" xfId="0" applyAlignment="1" applyBorder="1" applyFill="1" applyFont="1">
      <alignment shrinkToFit="0" vertical="top" wrapText="1"/>
    </xf>
    <xf borderId="38" fillId="4" fontId="40" numFmtId="0" xfId="0" applyAlignment="1" applyBorder="1" applyFill="1" applyFont="1">
      <alignment horizontal="left" shrinkToFit="0" vertical="top" wrapText="1"/>
    </xf>
    <xf borderId="0" fillId="0" fontId="26" numFmtId="169" xfId="0" applyAlignment="1" applyFont="1" applyNumberFormat="1">
      <alignment shrinkToFit="0" vertical="bottom" wrapText="0"/>
    </xf>
    <xf borderId="10" fillId="0" fontId="41" numFmtId="167" xfId="0" applyAlignment="1" applyBorder="1" applyFont="1" applyNumberFormat="1">
      <alignment horizontal="center" shrinkToFit="0" vertical="top" wrapText="1"/>
    </xf>
    <xf borderId="41" fillId="4" fontId="40" numFmtId="0" xfId="0" applyAlignment="1" applyBorder="1" applyFill="1" applyFont="1">
      <alignment horizontal="center" shrinkToFit="0" vertical="center" wrapText="1"/>
    </xf>
    <xf borderId="50" fillId="0" fontId="41" numFmtId="167" xfId="0" applyAlignment="1" applyBorder="1" applyFont="1" applyNumberFormat="1">
      <alignment horizontal="center" shrinkToFit="0" vertical="center" wrapText="1"/>
    </xf>
    <xf borderId="51" fillId="5" fontId="13" numFmtId="0" xfId="0" applyAlignment="1" applyBorder="1" applyFill="1" applyFont="1">
      <alignment horizontal="left" shrinkToFit="0" vertical="center" wrapText="1"/>
    </xf>
    <xf borderId="8" fillId="0" fontId="41" numFmtId="0" xfId="0" applyAlignment="1" applyBorder="1" applyFont="1">
      <alignment horizontal="center" shrinkToFit="0" vertical="center" wrapText="1"/>
    </xf>
    <xf borderId="52" fillId="0" fontId="4" numFmtId="0" xfId="0" applyBorder="1" applyFont="1"/>
    <xf borderId="45" fillId="2" fontId="41" numFmtId="0" xfId="0" applyAlignment="1" applyBorder="1" applyFill="1" applyFont="1">
      <alignment horizontal="left" shrinkToFit="0" vertical="center" wrapText="1"/>
    </xf>
    <xf borderId="53" fillId="0" fontId="41" numFmtId="0" xfId="0" applyAlignment="1" applyBorder="1" applyFont="1">
      <alignment horizontal="center" shrinkToFit="0" vertical="center" wrapText="1"/>
    </xf>
    <xf borderId="10" fillId="2" fontId="41" numFmtId="0" xfId="0" applyAlignment="1" applyBorder="1" applyFill="1" applyFont="1">
      <alignment horizontal="center" shrinkToFit="0" vertical="center" wrapText="1"/>
    </xf>
    <xf borderId="0" fillId="0" fontId="25" numFmtId="0" xfId="0" applyAlignment="1" applyFont="1">
      <alignment horizontal="center" shrinkToFit="0" vertical="center" wrapText="1"/>
    </xf>
    <xf borderId="10" fillId="2" fontId="41" numFmtId="170" xfId="0" applyAlignment="1" applyBorder="1" applyFill="1" applyFont="1" applyNumberFormat="1">
      <alignment horizontal="center" shrinkToFit="0" vertical="center" wrapText="1"/>
    </xf>
    <xf borderId="54" fillId="0" fontId="4" numFmtId="0" xfId="0" applyBorder="1" applyFont="1"/>
    <xf borderId="10" fillId="4" fontId="24" numFmtId="167" xfId="0" applyAlignment="1" applyBorder="1" applyFill="1" applyFont="1" applyNumberFormat="1">
      <alignment horizontal="center" shrinkToFit="0" vertical="top" wrapText="1"/>
    </xf>
    <xf borderId="46" fillId="2" fontId="41" numFmtId="0" xfId="0" applyAlignment="1" applyBorder="1" applyFill="1" applyFont="1">
      <alignment horizontal="left" shrinkToFit="0" vertical="top" wrapText="1"/>
    </xf>
    <xf borderId="10" fillId="4" fontId="15" numFmtId="0" xfId="0" applyAlignment="1" applyBorder="1" applyFill="1" applyFont="1">
      <alignment horizontal="left" shrinkToFit="0" vertical="top" wrapText="1"/>
    </xf>
    <xf borderId="55" fillId="0" fontId="4" numFmtId="0" xfId="0" applyBorder="1" applyFont="1"/>
    <xf borderId="56" fillId="2" fontId="41" numFmtId="0" xfId="0" applyAlignment="1" applyBorder="1" applyFill="1" applyFont="1">
      <alignment horizontal="left" shrinkToFit="0" vertical="center" wrapText="1"/>
    </xf>
    <xf borderId="57" fillId="0" fontId="4" numFmtId="0" xfId="0" applyBorder="1" applyFont="1"/>
    <xf borderId="15" fillId="2" fontId="41" numFmtId="0" xfId="0" applyAlignment="1" applyBorder="1" applyFill="1" applyFont="1">
      <alignment horizontal="left" shrinkToFit="0" vertical="top" wrapText="1"/>
    </xf>
    <xf borderId="15" fillId="2" fontId="41" numFmtId="0" xfId="0" applyAlignment="1" applyBorder="1" applyFill="1" applyFont="1">
      <alignment horizontal="center" shrinkToFit="0" vertical="center" wrapText="1"/>
    </xf>
    <xf borderId="58" fillId="0" fontId="4" numFmtId="0" xfId="0" applyBorder="1" applyFont="1"/>
    <xf borderId="15" fillId="2" fontId="41" numFmtId="170" xfId="0" applyAlignment="1" applyBorder="1" applyFill="1" applyFont="1" applyNumberFormat="1">
      <alignment horizontal="center" shrinkToFit="0" vertical="center" wrapText="1"/>
    </xf>
    <xf borderId="10" fillId="9" fontId="15" numFmtId="167" xfId="0" applyAlignment="1" applyBorder="1" applyFill="1" applyFont="1" applyNumberFormat="1">
      <alignment horizontal="left" shrinkToFit="0" vertical="top" wrapText="1"/>
    </xf>
    <xf borderId="15" fillId="2" fontId="46" numFmtId="0" xfId="0" applyAlignment="1" applyBorder="1" applyFill="1" applyFont="1">
      <alignment horizontal="center" shrinkToFit="0" vertical="center" wrapText="1"/>
    </xf>
    <xf borderId="10" fillId="0" fontId="41" numFmtId="0" xfId="0" applyAlignment="1" applyBorder="1" applyFont="1">
      <alignment shrinkToFit="0" vertical="center" wrapText="1"/>
    </xf>
    <xf borderId="10" fillId="9" fontId="41" numFmtId="0" xfId="0" applyAlignment="1" applyBorder="1" applyFill="1" applyFont="1">
      <alignment shrinkToFit="0" vertical="top" wrapText="1"/>
    </xf>
    <xf borderId="10" fillId="6" fontId="44" numFmtId="0" xfId="0" applyAlignment="1" applyBorder="1" applyFill="1" applyFont="1">
      <alignment horizontal="center" shrinkToFit="0" vertical="center" wrapText="1"/>
    </xf>
    <xf borderId="59" fillId="2" fontId="41" numFmtId="0" xfId="0" applyAlignment="1" applyBorder="1" applyFill="1" applyFont="1">
      <alignment horizontal="left" shrinkToFit="0" vertical="top" wrapText="1"/>
    </xf>
    <xf borderId="10" fillId="9" fontId="15" numFmtId="0" xfId="0" applyAlignment="1" applyBorder="1" applyFill="1" applyFont="1">
      <alignment shrinkToFit="0" vertical="top" wrapText="1"/>
    </xf>
    <xf borderId="45" fillId="2" fontId="41" numFmtId="167" xfId="0" applyAlignment="1" applyBorder="1" applyFill="1" applyFont="1" applyNumberFormat="1">
      <alignment horizontal="left" shrinkToFit="0" vertical="top" wrapText="1"/>
    </xf>
    <xf borderId="50" fillId="2" fontId="48" numFmtId="0" xfId="0" applyAlignment="1" applyBorder="1" applyFill="1" applyFont="1">
      <alignment horizontal="center" shrinkToFit="0" vertical="center" wrapText="1"/>
    </xf>
    <xf borderId="10" fillId="2" fontId="41" numFmtId="170" xfId="0" applyAlignment="1" applyBorder="1" applyFill="1" applyFont="1" applyNumberFormat="1">
      <alignment shrinkToFit="0" vertical="top" wrapText="1"/>
    </xf>
    <xf borderId="10" fillId="2" fontId="41" numFmtId="0" xfId="0" applyAlignment="1" applyBorder="1" applyFill="1" applyFont="1">
      <alignment horizontal="center" shrinkToFit="0" vertical="top" wrapText="1"/>
    </xf>
    <xf borderId="10" fillId="9" fontId="15" numFmtId="168" xfId="0" applyAlignment="1" applyBorder="1" applyFill="1" applyFont="1" applyNumberFormat="1">
      <alignment shrinkToFit="0" vertical="top" wrapText="1"/>
    </xf>
    <xf borderId="8" fillId="2" fontId="48" numFmtId="0" xfId="0" applyAlignment="1" applyBorder="1" applyFill="1" applyFont="1">
      <alignment horizontal="center" readingOrder="1" shrinkToFit="0" vertical="top" wrapText="1"/>
    </xf>
    <xf borderId="15" fillId="2" fontId="41" numFmtId="167" xfId="0" applyAlignment="1" applyBorder="1" applyFill="1" applyFont="1" applyNumberFormat="1">
      <alignment horizontal="center" shrinkToFit="0" vertical="top" wrapText="1"/>
    </xf>
    <xf borderId="10" fillId="9" fontId="15" numFmtId="2" xfId="0" applyAlignment="1" applyBorder="1" applyFill="1" applyFont="1" applyNumberFormat="1">
      <alignment shrinkToFit="0" vertical="top" wrapText="1"/>
    </xf>
    <xf borderId="8" fillId="2" fontId="48" numFmtId="0" xfId="0" applyAlignment="1" applyBorder="1" applyFill="1" applyFont="1">
      <alignment horizontal="left" readingOrder="1" shrinkToFit="0" vertical="center" wrapText="1"/>
    </xf>
    <xf borderId="46" fillId="2" fontId="41" numFmtId="0" xfId="0" applyAlignment="1" applyBorder="1" applyFill="1" applyFont="1">
      <alignment shrinkToFit="0" vertical="top" wrapText="1"/>
    </xf>
    <xf borderId="10" fillId="9" fontId="15" numFmtId="169" xfId="0" applyAlignment="1" applyBorder="1" applyFill="1" applyFont="1" applyNumberFormat="1">
      <alignment shrinkToFit="0" vertical="top" wrapText="1"/>
    </xf>
    <xf borderId="10" fillId="2" fontId="48" numFmtId="0" xfId="0" applyAlignment="1" applyBorder="1" applyFill="1" applyFont="1">
      <alignment horizontal="center" readingOrder="1" shrinkToFit="0" vertical="top" wrapText="1"/>
    </xf>
    <xf borderId="10" fillId="2" fontId="44" numFmtId="0" xfId="0" applyAlignment="1" applyBorder="1" applyFill="1" applyFont="1">
      <alignment shrinkToFit="0" vertical="top" wrapText="1"/>
    </xf>
    <xf borderId="10" fillId="2" fontId="48" numFmtId="0" xfId="0" applyAlignment="1" applyBorder="1" applyFill="1" applyFont="1">
      <alignment horizontal="center" shrinkToFit="0" vertical="center" wrapText="1"/>
    </xf>
    <xf borderId="50" fillId="2" fontId="41" numFmtId="167" xfId="0" applyAlignment="1" applyBorder="1" applyFill="1" applyFont="1" applyNumberFormat="1">
      <alignment horizontal="center" shrinkToFit="0" vertical="center" wrapText="1"/>
    </xf>
    <xf borderId="10" fillId="2" fontId="48" numFmtId="170" xfId="0" applyAlignment="1" applyBorder="1" applyFill="1" applyFont="1" applyNumberFormat="1">
      <alignment horizontal="center" readingOrder="1" shrinkToFit="0" vertical="center" wrapText="1"/>
    </xf>
    <xf borderId="8" fillId="6" fontId="15" numFmtId="167" xfId="0" applyAlignment="1" applyBorder="1" applyFill="1" applyFont="1" applyNumberFormat="1">
      <alignment horizontal="center" shrinkToFit="0" vertical="center" wrapText="1"/>
    </xf>
    <xf borderId="8" fillId="2" fontId="49" numFmtId="0" xfId="0" applyAlignment="1" applyBorder="1" applyFill="1" applyFont="1">
      <alignment horizontal="center" shrinkToFit="0" vertical="center" wrapText="1"/>
    </xf>
    <xf borderId="8" fillId="2" fontId="41" numFmtId="167" xfId="0" applyAlignment="1" applyBorder="1" applyFill="1" applyFont="1" applyNumberFormat="1">
      <alignment horizontal="center" shrinkToFit="0" vertical="center" wrapText="1"/>
    </xf>
    <xf borderId="53" fillId="2" fontId="48" numFmtId="0" xfId="0" applyAlignment="1" applyBorder="1" applyFill="1" applyFont="1">
      <alignment horizontal="left" shrinkToFit="0" vertical="top" wrapText="1"/>
    </xf>
    <xf borderId="53" fillId="2" fontId="41" numFmtId="0" xfId="0" applyAlignment="1" applyBorder="1" applyFill="1" applyFont="1">
      <alignment horizontal="left" shrinkToFit="0" vertical="center" wrapText="1"/>
    </xf>
    <xf borderId="0" fillId="0" fontId="25" numFmtId="0" xfId="0" applyAlignment="1" applyFont="1">
      <alignment horizontal="left" shrinkToFit="0" vertical="center" wrapText="1"/>
    </xf>
    <xf borderId="10" fillId="6" fontId="15" numFmtId="167" xfId="0" applyAlignment="1" applyBorder="1" applyFill="1" applyFont="1" applyNumberFormat="1">
      <alignment horizontal="center" shrinkToFit="0" vertical="center" wrapText="1"/>
    </xf>
    <xf borderId="10" fillId="6" fontId="15" numFmtId="0" xfId="0" applyAlignment="1" applyBorder="1" applyFill="1" applyFont="1">
      <alignment horizontal="center" shrinkToFit="0" vertical="center" wrapText="1"/>
    </xf>
    <xf borderId="10" fillId="6" fontId="15" numFmtId="167" xfId="0" applyAlignment="1" applyBorder="1" applyFill="1" applyFont="1" applyNumberFormat="1">
      <alignment horizontal="center" shrinkToFit="0" vertical="top" wrapText="1"/>
    </xf>
    <xf borderId="60" fillId="2" fontId="41" numFmtId="167" xfId="0" applyAlignment="1" applyBorder="1" applyFill="1" applyFont="1" applyNumberFormat="1">
      <alignment horizontal="left" shrinkToFit="0" vertical="center" wrapText="1"/>
    </xf>
    <xf borderId="20" fillId="2" fontId="46" numFmtId="0" xfId="0" applyAlignment="1" applyBorder="1" applyFill="1" applyFont="1">
      <alignment horizontal="center" shrinkToFit="0" vertical="center" wrapText="1"/>
    </xf>
    <xf borderId="20" fillId="2" fontId="41" numFmtId="0" xfId="0" applyAlignment="1" applyBorder="1" applyFill="1" applyFont="1">
      <alignment horizontal="center" shrinkToFit="0" vertical="center" wrapText="1"/>
    </xf>
    <xf borderId="20" fillId="2" fontId="41" numFmtId="167" xfId="0" applyAlignment="1" applyBorder="1" applyFill="1" applyFont="1" applyNumberFormat="1">
      <alignment horizontal="center" shrinkToFit="0" vertical="center" wrapText="1"/>
    </xf>
    <xf borderId="61" fillId="2" fontId="41" numFmtId="0" xfId="0" applyAlignment="1" applyBorder="1" applyFill="1" applyFont="1">
      <alignment horizontal="left" shrinkToFit="0" vertical="center" wrapText="1"/>
    </xf>
    <xf borderId="10" fillId="2" fontId="44" numFmtId="0" xfId="0" applyAlignment="1" applyBorder="1" applyFill="1" applyFont="1">
      <alignment horizontal="center" shrinkToFit="0" vertical="center" wrapText="1"/>
    </xf>
    <xf borderId="10" fillId="2" fontId="41" numFmtId="167" xfId="0" applyAlignment="1" applyBorder="1" applyFill="1" applyFont="1" applyNumberFormat="1">
      <alignment horizontal="center" shrinkToFit="0" vertical="top" wrapText="1"/>
    </xf>
    <xf borderId="10" fillId="6" fontId="25" numFmtId="0" xfId="0" applyAlignment="1" applyBorder="1" applyFill="1" applyFont="1">
      <alignment horizontal="left" shrinkToFit="0" vertical="center" wrapText="1"/>
    </xf>
    <xf borderId="60" fillId="2" fontId="48" numFmtId="0" xfId="0" applyAlignment="1" applyBorder="1" applyFill="1" applyFont="1">
      <alignment horizontal="center" shrinkToFit="0" vertical="center" wrapText="1"/>
    </xf>
    <xf borderId="10" fillId="6" fontId="25" numFmtId="169" xfId="0" applyAlignment="1" applyBorder="1" applyFill="1" applyFont="1" applyNumberFormat="1">
      <alignment horizontal="center" shrinkToFit="0" vertical="top" wrapText="1"/>
    </xf>
    <xf borderId="10" fillId="0" fontId="45" numFmtId="0" xfId="0" applyAlignment="1" applyBorder="1" applyFont="1">
      <alignment shrinkToFit="0" vertical="top" wrapText="1"/>
    </xf>
    <xf borderId="20" fillId="2" fontId="48" numFmtId="0" xfId="0" applyAlignment="1" applyBorder="1" applyFill="1" applyFont="1">
      <alignment horizontal="center" readingOrder="1" shrinkToFit="0" vertical="top" wrapText="1"/>
    </xf>
    <xf borderId="8" fillId="6" fontId="25" numFmtId="167" xfId="0" applyAlignment="1" applyBorder="1" applyFill="1" applyFont="1" applyNumberFormat="1">
      <alignment horizontal="left" shrinkToFit="0" vertical="center" wrapText="1"/>
    </xf>
    <xf borderId="20" fillId="2" fontId="50" numFmtId="0" xfId="0" applyAlignment="1" applyBorder="1" applyFill="1" applyFont="1">
      <alignment horizontal="center" shrinkToFit="0" vertical="center" wrapText="1"/>
    </xf>
    <xf borderId="8" fillId="6" fontId="25" numFmtId="168" xfId="0" applyAlignment="1" applyBorder="1" applyFill="1" applyFont="1" applyNumberFormat="1">
      <alignment horizontal="center" shrinkToFit="0" vertical="center" wrapText="1"/>
    </xf>
    <xf borderId="61" fillId="2" fontId="48" numFmtId="0" xfId="0" applyAlignment="1" applyBorder="1" applyFill="1" applyFont="1">
      <alignment horizontal="left" shrinkToFit="0" vertical="top" wrapText="1"/>
    </xf>
    <xf borderId="8" fillId="6" fontId="25" numFmtId="169" xfId="0" applyAlignment="1" applyBorder="1" applyFill="1" applyFont="1" applyNumberFormat="1">
      <alignment horizontal="center" shrinkToFit="0" vertical="center" wrapText="1"/>
    </xf>
    <xf borderId="45" fillId="6" fontId="48" numFmtId="0" xfId="0" applyAlignment="1" applyBorder="1" applyFill="1" applyFont="1">
      <alignment horizontal="left" shrinkToFit="0" vertical="center" wrapText="1"/>
    </xf>
    <xf borderId="10" fillId="6" fontId="48" numFmtId="0" xfId="0" applyAlignment="1" applyBorder="1" applyFill="1" applyFont="1">
      <alignment horizontal="left" readingOrder="1" shrinkToFit="0" vertical="top" wrapText="1"/>
    </xf>
    <xf borderId="10" fillId="6" fontId="48" numFmtId="0" xfId="0" applyAlignment="1" applyBorder="1" applyFill="1" applyFont="1">
      <alignment horizontal="center" readingOrder="1" shrinkToFit="0" vertical="top" wrapText="1"/>
    </xf>
    <xf borderId="8" fillId="6" fontId="15" numFmtId="0" xfId="0" applyAlignment="1" applyBorder="1" applyFill="1" applyFont="1">
      <alignment shrinkToFit="0" vertical="center" wrapText="1"/>
    </xf>
    <xf borderId="10" fillId="6" fontId="48" numFmtId="0" xfId="0" applyAlignment="1" applyBorder="1" applyFill="1" applyFont="1">
      <alignment horizontal="center" shrinkToFit="0" vertical="center" wrapText="1"/>
    </xf>
    <xf borderId="10" fillId="2" fontId="25" numFmtId="167" xfId="0" applyAlignment="1" applyBorder="1" applyFill="1" applyFont="1" applyNumberFormat="1">
      <alignment horizontal="left" shrinkToFit="0" vertical="top" wrapText="1"/>
    </xf>
    <xf borderId="50" fillId="0" fontId="41" numFmtId="167" xfId="0" applyAlignment="1" applyBorder="1" applyFont="1" applyNumberFormat="1">
      <alignment horizontal="left" shrinkToFit="0" vertical="top" wrapText="1"/>
    </xf>
    <xf borderId="10" fillId="2" fontId="27" numFmtId="0" xfId="0" applyAlignment="1" applyBorder="1" applyFill="1" applyFont="1">
      <alignment shrinkToFit="0" vertical="center" wrapText="1"/>
    </xf>
    <xf borderId="10" fillId="6" fontId="48" numFmtId="170" xfId="0" applyAlignment="1" applyBorder="1" applyFill="1" applyFont="1" applyNumberFormat="1">
      <alignment horizontal="center" readingOrder="1" shrinkToFit="0" vertical="center" wrapText="1"/>
    </xf>
    <xf borderId="8" fillId="0" fontId="41" numFmtId="0" xfId="0" applyAlignment="1" applyBorder="1" applyFont="1">
      <alignment horizontal="center" shrinkToFit="0" vertical="top" wrapText="1"/>
    </xf>
    <xf borderId="10" fillId="10" fontId="8" numFmtId="0" xfId="0" applyAlignment="1" applyBorder="1" applyFill="1" applyFont="1">
      <alignment horizontal="center" readingOrder="0"/>
    </xf>
    <xf borderId="10" fillId="2" fontId="25" numFmtId="169" xfId="0" applyAlignment="1" applyBorder="1" applyFill="1" applyFont="1" applyNumberFormat="1">
      <alignment horizontal="center" shrinkToFit="0" vertical="top" wrapText="1"/>
    </xf>
    <xf borderId="10" fillId="6" fontId="49" numFmtId="0" xfId="0" applyAlignment="1" applyBorder="1" applyFill="1" applyFont="1">
      <alignment horizontal="center" shrinkToFit="0" vertical="center" wrapText="1"/>
    </xf>
    <xf borderId="10" fillId="10" fontId="11" numFmtId="0" xfId="0" applyAlignment="1" applyBorder="1" applyFill="1" applyFont="1">
      <alignment horizontal="center"/>
    </xf>
    <xf borderId="10" fillId="6" fontId="25" numFmtId="167" xfId="0" applyAlignment="1" applyBorder="1" applyFill="1" applyFont="1" applyNumberFormat="1">
      <alignment horizontal="left" shrinkToFit="0" vertical="top" wrapText="1"/>
    </xf>
    <xf borderId="10" fillId="0" fontId="41" numFmtId="172" xfId="0" applyAlignment="1" applyBorder="1" applyFont="1" applyNumberFormat="1">
      <alignment shrinkToFit="0" vertical="top" wrapText="1"/>
    </xf>
    <xf borderId="10" fillId="6" fontId="41" numFmtId="0" xfId="0" applyAlignment="1" applyBorder="1" applyFill="1" applyFont="1">
      <alignment horizontal="center" shrinkToFit="0" vertical="center" wrapText="1"/>
    </xf>
    <xf borderId="10" fillId="11" fontId="11" numFmtId="0" xfId="0" applyAlignment="1" applyBorder="1" applyFill="1" applyFont="1">
      <alignment horizontal="center" readingOrder="0"/>
    </xf>
    <xf borderId="10" fillId="6" fontId="25" numFmtId="0" xfId="0" applyAlignment="1" applyBorder="1" applyFill="1" applyFont="1">
      <alignment horizontal="center" shrinkToFit="0" vertical="center" wrapText="1"/>
    </xf>
    <xf borderId="10" fillId="11" fontId="11" numFmtId="3" xfId="0" applyAlignment="1" applyBorder="1" applyFill="1" applyFont="1" applyNumberFormat="1">
      <alignment horizontal="center"/>
    </xf>
    <xf borderId="50" fillId="0" fontId="41" numFmtId="167" xfId="0" applyAlignment="1" applyBorder="1" applyFont="1" applyNumberFormat="1">
      <alignment horizontal="left" shrinkToFit="0" vertical="center" wrapText="1"/>
    </xf>
    <xf borderId="46" fillId="6" fontId="48" numFmtId="0" xfId="0" applyAlignment="1" applyBorder="1" applyFill="1" applyFont="1">
      <alignment horizontal="left" shrinkToFit="0" vertical="top" wrapText="1"/>
    </xf>
    <xf borderId="10" fillId="11" fontId="11" numFmtId="4" xfId="0" applyAlignment="1" applyBorder="1" applyFill="1" applyFont="1" applyNumberFormat="1">
      <alignment horizontal="center"/>
    </xf>
    <xf borderId="10" fillId="6" fontId="25" numFmtId="168" xfId="0" applyAlignment="1" applyBorder="1" applyFill="1" applyFont="1" applyNumberFormat="1">
      <alignment horizontal="center" shrinkToFit="0" vertical="center" wrapText="1"/>
    </xf>
    <xf borderId="45" fillId="2" fontId="48" numFmtId="0" xfId="0" applyAlignment="1" applyBorder="1" applyFill="1" applyFont="1">
      <alignment horizontal="left" shrinkToFit="0" vertical="center" wrapText="1"/>
    </xf>
    <xf borderId="10" fillId="6" fontId="25" numFmtId="169" xfId="0" applyAlignment="1" applyBorder="1" applyFill="1" applyFont="1" applyNumberFormat="1">
      <alignment horizontal="center" shrinkToFit="0" vertical="center" wrapText="1"/>
    </xf>
    <xf borderId="10" fillId="2" fontId="48" numFmtId="0" xfId="0" applyAlignment="1" applyBorder="1" applyFill="1" applyFont="1">
      <alignment horizontal="left" readingOrder="1" shrinkToFit="0" vertical="top" wrapText="1"/>
    </xf>
    <xf borderId="57" fillId="0" fontId="41" numFmtId="167" xfId="0" applyAlignment="1" applyBorder="1" applyFont="1" applyNumberFormat="1">
      <alignment horizontal="left" shrinkToFit="0" vertical="center" wrapText="1"/>
    </xf>
    <xf borderId="10" fillId="6" fontId="25" numFmtId="0" xfId="0" applyAlignment="1" applyBorder="1" applyFill="1" applyFont="1">
      <alignment shrinkToFit="0" vertical="center" wrapText="1"/>
    </xf>
    <xf borderId="13" fillId="0" fontId="41" numFmtId="0" xfId="0" applyAlignment="1" applyBorder="1" applyFont="1">
      <alignment horizontal="center" shrinkToFit="0" vertical="center" wrapText="1"/>
    </xf>
    <xf borderId="10" fillId="2" fontId="49" numFmtId="0" xfId="0" applyAlignment="1" applyBorder="1" applyFill="1" applyFont="1">
      <alignment horizontal="center" shrinkToFit="0" vertical="center" wrapText="1"/>
    </xf>
    <xf borderId="10" fillId="6" fontId="16" numFmtId="0" xfId="0" applyAlignment="1" applyBorder="1" applyFill="1" applyFont="1">
      <alignment shrinkToFit="0" vertical="center" wrapText="1"/>
    </xf>
    <xf borderId="46" fillId="2" fontId="48" numFmtId="0" xfId="0" applyAlignment="1" applyBorder="1" applyFill="1" applyFont="1">
      <alignment horizontal="left" shrinkToFit="0" vertical="top" wrapText="1"/>
    </xf>
    <xf borderId="0" fillId="0" fontId="25" numFmtId="170" xfId="0" applyAlignment="1" applyFont="1" applyNumberFormat="1">
      <alignment shrinkToFit="0" vertical="top" wrapText="1"/>
    </xf>
    <xf borderId="10" fillId="6" fontId="25" numFmtId="168" xfId="0" applyAlignment="1" applyBorder="1" applyFill="1" applyFont="1" applyNumberFormat="1">
      <alignment horizontal="center" shrinkToFit="0" vertical="top" wrapText="1"/>
    </xf>
    <xf borderId="10" fillId="2" fontId="50" numFmtId="0" xfId="0" applyAlignment="1" applyBorder="1" applyFill="1" applyFont="1">
      <alignment horizontal="center" shrinkToFit="0" vertical="center" wrapText="1"/>
    </xf>
    <xf borderId="10" fillId="0" fontId="46" numFmtId="0" xfId="0" applyAlignment="1" applyBorder="1" applyFont="1">
      <alignment horizontal="center" shrinkToFit="0" vertical="center" wrapText="1"/>
    </xf>
    <xf borderId="9" fillId="4" fontId="24" numFmtId="167" xfId="0" applyAlignment="1" applyBorder="1" applyFill="1" applyFont="1" applyNumberFormat="1">
      <alignment horizontal="left" shrinkToFit="0" vertical="center" wrapText="1"/>
    </xf>
    <xf borderId="10" fillId="2" fontId="51" numFmtId="0" xfId="0" applyAlignment="1" applyBorder="1" applyFill="1" applyFont="1">
      <alignment horizontal="center" shrinkToFit="0" vertical="center" wrapText="1"/>
    </xf>
    <xf borderId="45" fillId="2" fontId="41" numFmtId="167" xfId="0" applyAlignment="1" applyBorder="1" applyFill="1" applyFont="1" applyNumberFormat="1">
      <alignment shrinkToFit="0" vertical="top" wrapText="1"/>
    </xf>
    <xf borderId="10" fillId="2" fontId="48" numFmtId="169" xfId="0" applyAlignment="1" applyBorder="1" applyFill="1" applyFont="1" applyNumberFormat="1">
      <alignment horizontal="center" shrinkToFit="0" vertical="center" wrapText="1"/>
    </xf>
    <xf borderId="10" fillId="2" fontId="44" numFmtId="0" xfId="0" applyAlignment="1" applyBorder="1" applyFill="1" applyFont="1">
      <alignment shrinkToFit="0" vertical="center" wrapText="1"/>
    </xf>
    <xf borderId="10" fillId="4" fontId="25" numFmtId="170" xfId="0" applyAlignment="1" applyBorder="1" applyFill="1" applyFont="1" applyNumberFormat="1">
      <alignment shrinkToFit="0" vertical="center" wrapText="1"/>
    </xf>
    <xf borderId="0" fillId="0" fontId="52" numFmtId="0" xfId="0" applyAlignment="1" applyFont="1">
      <alignment horizontal="center" shrinkToFit="0" vertical="center" wrapText="0"/>
    </xf>
    <xf borderId="45" fillId="6" fontId="40" numFmtId="0" xfId="0" applyAlignment="1" applyBorder="1" applyFill="1" applyFont="1">
      <alignment horizontal="left" shrinkToFit="0" vertical="center" wrapText="1"/>
    </xf>
    <xf borderId="10" fillId="2" fontId="41" numFmtId="172" xfId="0" applyAlignment="1" applyBorder="1" applyFill="1" applyFont="1" applyNumberFormat="1">
      <alignment shrinkToFit="0" vertical="top" wrapText="1"/>
    </xf>
    <xf borderId="0" fillId="0" fontId="52" numFmtId="165" xfId="0" applyAlignment="1" applyFont="1" applyNumberFormat="1">
      <alignment horizontal="center" shrinkToFit="0" vertical="center" wrapText="0"/>
    </xf>
    <xf borderId="59" fillId="2" fontId="44" numFmtId="0" xfId="0" applyAlignment="1" applyBorder="1" applyFill="1" applyFont="1">
      <alignment shrinkToFit="0" vertical="center" wrapText="1"/>
    </xf>
    <xf borderId="9" fillId="5" fontId="32" numFmtId="167" xfId="0" applyAlignment="1" applyBorder="1" applyFill="1" applyFont="1" applyNumberFormat="1">
      <alignment horizontal="left" shrinkToFit="0" vertical="center" wrapText="1"/>
    </xf>
    <xf borderId="10" fillId="6" fontId="40" numFmtId="0" xfId="0" applyAlignment="1" applyBorder="1" applyFill="1" applyFont="1">
      <alignment horizontal="left" readingOrder="1" shrinkToFit="0" vertical="top" wrapText="1"/>
    </xf>
    <xf borderId="0" fillId="0" fontId="37" numFmtId="0" xfId="0" applyAlignment="1" applyFont="1">
      <alignment horizontal="center" shrinkToFit="0" vertical="center" wrapText="0"/>
    </xf>
    <xf borderId="0" fillId="0" fontId="25" numFmtId="0" xfId="0" applyAlignment="1" applyFont="1">
      <alignment shrinkToFit="0" vertical="center" wrapText="1"/>
    </xf>
    <xf borderId="10" fillId="2" fontId="26" numFmtId="167" xfId="0" applyAlignment="1" applyBorder="1" applyFill="1" applyFont="1" applyNumberFormat="1">
      <alignment horizontal="left" shrinkToFit="0" vertical="top" wrapText="1"/>
    </xf>
    <xf borderId="10" fillId="6" fontId="40" numFmtId="0" xfId="0" applyAlignment="1" applyBorder="1" applyFill="1" applyFont="1">
      <alignment horizontal="center" readingOrder="1" shrinkToFit="0" vertical="top" wrapText="1"/>
    </xf>
    <xf borderId="59" fillId="2" fontId="41" numFmtId="0" xfId="0" applyAlignment="1" applyBorder="1" applyFill="1" applyFont="1">
      <alignment shrinkToFit="0" vertical="center" wrapText="1"/>
    </xf>
    <xf borderId="33" fillId="4" fontId="52" numFmtId="0" xfId="0" applyAlignment="1" applyBorder="1" applyFill="1" applyFont="1">
      <alignment horizontal="center" shrinkToFit="0" vertical="center" wrapText="1"/>
    </xf>
    <xf borderId="10" fillId="6" fontId="40" numFmtId="0" xfId="0" applyAlignment="1" applyBorder="1" applyFill="1" applyFont="1">
      <alignment horizontal="center" shrinkToFit="0" vertical="center" wrapText="1"/>
    </xf>
    <xf borderId="34" fillId="4" fontId="52" numFmtId="0" xfId="0" applyAlignment="1" applyBorder="1" applyFill="1" applyFont="1">
      <alignment horizontal="center" shrinkToFit="0" vertical="center" wrapText="1"/>
    </xf>
    <xf borderId="10" fillId="12" fontId="26" numFmtId="167" xfId="0" applyAlignment="1" applyBorder="1" applyFill="1" applyFont="1" applyNumberFormat="1">
      <alignment horizontal="left" shrinkToFit="0" vertical="top" wrapText="1"/>
    </xf>
    <xf borderId="10" fillId="6" fontId="40" numFmtId="170" xfId="0" applyAlignment="1" applyBorder="1" applyFill="1" applyFont="1" applyNumberFormat="1">
      <alignment horizontal="center" readingOrder="1" shrinkToFit="0" vertical="center" wrapText="1"/>
    </xf>
    <xf borderId="47" fillId="4" fontId="52" numFmtId="0" xfId="0" applyAlignment="1" applyBorder="1" applyFill="1" applyFont="1">
      <alignment horizontal="center" shrinkToFit="0" vertical="center" wrapText="1"/>
    </xf>
    <xf borderId="10" fillId="12" fontId="26" numFmtId="168" xfId="0" applyAlignment="1" applyBorder="1" applyFill="1" applyFont="1" applyNumberFormat="1">
      <alignment horizontal="center" shrinkToFit="0" vertical="top" wrapText="1"/>
    </xf>
    <xf borderId="38" fillId="4" fontId="52" numFmtId="0" xfId="0" applyAlignment="1" applyBorder="1" applyFill="1" applyFont="1">
      <alignment horizontal="center" shrinkToFit="0" vertical="center" wrapText="1"/>
    </xf>
    <xf borderId="62" fillId="0" fontId="4" numFmtId="0" xfId="0" applyBorder="1" applyFont="1"/>
    <xf borderId="15" fillId="6" fontId="40" numFmtId="0" xfId="0" applyAlignment="1" applyBorder="1" applyFill="1" applyFont="1">
      <alignment horizontal="center" shrinkToFit="0" vertical="center" wrapText="1"/>
    </xf>
    <xf borderId="10" fillId="12" fontId="26" numFmtId="170" xfId="0" applyAlignment="1" applyBorder="1" applyFill="1" applyFont="1" applyNumberFormat="1">
      <alignment shrinkToFit="0" vertical="top" wrapText="1"/>
    </xf>
    <xf borderId="15" fillId="4" fontId="52" numFmtId="0" xfId="0" applyAlignment="1" applyBorder="1" applyFill="1" applyFont="1">
      <alignment horizontal="center" shrinkToFit="0" vertical="center" wrapText="1"/>
    </xf>
    <xf borderId="46" fillId="6" fontId="40" numFmtId="0" xfId="0" applyAlignment="1" applyBorder="1" applyFill="1" applyFont="1">
      <alignment horizontal="left" shrinkToFit="0" vertical="top" wrapText="1"/>
    </xf>
    <xf borderId="10" fillId="12" fontId="25" numFmtId="0" xfId="0" applyAlignment="1" applyBorder="1" applyFill="1" applyFont="1">
      <alignment horizontal="center" shrinkToFit="0" vertical="top" wrapText="1"/>
    </xf>
    <xf borderId="15" fillId="4" fontId="52" numFmtId="169" xfId="0" applyAlignment="1" applyBorder="1" applyFill="1" applyFont="1" applyNumberFormat="1">
      <alignment horizontal="center" shrinkToFit="0" vertical="center" wrapText="1"/>
    </xf>
    <xf borderId="56" fillId="6" fontId="48" numFmtId="0" xfId="0" applyAlignment="1" applyBorder="1" applyFill="1" applyFont="1">
      <alignment horizontal="left" shrinkToFit="0" vertical="center" wrapText="1"/>
    </xf>
    <xf borderId="10" fillId="2" fontId="41" numFmtId="168" xfId="0" applyAlignment="1" applyBorder="1" applyFill="1" applyFont="1" applyNumberFormat="1">
      <alignment shrinkToFit="0" vertical="top" wrapText="1"/>
    </xf>
    <xf borderId="10" fillId="12" fontId="33" numFmtId="0" xfId="0" applyAlignment="1" applyBorder="1" applyFill="1" applyFont="1">
      <alignment shrinkToFit="0" vertical="top" wrapText="1"/>
    </xf>
    <xf borderId="10" fillId="12" fontId="19" numFmtId="0" xfId="0" applyAlignment="1" applyBorder="1" applyFill="1" applyFont="1">
      <alignment shrinkToFit="0" vertical="top" wrapText="1"/>
    </xf>
    <xf borderId="63" fillId="0" fontId="4" numFmtId="0" xfId="0" applyBorder="1" applyFont="1"/>
    <xf borderId="15" fillId="6" fontId="48" numFmtId="0" xfId="0" applyAlignment="1" applyBorder="1" applyFill="1" applyFont="1">
      <alignment horizontal="left" readingOrder="1" shrinkToFit="0" vertical="top" wrapText="1"/>
    </xf>
    <xf borderId="10" fillId="2" fontId="41" numFmtId="2" xfId="0" applyAlignment="1" applyBorder="1" applyFill="1" applyFont="1" applyNumberFormat="1">
      <alignment shrinkToFit="0" vertical="top" wrapText="1"/>
    </xf>
    <xf borderId="8" fillId="12" fontId="26" numFmtId="167" xfId="0" applyAlignment="1" applyBorder="1" applyFill="1" applyFont="1" applyNumberFormat="1">
      <alignment horizontal="center" shrinkToFit="0" vertical="center" wrapText="1"/>
    </xf>
    <xf borderId="26" fillId="5" fontId="52" numFmtId="0" xfId="0" applyAlignment="1" applyBorder="1" applyFill="1" applyFont="1">
      <alignment horizontal="left" shrinkToFit="0" vertical="center" wrapText="1"/>
    </xf>
    <xf borderId="15" fillId="6" fontId="48" numFmtId="0" xfId="0" applyAlignment="1" applyBorder="1" applyFill="1" applyFont="1">
      <alignment horizontal="center" shrinkToFit="0" vertical="center" wrapText="1"/>
    </xf>
    <xf borderId="64" fillId="2" fontId="44" numFmtId="0" xfId="0" applyAlignment="1" applyBorder="1" applyFill="1" applyFont="1">
      <alignment shrinkToFit="0" vertical="top" wrapText="1"/>
    </xf>
    <xf borderId="8" fillId="2" fontId="48" numFmtId="0" xfId="0" applyAlignment="1" applyBorder="1" applyFill="1" applyFont="1">
      <alignment horizontal="center" readingOrder="1" shrinkToFit="0" vertical="center" wrapText="1"/>
    </xf>
    <xf borderId="8" fillId="12" fontId="25" numFmtId="0" xfId="0" applyAlignment="1" applyBorder="1" applyFill="1" applyFont="1">
      <alignment horizontal="center" shrinkToFit="0" vertical="center" wrapText="1"/>
    </xf>
    <xf borderId="65" fillId="0" fontId="4" numFmtId="0" xfId="0" applyBorder="1" applyFont="1"/>
    <xf borderId="8" fillId="12" fontId="33" numFmtId="0" xfId="0" applyAlignment="1" applyBorder="1" applyFill="1" applyFont="1">
      <alignment horizontal="center" shrinkToFit="0" vertical="center" wrapText="1"/>
    </xf>
    <xf borderId="0" fillId="0" fontId="25" numFmtId="0" xfId="0" applyAlignment="1" applyFont="1">
      <alignment horizontal="center" shrinkToFit="0" vertical="top" wrapText="1"/>
    </xf>
    <xf borderId="8" fillId="2" fontId="50" numFmtId="0" xfId="0" applyAlignment="1" applyBorder="1" applyFill="1" applyFont="1">
      <alignment horizontal="center" shrinkToFit="0" vertical="center" wrapText="1"/>
    </xf>
    <xf borderId="57" fillId="0" fontId="49" numFmtId="0" xfId="0" applyAlignment="1" applyBorder="1" applyFont="1">
      <alignment horizontal="left" shrinkToFit="0" vertical="center" wrapText="1"/>
    </xf>
    <xf borderId="8" fillId="12" fontId="15" numFmtId="0" xfId="0" applyAlignment="1" applyBorder="1" applyFill="1" applyFont="1">
      <alignment horizontal="center" shrinkToFit="0" vertical="center" wrapText="1"/>
    </xf>
    <xf borderId="10" fillId="2" fontId="45" numFmtId="0" xfId="0" applyAlignment="1" applyBorder="1" applyFill="1" applyFont="1">
      <alignment shrinkToFit="0" vertical="center" wrapText="1"/>
    </xf>
    <xf borderId="8" fillId="2" fontId="48" numFmtId="0" xfId="0" applyAlignment="1" applyBorder="1" applyFill="1" applyFont="1">
      <alignment horizontal="center" shrinkToFit="0" vertical="center" wrapText="1"/>
    </xf>
    <xf borderId="13" fillId="0" fontId="49" numFmtId="0" xfId="0" applyAlignment="1" applyBorder="1" applyFont="1">
      <alignment horizontal="center" shrinkToFit="0" vertical="center" wrapText="1"/>
    </xf>
    <xf borderId="10" fillId="12" fontId="15" numFmtId="167" xfId="0" applyAlignment="1" applyBorder="1" applyFill="1" applyFont="1" applyNumberFormat="1">
      <alignment horizontal="left" shrinkToFit="0" vertical="top" wrapText="1"/>
    </xf>
    <xf borderId="10" fillId="2" fontId="41" numFmtId="170" xfId="0" applyAlignment="1" applyBorder="1" applyFill="1" applyFont="1" applyNumberFormat="1">
      <alignment horizontal="center" shrinkToFit="0" vertical="top" wrapText="1"/>
    </xf>
    <xf borderId="53" fillId="2" fontId="48" numFmtId="0" xfId="0" applyAlignment="1" applyBorder="1" applyFill="1" applyFont="1">
      <alignment horizontal="left" shrinkToFit="0" vertical="top" wrapText="0"/>
    </xf>
    <xf borderId="13" fillId="0" fontId="49" numFmtId="169" xfId="0" applyAlignment="1" applyBorder="1" applyFont="1" applyNumberFormat="1">
      <alignment horizontal="center" shrinkToFit="0" vertical="center" wrapText="1"/>
    </xf>
    <xf borderId="10" fillId="2" fontId="26" numFmtId="167" xfId="0" applyAlignment="1" applyBorder="1" applyFill="1" applyFont="1" applyNumberFormat="1">
      <alignment horizontal="center" shrinkToFit="0" vertical="top" wrapText="1"/>
    </xf>
    <xf borderId="13" fillId="0" fontId="53" numFmtId="0" xfId="0" applyAlignment="1" applyBorder="1" applyFont="1">
      <alignment horizontal="center" shrinkToFit="0" vertical="center" wrapText="1"/>
    </xf>
    <xf borderId="10" fillId="2" fontId="34" numFmtId="167" xfId="0" applyAlignment="1" applyBorder="1" applyFill="1" applyFont="1" applyNumberFormat="1">
      <alignment horizontal="center" shrinkToFit="0" vertical="center" wrapText="1"/>
    </xf>
    <xf borderId="50" fillId="6" fontId="40" numFmtId="0" xfId="0" applyAlignment="1" applyBorder="1" applyFill="1" applyFont="1">
      <alignment horizontal="center" shrinkToFit="0" vertical="center" wrapText="1"/>
    </xf>
    <xf borderId="46" fillId="2" fontId="45" numFmtId="0" xfId="0" applyAlignment="1" applyBorder="1" applyFill="1" applyFont="1">
      <alignment shrinkToFit="0" vertical="top" wrapText="1"/>
    </xf>
    <xf borderId="58" fillId="0" fontId="49" numFmtId="0" xfId="0" applyAlignment="1" applyBorder="1" applyFont="1">
      <alignment horizontal="center" shrinkToFit="0" vertical="center" wrapText="1"/>
    </xf>
    <xf borderId="8" fillId="6" fontId="40" numFmtId="0" xfId="0" applyAlignment="1" applyBorder="1" applyFill="1" applyFont="1">
      <alignment horizontal="center" readingOrder="1" shrinkToFit="0" vertical="center" wrapText="1"/>
    </xf>
    <xf borderId="45" fillId="4" fontId="44" numFmtId="167" xfId="0" applyAlignment="1" applyBorder="1" applyFill="1" applyFont="1" applyNumberFormat="1">
      <alignment horizontal="center" shrinkToFit="0" vertical="top" wrapText="1"/>
    </xf>
    <xf borderId="45" fillId="0" fontId="49" numFmtId="0" xfId="0" applyAlignment="1" applyBorder="1" applyFont="1">
      <alignment horizontal="left" shrinkToFit="0" vertical="center" wrapText="1"/>
    </xf>
    <xf borderId="0" fillId="0" fontId="15" numFmtId="0" xfId="0" applyAlignment="1" applyFont="1">
      <alignment shrinkToFit="0" vertical="top" wrapText="1"/>
    </xf>
    <xf borderId="10" fillId="4" fontId="41" numFmtId="0" xfId="0" applyAlignment="1" applyBorder="1" applyFill="1" applyFont="1">
      <alignment horizontal="left" shrinkToFit="0" vertical="top" wrapText="1"/>
    </xf>
    <xf borderId="8" fillId="6" fontId="40" numFmtId="0" xfId="0" applyAlignment="1" applyBorder="1" applyFill="1" applyFont="1">
      <alignment horizontal="center" shrinkToFit="0" vertical="center" wrapText="1"/>
    </xf>
    <xf borderId="10" fillId="0" fontId="49" numFmtId="0" xfId="0" applyAlignment="1" applyBorder="1" applyFont="1">
      <alignment horizontal="center" shrinkToFit="0" vertical="center" wrapText="1"/>
    </xf>
    <xf borderId="10" fillId="4" fontId="26" numFmtId="167" xfId="0" applyAlignment="1" applyBorder="1" applyFill="1" applyFont="1" applyNumberFormat="1">
      <alignment horizontal="left" shrinkToFit="0" vertical="top" wrapText="1"/>
    </xf>
    <xf borderId="10" fillId="4" fontId="44" numFmtId="0" xfId="0" applyAlignment="1" applyBorder="1" applyFill="1" applyFont="1">
      <alignment shrinkToFit="0" vertical="top" wrapText="1"/>
    </xf>
    <xf borderId="10" fillId="4" fontId="26" numFmtId="170" xfId="0" applyAlignment="1" applyBorder="1" applyFill="1" applyFont="1" applyNumberFormat="1">
      <alignment horizontal="left" shrinkToFit="0" vertical="top" wrapText="1"/>
    </xf>
    <xf borderId="53" fillId="6" fontId="40" numFmtId="0" xfId="0" applyAlignment="1" applyBorder="1" applyFill="1" applyFont="1">
      <alignment horizontal="left" shrinkToFit="0" vertical="top" wrapText="1"/>
    </xf>
    <xf borderId="10" fillId="0" fontId="49" numFmtId="169" xfId="0" applyAlignment="1" applyBorder="1" applyFont="1" applyNumberFormat="1">
      <alignment horizontal="center" shrinkToFit="0" vertical="center" wrapText="1"/>
    </xf>
    <xf borderId="10" fillId="4" fontId="26" numFmtId="167" xfId="0" applyAlignment="1" applyBorder="1" applyFill="1" applyFont="1" applyNumberFormat="1">
      <alignment shrinkToFit="0" vertical="top" wrapText="1"/>
    </xf>
    <xf borderId="10" fillId="4" fontId="44" numFmtId="168" xfId="0" applyAlignment="1" applyBorder="1" applyFill="1" applyFont="1" applyNumberFormat="1">
      <alignment shrinkToFit="0" vertical="top" wrapText="1"/>
    </xf>
    <xf borderId="10" fillId="2" fontId="54" numFmtId="0" xfId="0" applyAlignment="1" applyBorder="1" applyFill="1" applyFont="1">
      <alignment horizontal="center" shrinkToFit="0" vertical="center" wrapText="1"/>
    </xf>
    <xf borderId="10" fillId="0" fontId="53" numFmtId="0" xfId="0" applyAlignment="1" applyBorder="1" applyFont="1">
      <alignment horizontal="center" shrinkToFit="0" vertical="center" wrapText="1"/>
    </xf>
    <xf borderId="10" fillId="4" fontId="15" numFmtId="0" xfId="0" applyAlignment="1" applyBorder="1" applyFill="1" applyFont="1">
      <alignment shrinkToFit="0" vertical="top" wrapText="1"/>
    </xf>
    <xf borderId="15" fillId="2" fontId="48" numFmtId="0" xfId="0" applyAlignment="1" applyBorder="1" applyFill="1" applyFont="1">
      <alignment horizontal="left" shrinkToFit="0" vertical="center" wrapText="1"/>
    </xf>
    <xf borderId="10" fillId="4" fontId="44" numFmtId="170" xfId="0" applyAlignment="1" applyBorder="1" applyFill="1" applyFont="1" applyNumberFormat="1">
      <alignment shrinkToFit="0" vertical="top" wrapText="1"/>
    </xf>
    <xf borderId="46" fillId="0" fontId="49" numFmtId="0" xfId="0" applyAlignment="1" applyBorder="1" applyFont="1">
      <alignment horizontal="left" shrinkToFit="0" vertical="center" wrapText="1"/>
    </xf>
    <xf borderId="15" fillId="2" fontId="48" numFmtId="0" xfId="0" applyAlignment="1" applyBorder="1" applyFill="1" applyFont="1">
      <alignment horizontal="left" readingOrder="1" shrinkToFit="0" vertical="top" wrapText="1"/>
    </xf>
    <xf borderId="10" fillId="6" fontId="25" numFmtId="167" xfId="0" applyAlignment="1" applyBorder="1" applyFill="1" applyFont="1" applyNumberFormat="1">
      <alignment horizontal="center" shrinkToFit="0" vertical="top" wrapText="1"/>
    </xf>
    <xf borderId="46" fillId="4" fontId="44" numFmtId="0" xfId="0" applyAlignment="1" applyBorder="1" applyFill="1" applyFont="1">
      <alignment shrinkToFit="0" vertical="top" wrapText="1"/>
    </xf>
    <xf borderId="10" fillId="0" fontId="55" numFmtId="0" xfId="0" applyAlignment="1" applyBorder="1" applyFont="1">
      <alignment horizontal="center" shrinkToFit="0" vertical="center" wrapText="1"/>
    </xf>
    <xf borderId="15" fillId="2" fontId="48" numFmtId="0" xfId="0" applyAlignment="1" applyBorder="1" applyFill="1" applyFont="1">
      <alignment horizontal="center" readingOrder="1" shrinkToFit="0" vertical="top" wrapText="1"/>
    </xf>
    <xf borderId="0" fillId="0" fontId="43" numFmtId="0" xfId="0" applyAlignment="1" applyFont="1">
      <alignment shrinkToFit="0" vertical="top" wrapText="1"/>
    </xf>
    <xf borderId="10" fillId="6" fontId="26" numFmtId="167" xfId="0" applyAlignment="1" applyBorder="1" applyFill="1" applyFont="1" applyNumberFormat="1">
      <alignment horizontal="center" shrinkToFit="0" vertical="top" wrapText="1"/>
    </xf>
    <xf borderId="15" fillId="2" fontId="48" numFmtId="0" xfId="0" applyAlignment="1" applyBorder="1" applyFill="1" applyFont="1">
      <alignment horizontal="center" shrinkToFit="0" vertical="center" wrapText="1"/>
    </xf>
    <xf borderId="10" fillId="0" fontId="49" numFmtId="2" xfId="0" applyAlignment="1" applyBorder="1" applyFont="1" applyNumberFormat="1">
      <alignment horizontal="center" shrinkToFit="0" vertical="center" wrapText="1"/>
    </xf>
    <xf borderId="10" fillId="0" fontId="56" numFmtId="0" xfId="0" applyAlignment="1" applyBorder="1" applyFont="1">
      <alignment horizontal="center" shrinkToFit="0" vertical="center" wrapText="1"/>
    </xf>
    <xf borderId="66" fillId="5" fontId="44" numFmtId="0" xfId="0" applyAlignment="1" applyBorder="1" applyFill="1" applyFont="1">
      <alignment horizontal="left" shrinkToFit="0" vertical="center" wrapText="1"/>
    </xf>
    <xf borderId="10" fillId="2" fontId="25" numFmtId="167" xfId="0" applyAlignment="1" applyBorder="1" applyFill="1" applyFont="1" applyNumberFormat="1">
      <alignment horizontal="center" shrinkToFit="0" vertical="top" wrapText="1"/>
    </xf>
    <xf borderId="67" fillId="0" fontId="4" numFmtId="0" xfId="0" applyBorder="1" applyFont="1"/>
    <xf borderId="15" fillId="2" fontId="48" numFmtId="170" xfId="0" applyAlignment="1" applyBorder="1" applyFill="1" applyFont="1" applyNumberFormat="1">
      <alignment horizontal="center" readingOrder="1" shrinkToFit="0" vertical="center" wrapText="1"/>
    </xf>
    <xf borderId="0" fillId="0" fontId="26" numFmtId="0" xfId="0" applyAlignment="1" applyFont="1">
      <alignment shrinkToFit="0" vertical="center" wrapText="0"/>
    </xf>
    <xf borderId="0" fillId="0" fontId="41" numFmtId="168" xfId="0" applyAlignment="1" applyFont="1" applyNumberFormat="1">
      <alignment shrinkToFit="0" vertical="top" wrapText="1"/>
    </xf>
    <xf borderId="15" fillId="2" fontId="48" numFmtId="0" xfId="0" applyAlignment="1" applyBorder="1" applyFill="1" applyFont="1">
      <alignment horizontal="left" shrinkToFit="0" vertical="top" wrapText="1"/>
    </xf>
    <xf borderId="10" fillId="2" fontId="44" numFmtId="0" xfId="0" applyAlignment="1" applyBorder="1" applyFill="1" applyFont="1">
      <alignment horizontal="center" shrinkToFit="0" vertical="top" wrapText="1"/>
    </xf>
    <xf borderId="10" fillId="6" fontId="45" numFmtId="0" xfId="0" applyAlignment="1" applyBorder="1" applyFill="1" applyFont="1">
      <alignment shrinkToFit="0" vertical="top" wrapText="1"/>
    </xf>
    <xf borderId="10" fillId="2" fontId="43" numFmtId="0" xfId="0" applyAlignment="1" applyBorder="1" applyFill="1" applyFont="1">
      <alignment horizontal="center" shrinkToFit="0" vertical="top" wrapText="1"/>
    </xf>
    <xf borderId="10" fillId="6" fontId="41" numFmtId="168" xfId="0" applyAlignment="1" applyBorder="1" applyFill="1" applyFont="1" applyNumberFormat="1">
      <alignment shrinkToFit="0" vertical="top" wrapText="1"/>
    </xf>
    <xf borderId="45" fillId="6" fontId="49" numFmtId="0" xfId="0" applyAlignment="1" applyBorder="1" applyFill="1" applyFont="1">
      <alignment horizontal="left" shrinkToFit="0" vertical="center" wrapText="1"/>
    </xf>
    <xf borderId="10" fillId="2" fontId="43" numFmtId="0" xfId="0" applyAlignment="1" applyBorder="1" applyFill="1" applyFont="1">
      <alignment shrinkToFit="0" vertical="center" wrapText="1"/>
    </xf>
    <xf borderId="10" fillId="6" fontId="41" numFmtId="2" xfId="0" applyAlignment="1" applyBorder="1" applyFill="1" applyFont="1" applyNumberFormat="1">
      <alignment shrinkToFit="0" vertical="top" wrapText="1"/>
    </xf>
    <xf borderId="10" fillId="6" fontId="49" numFmtId="2" xfId="0" applyAlignment="1" applyBorder="1" applyFill="1" applyFont="1" applyNumberFormat="1">
      <alignment horizontal="center" shrinkToFit="0" vertical="center" wrapText="1"/>
    </xf>
    <xf borderId="0" fillId="0" fontId="41" numFmtId="0" xfId="0" applyAlignment="1" applyFont="1">
      <alignment shrinkToFit="0" vertical="top" wrapText="1"/>
    </xf>
    <xf borderId="15" fillId="6" fontId="25" numFmtId="167" xfId="0" applyAlignment="1" applyBorder="1" applyFill="1" applyFont="1" applyNumberFormat="1">
      <alignment horizontal="center" shrinkToFit="0" vertical="top" wrapText="1"/>
    </xf>
    <xf borderId="68" fillId="0" fontId="24" numFmtId="0" xfId="0" applyAlignment="1" applyBorder="1" applyFont="1">
      <alignment shrinkToFit="0" vertical="bottom" wrapText="0"/>
    </xf>
    <xf borderId="10" fillId="6" fontId="49" numFmtId="169" xfId="0" applyAlignment="1" applyBorder="1" applyFill="1" applyFont="1" applyNumberFormat="1">
      <alignment horizontal="center" shrinkToFit="0" vertical="center" wrapText="1"/>
    </xf>
    <xf borderId="15" fillId="6" fontId="43" numFmtId="0" xfId="0" applyAlignment="1" applyBorder="1" applyFill="1" applyFont="1">
      <alignment horizontal="center" shrinkToFit="0" vertical="top" wrapText="1"/>
    </xf>
    <xf borderId="69" fillId="2" fontId="44" numFmtId="0" xfId="0" applyAlignment="1" applyBorder="1" applyFill="1" applyFont="1">
      <alignment shrinkToFit="0" vertical="top" wrapText="1"/>
    </xf>
    <xf borderId="68" fillId="0" fontId="26" numFmtId="0" xfId="0" applyAlignment="1" applyBorder="1" applyFont="1">
      <alignment shrinkToFit="0" vertical="bottom" wrapText="0"/>
    </xf>
    <xf borderId="10" fillId="6" fontId="55" numFmtId="0" xfId="0" applyAlignment="1" applyBorder="1" applyFill="1" applyFont="1">
      <alignment horizontal="center" shrinkToFit="0" vertical="center" wrapText="1"/>
    </xf>
    <xf borderId="15" fillId="6" fontId="25" numFmtId="0" xfId="0" applyAlignment="1" applyBorder="1" applyFill="1" applyFont="1">
      <alignment horizontal="left" shrinkToFit="0" vertical="top" wrapText="1"/>
    </xf>
    <xf borderId="11" fillId="0" fontId="41" numFmtId="0" xfId="0" applyAlignment="1" applyBorder="1" applyFont="1">
      <alignment shrinkToFit="0" vertical="top" wrapText="1"/>
    </xf>
    <xf borderId="15" fillId="6" fontId="25" numFmtId="168" xfId="0" applyAlignment="1" applyBorder="1" applyFill="1" applyFont="1" applyNumberFormat="1">
      <alignment shrinkToFit="0" vertical="top" wrapText="1"/>
    </xf>
    <xf borderId="15" fillId="6" fontId="25" numFmtId="0" xfId="0" applyAlignment="1" applyBorder="1" applyFill="1" applyFont="1">
      <alignment shrinkToFit="0" vertical="top" wrapText="1"/>
    </xf>
    <xf borderId="70" fillId="0" fontId="26" numFmtId="0" xfId="0" applyAlignment="1" applyBorder="1" applyFont="1">
      <alignment shrinkToFit="0" vertical="bottom" wrapText="0"/>
    </xf>
    <xf borderId="46" fillId="6" fontId="49" numFmtId="0" xfId="0" applyAlignment="1" applyBorder="1" applyFill="1" applyFont="1">
      <alignment horizontal="left" shrinkToFit="0" vertical="center" wrapText="1"/>
    </xf>
    <xf borderId="15" fillId="6" fontId="25" numFmtId="169" xfId="0" applyAlignment="1" applyBorder="1" applyFill="1" applyFont="1" applyNumberFormat="1">
      <alignment shrinkToFit="0" vertical="top" wrapText="1"/>
    </xf>
    <xf borderId="26" fillId="0" fontId="24" numFmtId="0" xfId="0" applyAlignment="1" applyBorder="1" applyFont="1">
      <alignment horizontal="center" shrinkToFit="0" vertical="bottom" wrapText="0"/>
    </xf>
    <xf borderId="10" fillId="0" fontId="41" numFmtId="168" xfId="0" applyAlignment="1" applyBorder="1" applyFont="1" applyNumberFormat="1">
      <alignment shrinkToFit="0" vertical="top" wrapText="1"/>
    </xf>
    <xf borderId="53" fillId="0" fontId="49" numFmtId="0" xfId="0" applyAlignment="1" applyBorder="1" applyFont="1">
      <alignment horizontal="left" shrinkToFit="0" vertical="center" wrapText="1"/>
    </xf>
    <xf borderId="10" fillId="0" fontId="41" numFmtId="2" xfId="0" applyAlignment="1" applyBorder="1" applyFont="1" applyNumberFormat="1">
      <alignment shrinkToFit="0" vertical="top" wrapText="1"/>
    </xf>
    <xf borderId="15" fillId="6" fontId="25" numFmtId="0" xfId="0" applyAlignment="1" applyBorder="1" applyFill="1" applyFont="1">
      <alignment horizontal="center" shrinkToFit="0" vertical="top" wrapText="1"/>
    </xf>
    <xf borderId="68" fillId="0" fontId="24" numFmtId="170" xfId="0" applyAlignment="1" applyBorder="1" applyFont="1" applyNumberFormat="1">
      <alignment horizontal="center" shrinkToFit="0" vertical="center" wrapText="0"/>
    </xf>
    <xf borderId="45" fillId="2" fontId="49" numFmtId="0" xfId="0" applyAlignment="1" applyBorder="1" applyFill="1" applyFont="1">
      <alignment horizontal="left" shrinkToFit="0" vertical="center" wrapText="1"/>
    </xf>
    <xf borderId="15" fillId="6" fontId="26" numFmtId="167" xfId="0" applyAlignment="1" applyBorder="1" applyFill="1" applyFont="1" applyNumberFormat="1">
      <alignment horizontal="center" shrinkToFit="0" vertical="top" wrapText="1"/>
    </xf>
    <xf borderId="71" fillId="0" fontId="26" numFmtId="0" xfId="0" applyAlignment="1" applyBorder="1" applyFont="1">
      <alignment shrinkToFit="0" vertical="bottom" wrapText="0"/>
    </xf>
    <xf borderId="10" fillId="2" fontId="49" numFmtId="169" xfId="0" applyAlignment="1" applyBorder="1" applyFill="1" applyFont="1" applyNumberFormat="1">
      <alignment horizontal="center" shrinkToFit="0" vertical="center" wrapText="1"/>
    </xf>
    <xf borderId="15" fillId="6" fontId="15" numFmtId="0" xfId="0" applyAlignment="1" applyBorder="1" applyFill="1" applyFont="1">
      <alignment shrinkToFit="0" vertical="top" wrapText="1"/>
    </xf>
    <xf borderId="65" fillId="0" fontId="26" numFmtId="0" xfId="0" applyAlignment="1" applyBorder="1" applyFont="1">
      <alignment shrinkToFit="0" vertical="bottom" wrapText="0"/>
    </xf>
    <xf borderId="10" fillId="2" fontId="53" numFmtId="0" xfId="0" applyAlignment="1" applyBorder="1" applyFill="1" applyFont="1">
      <alignment horizontal="center" shrinkToFit="0" vertical="center" wrapText="1"/>
    </xf>
    <xf borderId="72" fillId="4" fontId="36" numFmtId="167" xfId="0" applyAlignment="1" applyBorder="1" applyFill="1" applyFont="1" applyNumberFormat="1">
      <alignment horizontal="left" shrinkToFit="0" vertical="center" wrapText="1"/>
    </xf>
    <xf borderId="27" fillId="0" fontId="26" numFmtId="0" xfId="0" applyAlignment="1" applyBorder="1" applyFont="1">
      <alignment shrinkToFit="0" vertical="bottom" wrapText="0"/>
    </xf>
    <xf borderId="53" fillId="0" fontId="41" numFmtId="0" xfId="0" applyAlignment="1" applyBorder="1" applyFont="1">
      <alignment shrinkToFit="0" vertical="top" wrapText="1"/>
    </xf>
    <xf borderId="73" fillId="2" fontId="49" numFmtId="0" xfId="0" applyAlignment="1" applyBorder="1" applyFill="1" applyFont="1">
      <alignment horizontal="center" shrinkToFit="0" vertical="center" wrapText="1"/>
    </xf>
    <xf borderId="74" fillId="4" fontId="26" numFmtId="167" xfId="0" applyAlignment="1" applyBorder="1" applyFill="1" applyFont="1" applyNumberFormat="1">
      <alignment horizontal="left" shrinkToFit="0" vertical="center" wrapText="1"/>
    </xf>
    <xf borderId="73" fillId="2" fontId="41" numFmtId="0" xfId="0" applyAlignment="1" applyBorder="1" applyFill="1" applyFont="1">
      <alignment horizontal="center" shrinkToFit="0" vertical="top" wrapText="1"/>
    </xf>
    <xf borderId="74" fillId="4" fontId="24" numFmtId="168" xfId="0" applyAlignment="1" applyBorder="1" applyFill="1" applyFont="1" applyNumberFormat="1">
      <alignment shrinkToFit="0" vertical="center" wrapText="1"/>
    </xf>
    <xf borderId="75" fillId="0" fontId="26" numFmtId="0" xfId="0" applyAlignment="1" applyBorder="1" applyFont="1">
      <alignment shrinkToFit="0" vertical="bottom" wrapText="0"/>
    </xf>
    <xf borderId="10" fillId="2" fontId="53" numFmtId="0" xfId="0" applyAlignment="1" applyBorder="1" applyFill="1" applyFont="1">
      <alignment horizontal="left" shrinkToFit="0" vertical="center" wrapText="1"/>
    </xf>
    <xf borderId="74" fillId="4" fontId="16" numFmtId="169" xfId="0" applyAlignment="1" applyBorder="1" applyFill="1" applyFont="1" applyNumberFormat="1">
      <alignment shrinkToFit="0" vertical="center" wrapText="1"/>
    </xf>
    <xf borderId="76" fillId="0" fontId="26" numFmtId="0" xfId="0" applyAlignment="1" applyBorder="1" applyFont="1">
      <alignment shrinkToFit="0" vertical="bottom" wrapText="0"/>
    </xf>
    <xf borderId="0" fillId="0" fontId="37" numFmtId="0" xfId="0" applyAlignment="1" applyFont="1">
      <alignment horizontal="left" shrinkToFit="0" vertical="center" wrapText="1"/>
    </xf>
    <xf borderId="74" fillId="4" fontId="24" numFmtId="170" xfId="0" applyAlignment="1" applyBorder="1" applyFill="1" applyFont="1" applyNumberFormat="1">
      <alignment shrinkToFit="0" vertical="center" wrapText="1"/>
    </xf>
    <xf borderId="58" fillId="0" fontId="49" numFmtId="0" xfId="0" applyAlignment="1" applyBorder="1" applyFont="1">
      <alignment horizontal="left" shrinkToFit="0" vertical="center" wrapText="1"/>
    </xf>
    <xf borderId="10" fillId="2" fontId="41" numFmtId="0" xfId="0" applyAlignment="1" applyBorder="1" applyFill="1" applyFont="1">
      <alignment shrinkToFit="0" vertical="center" wrapText="1"/>
    </xf>
    <xf borderId="74" fillId="4" fontId="26" numFmtId="170" xfId="0" applyAlignment="1" applyBorder="1" applyFill="1" applyFont="1" applyNumberFormat="1">
      <alignment horizontal="left" shrinkToFit="0" vertical="center" wrapText="1"/>
    </xf>
    <xf borderId="74" fillId="4" fontId="26" numFmtId="167" xfId="0" applyAlignment="1" applyBorder="1" applyFill="1" applyFont="1" applyNumberFormat="1">
      <alignment shrinkToFit="0" vertical="center" wrapText="1"/>
    </xf>
    <xf borderId="10" fillId="2" fontId="41" numFmtId="168" xfId="0" applyAlignment="1" applyBorder="1" applyFill="1" applyFont="1" applyNumberFormat="1">
      <alignment shrinkToFit="0" vertical="center" wrapText="1"/>
    </xf>
    <xf borderId="77" fillId="4" fontId="15" numFmtId="0" xfId="0" applyAlignment="1" applyBorder="1" applyFill="1" applyFont="1">
      <alignment shrinkToFit="0" vertical="center" wrapText="1"/>
    </xf>
    <xf borderId="45" fillId="0" fontId="49" numFmtId="166" xfId="0" applyAlignment="1" applyBorder="1" applyFont="1" applyNumberFormat="1">
      <alignment horizontal="left" shrinkToFit="0" vertical="center" wrapText="1"/>
    </xf>
    <xf borderId="10" fillId="2" fontId="41" numFmtId="2" xfId="0" applyAlignment="1" applyBorder="1" applyFill="1" applyFont="1" applyNumberFormat="1">
      <alignment shrinkToFit="0" vertical="center" wrapText="1"/>
    </xf>
    <xf borderId="0" fillId="0" fontId="26" numFmtId="0" xfId="0" applyAlignment="1" applyFont="1">
      <alignment shrinkToFit="0" vertical="bottom" wrapText="0"/>
    </xf>
    <xf borderId="10" fillId="2" fontId="41" numFmtId="170" xfId="0" applyAlignment="1" applyBorder="1" applyFill="1" applyFont="1" applyNumberFormat="1">
      <alignment shrinkToFit="0" vertical="center" wrapText="1"/>
    </xf>
    <xf borderId="10" fillId="4" fontId="36" numFmtId="0" xfId="0" applyAlignment="1" applyBorder="1" applyFill="1" applyFont="1">
      <alignment shrinkToFit="0" vertical="bottom" wrapText="0"/>
    </xf>
    <xf borderId="78" fillId="2" fontId="41" numFmtId="0" xfId="0" applyAlignment="1" applyBorder="1" applyFill="1" applyFont="1">
      <alignment shrinkToFit="0" vertical="center" wrapText="1"/>
    </xf>
    <xf borderId="0" fillId="0" fontId="41" numFmtId="0" xfId="0" applyAlignment="1" applyFont="1">
      <alignment horizontal="center" shrinkToFit="0" vertical="center" wrapText="1"/>
    </xf>
    <xf borderId="79" fillId="2" fontId="41" numFmtId="0" xfId="0" applyAlignment="1" applyBorder="1" applyFill="1" applyFont="1">
      <alignment shrinkToFit="0" vertical="center" wrapText="1"/>
    </xf>
    <xf borderId="73" fillId="2" fontId="41" numFmtId="0" xfId="0" applyAlignment="1" applyBorder="1" applyFill="1" applyFont="1">
      <alignment shrinkToFit="0" vertical="top" wrapText="1"/>
    </xf>
    <xf borderId="73" fillId="6" fontId="41" numFmtId="0" xfId="0" applyAlignment="1" applyBorder="1" applyFill="1" applyFont="1">
      <alignment shrinkToFit="0" vertical="top" wrapText="1"/>
    </xf>
    <xf borderId="10" fillId="0" fontId="55" numFmtId="169" xfId="0" applyAlignment="1" applyBorder="1" applyFont="1" applyNumberFormat="1">
      <alignment horizontal="center" shrinkToFit="0" vertical="center" wrapText="1"/>
    </xf>
    <xf borderId="10" fillId="2" fontId="47" numFmtId="0" xfId="0" applyAlignment="1" applyBorder="1" applyFill="1" applyFont="1">
      <alignment horizontal="center" shrinkToFit="0" vertical="center" wrapText="1"/>
    </xf>
    <xf borderId="10" fillId="4" fontId="44" numFmtId="0" xfId="0" applyAlignment="1" applyBorder="1" applyFill="1" applyFont="1">
      <alignment horizontal="center" shrinkToFit="0" vertical="center" wrapText="0"/>
    </xf>
    <xf borderId="10" fillId="4" fontId="44" numFmtId="0" xfId="0" applyAlignment="1" applyBorder="1" applyFill="1" applyFont="1">
      <alignment shrinkToFit="0" vertical="top" wrapText="0"/>
    </xf>
    <xf borderId="10" fillId="4" fontId="44" numFmtId="170" xfId="0" applyAlignment="1" applyBorder="1" applyFill="1" applyFont="1" applyNumberFormat="1">
      <alignment shrinkToFit="0" vertical="top" wrapText="0"/>
    </xf>
    <xf borderId="10" fillId="4" fontId="41" numFmtId="0" xfId="0" applyAlignment="1" applyBorder="1" applyFill="1" applyFont="1">
      <alignment shrinkToFit="0" vertical="top" wrapText="1"/>
    </xf>
    <xf borderId="10" fillId="4" fontId="41" numFmtId="0" xfId="0" applyAlignment="1" applyBorder="1" applyFill="1" applyFont="1">
      <alignment horizontal="center" shrinkToFit="0" vertical="center" wrapText="1"/>
    </xf>
    <xf borderId="61" fillId="4" fontId="41" numFmtId="0" xfId="0" applyAlignment="1" applyBorder="1" applyFill="1" applyFont="1">
      <alignment shrinkToFit="0" vertical="bottom" wrapText="0"/>
    </xf>
    <xf borderId="66" fillId="5" fontId="13" numFmtId="0" xfId="0" applyAlignment="1" applyBorder="1" applyFill="1" applyFont="1">
      <alignment horizontal="left" shrinkToFit="0" vertical="center" wrapText="1"/>
    </xf>
    <xf borderId="46" fillId="0" fontId="47" numFmtId="0" xfId="0" applyAlignment="1" applyBorder="1" applyFont="1">
      <alignment shrinkToFit="0" vertical="top" wrapText="1"/>
    </xf>
    <xf borderId="70" fillId="4" fontId="25" numFmtId="0" xfId="0" applyAlignment="1" applyBorder="1" applyFill="1" applyFont="1">
      <alignment horizontal="center" shrinkToFit="0" vertical="top" wrapText="0"/>
    </xf>
    <xf borderId="10" fillId="0" fontId="44" numFmtId="0" xfId="0" applyAlignment="1" applyBorder="1" applyFont="1">
      <alignment shrinkToFit="0" vertical="top" wrapText="1"/>
    </xf>
    <xf borderId="80" fillId="0" fontId="37" numFmtId="0" xfId="0" applyAlignment="1" applyBorder="1" applyFont="1">
      <alignment horizontal="center" shrinkToFit="0" vertical="center" wrapText="0"/>
    </xf>
    <xf borderId="80" fillId="0" fontId="4" numFmtId="0" xfId="0" applyBorder="1" applyFont="1"/>
    <xf borderId="45" fillId="4" fontId="5" numFmtId="166" xfId="0" applyAlignment="1" applyBorder="1" applyFill="1" applyFont="1" applyNumberFormat="1">
      <alignment horizontal="left" shrinkToFit="0" vertical="center" wrapText="1"/>
    </xf>
    <xf borderId="81" fillId="4" fontId="52" numFmtId="0" xfId="0" applyAlignment="1" applyBorder="1" applyFill="1" applyFont="1">
      <alignment horizontal="center" shrinkToFit="0" vertical="center" wrapText="1"/>
    </xf>
    <xf borderId="15" fillId="2" fontId="41" numFmtId="168" xfId="0" applyAlignment="1" applyBorder="1" applyFill="1" applyFont="1" applyNumberFormat="1">
      <alignment shrinkToFit="0" vertical="center" wrapText="1"/>
    </xf>
    <xf borderId="10" fillId="4" fontId="55" numFmtId="166" xfId="0" applyAlignment="1" applyBorder="1" applyFill="1" applyFont="1" applyNumberFormat="1">
      <alignment horizontal="center" shrinkToFit="0" vertical="center" wrapText="1"/>
    </xf>
    <xf borderId="8" fillId="0" fontId="26" numFmtId="0" xfId="0" applyAlignment="1" applyBorder="1" applyFont="1">
      <alignment horizontal="center" shrinkToFit="0" vertical="bottom" wrapText="0"/>
    </xf>
    <xf borderId="8" fillId="2" fontId="41" numFmtId="170" xfId="0" applyAlignment="1" applyBorder="1" applyFill="1" applyFont="1" applyNumberFormat="1">
      <alignment horizontal="center" shrinkToFit="0" vertical="center" wrapText="1"/>
    </xf>
    <xf borderId="10" fillId="4" fontId="55" numFmtId="2" xfId="0" applyAlignment="1" applyBorder="1" applyFill="1" applyFont="1" applyNumberFormat="1">
      <alignment horizontal="center" shrinkToFit="0" vertical="center" wrapText="1"/>
    </xf>
    <xf borderId="82" fillId="0" fontId="41" numFmtId="0" xfId="0" applyAlignment="1" applyBorder="1" applyFont="1">
      <alignment horizontal="left" shrinkToFit="0" vertical="center" wrapText="1"/>
    </xf>
    <xf borderId="83" fillId="0" fontId="4" numFmtId="0" xfId="0" applyBorder="1" applyFont="1"/>
    <xf borderId="10" fillId="4" fontId="55" numFmtId="169" xfId="0" applyAlignment="1" applyBorder="1" applyFill="1" applyFont="1" applyNumberFormat="1">
      <alignment horizontal="center" shrinkToFit="0" vertical="center" wrapText="1"/>
    </xf>
    <xf borderId="33" fillId="4" fontId="43" numFmtId="0" xfId="0" applyAlignment="1" applyBorder="1" applyFill="1" applyFont="1">
      <alignment horizontal="center" shrinkToFit="0" vertical="top" wrapText="0"/>
    </xf>
    <xf borderId="20" fillId="2" fontId="41" numFmtId="168" xfId="0" applyAlignment="1" applyBorder="1" applyFill="1" applyFont="1" applyNumberFormat="1">
      <alignment shrinkToFit="0" vertical="center" wrapText="1"/>
    </xf>
    <xf borderId="46" fillId="4" fontId="55" numFmtId="0" xfId="0" applyAlignment="1" applyBorder="1" applyFill="1" applyFont="1">
      <alignment shrinkToFit="0" vertical="center" wrapText="1"/>
    </xf>
    <xf borderId="15" fillId="4" fontId="52" numFmtId="170" xfId="0" applyAlignment="1" applyBorder="1" applyFill="1" applyFont="1" applyNumberFormat="1">
      <alignment shrinkToFit="0" vertical="center" wrapText="1"/>
    </xf>
    <xf borderId="84" fillId="4" fontId="52" numFmtId="0" xfId="0" applyAlignment="1" applyBorder="1" applyFill="1" applyFont="1">
      <alignment horizontal="center" shrinkToFit="0" vertical="center" wrapText="1"/>
    </xf>
    <xf borderId="9" fillId="5" fontId="5" numFmtId="0" xfId="0" applyAlignment="1" applyBorder="1" applyFill="1" applyFont="1">
      <alignment horizontal="left" shrinkToFit="0" vertical="center" wrapText="1"/>
    </xf>
    <xf borderId="85" fillId="0" fontId="4" numFmtId="0" xfId="0" applyBorder="1" applyFont="1"/>
    <xf borderId="50" fillId="2" fontId="41" numFmtId="167" xfId="0" applyAlignment="1" applyBorder="1" applyFill="1" applyFont="1" applyNumberFormat="1">
      <alignment horizontal="left" shrinkToFit="0" vertical="center" wrapText="1"/>
    </xf>
    <xf borderId="86" fillId="4" fontId="52" numFmtId="0" xfId="0" applyAlignment="1" applyBorder="1" applyFill="1" applyFont="1">
      <alignment horizontal="center" shrinkToFit="0" vertical="center" wrapText="1"/>
    </xf>
    <xf borderId="10" fillId="0" fontId="49" numFmtId="0" xfId="0" applyAlignment="1" applyBorder="1" applyFont="1">
      <alignment horizontal="left" shrinkToFit="0" vertical="center" wrapText="1"/>
    </xf>
    <xf borderId="51" fillId="5" fontId="57" numFmtId="0" xfId="0" applyAlignment="1" applyBorder="1" applyFill="1" applyFont="1">
      <alignment horizontal="left" shrinkToFit="0" vertical="center" wrapText="1"/>
    </xf>
    <xf borderId="87" fillId="0" fontId="4" numFmtId="0" xfId="0" applyBorder="1" applyFont="1"/>
    <xf borderId="0" fillId="0" fontId="37" numFmtId="0" xfId="0" applyAlignment="1" applyFont="1">
      <alignment horizontal="center" shrinkToFit="0" vertical="center" wrapText="1"/>
    </xf>
    <xf borderId="10" fillId="0" fontId="26" numFmtId="0" xfId="0" applyAlignment="1" applyBorder="1" applyFont="1">
      <alignment shrinkToFit="0" vertical="bottom" wrapText="0"/>
    </xf>
    <xf borderId="88" fillId="4" fontId="52" numFmtId="0" xfId="0" applyAlignment="1" applyBorder="1" applyFill="1" applyFont="1">
      <alignment horizontal="center" shrinkToFit="0" vertical="center" wrapText="1"/>
    </xf>
    <xf borderId="60" fillId="6" fontId="49" numFmtId="0" xfId="0" applyAlignment="1" applyBorder="1" applyFill="1" applyFont="1">
      <alignment horizontal="left" shrinkToFit="0" vertical="center" wrapText="1"/>
    </xf>
    <xf borderId="66" fillId="5" fontId="57" numFmtId="0" xfId="0" applyAlignment="1" applyBorder="1" applyFill="1" applyFont="1">
      <alignment horizontal="left" shrinkToFit="0" vertical="center" wrapText="1"/>
    </xf>
    <xf borderId="89" fillId="4" fontId="52" numFmtId="0" xfId="0" applyAlignment="1" applyBorder="1" applyFill="1" applyFont="1">
      <alignment horizontal="center" shrinkToFit="0" vertical="center" wrapText="1"/>
    </xf>
    <xf borderId="20" fillId="6" fontId="49" numFmtId="0" xfId="0" applyAlignment="1" applyBorder="1" applyFill="1" applyFont="1">
      <alignment horizontal="center" shrinkToFit="0" vertical="center" wrapText="1"/>
    </xf>
    <xf borderId="90" fillId="0" fontId="4" numFmtId="0" xfId="0" applyBorder="1" applyFont="1"/>
    <xf borderId="10" fillId="6" fontId="47" numFmtId="0" xfId="0" applyAlignment="1" applyBorder="1" applyFill="1" applyFont="1">
      <alignment shrinkToFit="0" vertical="top" wrapText="1"/>
    </xf>
    <xf borderId="66" fillId="0" fontId="25" numFmtId="0" xfId="0" applyAlignment="1" applyBorder="1" applyFont="1">
      <alignment shrinkToFit="0" vertical="top" wrapText="0"/>
    </xf>
    <xf borderId="70" fillId="4" fontId="52" numFmtId="0" xfId="0" applyAlignment="1" applyBorder="1" applyFill="1" applyFont="1">
      <alignment horizontal="center" shrinkToFit="0" vertical="center" wrapText="1"/>
    </xf>
    <xf borderId="10" fillId="6" fontId="55" numFmtId="169" xfId="0" applyAlignment="1" applyBorder="1" applyFill="1" applyFont="1" applyNumberFormat="1">
      <alignment horizontal="center" shrinkToFit="0" vertical="center" wrapText="1"/>
    </xf>
    <xf borderId="15" fillId="4" fontId="52" numFmtId="170" xfId="0" applyAlignment="1" applyBorder="1" applyFill="1" applyFont="1" applyNumberFormat="1">
      <alignment horizontal="center" shrinkToFit="0" vertical="center" wrapText="1"/>
    </xf>
    <xf borderId="91" fillId="0" fontId="40" numFmtId="0" xfId="0" applyAlignment="1" applyBorder="1" applyFont="1">
      <alignment shrinkToFit="0" vertical="center" wrapText="1"/>
    </xf>
    <xf borderId="56" fillId="6" fontId="41" numFmtId="167" xfId="0" applyAlignment="1" applyBorder="1" applyFill="1" applyFont="1" applyNumberFormat="1">
      <alignment horizontal="left" shrinkToFit="0" vertical="top" wrapText="1"/>
    </xf>
    <xf borderId="61" fillId="6" fontId="49" numFmtId="0" xfId="0" applyAlignment="1" applyBorder="1" applyFill="1" applyFont="1">
      <alignment horizontal="center" shrinkToFit="0" vertical="center" wrapText="1"/>
    </xf>
    <xf borderId="43" fillId="5" fontId="57" numFmtId="0" xfId="0" applyAlignment="1" applyBorder="1" applyFill="1" applyFont="1">
      <alignment horizontal="left" shrinkToFit="0" vertical="center" wrapText="1"/>
    </xf>
    <xf borderId="50" fillId="6" fontId="41" numFmtId="167" xfId="0" applyAlignment="1" applyBorder="1" applyFill="1" applyFont="1" applyNumberFormat="1">
      <alignment horizontal="left" shrinkToFit="0" vertical="center" wrapText="1"/>
    </xf>
    <xf borderId="92" fillId="5" fontId="25" numFmtId="0" xfId="0" applyAlignment="1" applyBorder="1" applyFill="1" applyFont="1">
      <alignment shrinkToFit="0" vertical="bottom" wrapText="0"/>
    </xf>
    <xf borderId="91" fillId="0" fontId="40" numFmtId="0" xfId="0" applyAlignment="1" applyBorder="1" applyFont="1">
      <alignment horizontal="center" shrinkToFit="0" vertical="center" wrapText="1"/>
    </xf>
    <xf borderId="60" fillId="4" fontId="5" numFmtId="166" xfId="0" applyAlignment="1" applyBorder="1" applyFill="1" applyFont="1" applyNumberFormat="1">
      <alignment horizontal="left" shrinkToFit="0" vertical="center" wrapText="1"/>
    </xf>
    <xf borderId="91" fillId="5" fontId="25" numFmtId="0" xfId="0" applyAlignment="1" applyBorder="1" applyFill="1" applyFont="1">
      <alignment shrinkToFit="0" vertical="bottom" wrapText="0"/>
    </xf>
    <xf borderId="60" fillId="2" fontId="41" numFmtId="167" xfId="0" applyAlignment="1" applyBorder="1" applyFill="1" applyFont="1" applyNumberFormat="1">
      <alignment horizontal="left" shrinkToFit="0" vertical="top" wrapText="1"/>
    </xf>
    <xf borderId="91" fillId="0" fontId="40" numFmtId="0" xfId="0" applyAlignment="1" applyBorder="1" applyFont="1">
      <alignment horizontal="left" shrinkToFit="0" vertical="center" wrapText="1"/>
    </xf>
    <xf borderId="20" fillId="4" fontId="5" numFmtId="166" xfId="0" applyAlignment="1" applyBorder="1" applyFill="1" applyFont="1" applyNumberFormat="1">
      <alignment horizontal="center" shrinkToFit="0" vertical="center" wrapText="1"/>
    </xf>
    <xf borderId="66" fillId="5" fontId="58" numFmtId="0" xfId="0" applyAlignment="1" applyBorder="1" applyFill="1" applyFont="1">
      <alignment horizontal="left" shrinkToFit="0" vertical="top" wrapText="1"/>
    </xf>
    <xf borderId="91" fillId="0" fontId="40" numFmtId="170" xfId="0" applyAlignment="1" applyBorder="1" applyFont="1" applyNumberFormat="1">
      <alignment shrinkToFit="0" vertical="center" wrapText="1"/>
    </xf>
    <xf borderId="93" fillId="5" fontId="25" numFmtId="0" xfId="0" applyAlignment="1" applyBorder="1" applyFill="1" applyFont="1">
      <alignment shrinkToFit="0" vertical="bottom" wrapText="0"/>
    </xf>
    <xf borderId="20" fillId="4" fontId="5" numFmtId="2" xfId="0" applyAlignment="1" applyBorder="1" applyFill="1" applyFont="1" applyNumberFormat="1">
      <alignment horizontal="center" shrinkToFit="0" vertical="center" wrapText="1"/>
    </xf>
    <xf borderId="35" fillId="0" fontId="40" numFmtId="0" xfId="0" applyAlignment="1" applyBorder="1" applyFont="1">
      <alignment horizontal="left" shrinkToFit="0" vertical="center" wrapText="1"/>
    </xf>
    <xf borderId="15" fillId="5" fontId="25" numFmtId="0" xfId="0" applyAlignment="1" applyBorder="1" applyFill="1" applyFont="1">
      <alignment shrinkToFit="0" vertical="bottom" wrapText="0"/>
    </xf>
    <xf borderId="10" fillId="0" fontId="40" numFmtId="0" xfId="0" applyAlignment="1" applyBorder="1" applyFont="1">
      <alignment horizontal="center" shrinkToFit="0" vertical="center" wrapText="1"/>
    </xf>
    <xf borderId="61" fillId="4" fontId="59" numFmtId="0" xfId="0" applyAlignment="1" applyBorder="1" applyFill="1" applyFont="1">
      <alignment shrinkToFit="0" vertical="center" wrapText="0"/>
    </xf>
    <xf borderId="45" fillId="0" fontId="25" numFmtId="0" xfId="0" applyAlignment="1" applyBorder="1" applyFont="1">
      <alignment shrinkToFit="0" vertical="top" wrapText="0"/>
    </xf>
    <xf borderId="10" fillId="0" fontId="40" numFmtId="170" xfId="0" applyAlignment="1" applyBorder="1" applyFont="1" applyNumberFormat="1">
      <alignment horizontal="center" shrinkToFit="0" vertical="center" wrapText="1"/>
    </xf>
    <xf borderId="12" fillId="0" fontId="40" numFmtId="0" xfId="0" applyAlignment="1" applyBorder="1" applyFont="1">
      <alignment shrinkToFit="0" vertical="center" wrapText="1"/>
    </xf>
    <xf borderId="46" fillId="4" fontId="41" numFmtId="0" xfId="0" applyAlignment="1" applyBorder="1" applyFill="1" applyFont="1">
      <alignment shrinkToFit="0" vertical="bottom" wrapText="0"/>
    </xf>
    <xf borderId="66" fillId="5" fontId="5" numFmtId="0" xfId="0" applyAlignment="1" applyBorder="1" applyFill="1" applyFont="1">
      <alignment horizontal="left" shrinkToFit="0" vertical="center" wrapText="1"/>
    </xf>
    <xf borderId="10" fillId="0" fontId="58" numFmtId="0" xfId="0" applyAlignment="1" applyBorder="1" applyFont="1">
      <alignment horizontal="center" shrinkToFit="0" vertical="center" wrapText="1"/>
    </xf>
    <xf borderId="10" fillId="0" fontId="40" numFmtId="170" xfId="0" applyAlignment="1" applyBorder="1" applyFont="1" applyNumberFormat="1">
      <alignment shrinkToFit="0" vertical="center" wrapText="1"/>
    </xf>
    <xf borderId="10" fillId="0" fontId="49" numFmtId="166" xfId="0" applyAlignment="1" applyBorder="1" applyFont="1" applyNumberFormat="1">
      <alignment horizontal="center" shrinkToFit="0" vertical="center" wrapText="1"/>
    </xf>
    <xf borderId="56" fillId="6" fontId="41" numFmtId="0" xfId="0" applyAlignment="1" applyBorder="1" applyFill="1" applyFont="1">
      <alignment horizontal="left" shrinkToFit="0" vertical="top" wrapText="1"/>
    </xf>
    <xf borderId="10" fillId="2" fontId="25" numFmtId="0" xfId="0" applyAlignment="1" applyBorder="1" applyFill="1" applyFont="1">
      <alignment shrinkToFit="0" vertical="bottom" wrapText="0"/>
    </xf>
    <xf borderId="9" fillId="0" fontId="40" numFmtId="0" xfId="0" applyAlignment="1" applyBorder="1" applyFont="1">
      <alignment horizontal="center" shrinkToFit="0" vertical="center" wrapText="1"/>
    </xf>
    <xf borderId="13" fillId="0" fontId="49" numFmtId="168" xfId="0" applyAlignment="1" applyBorder="1" applyFont="1" applyNumberFormat="1">
      <alignment horizontal="center" shrinkToFit="0" vertical="center" wrapText="1"/>
    </xf>
    <xf borderId="15" fillId="6" fontId="41" numFmtId="0" xfId="0" applyAlignment="1" applyBorder="1" applyFill="1" applyFont="1">
      <alignment horizontal="left" shrinkToFit="0" vertical="top" wrapText="1"/>
    </xf>
    <xf borderId="94" fillId="4" fontId="40" numFmtId="0" xfId="0" applyAlignment="1" applyBorder="1" applyFill="1" applyFont="1">
      <alignment horizontal="center" shrinkToFit="0" vertical="center" wrapText="1"/>
    </xf>
    <xf borderId="10" fillId="0" fontId="60" numFmtId="0" xfId="0" applyAlignment="1" applyBorder="1" applyFont="1">
      <alignment horizontal="center" shrinkToFit="0" vertical="center" wrapText="1"/>
    </xf>
    <xf borderId="10" fillId="0" fontId="49" numFmtId="169" xfId="0" applyAlignment="1" applyBorder="1" applyFont="1" applyNumberFormat="1">
      <alignment horizontal="center" shrinkToFit="0" vertical="center" wrapText="0"/>
    </xf>
    <xf borderId="15" fillId="6" fontId="41" numFmtId="0" xfId="0" applyAlignment="1" applyBorder="1" applyFill="1" applyFont="1">
      <alignment horizontal="right" shrinkToFit="0" vertical="top" wrapText="1"/>
    </xf>
    <xf borderId="20" fillId="4" fontId="58" numFmtId="166" xfId="0" applyAlignment="1" applyBorder="1" applyFill="1" applyFont="1" applyNumberFormat="1">
      <alignment horizontal="center" shrinkToFit="0" vertical="center" wrapText="1"/>
    </xf>
    <xf borderId="53" fillId="0" fontId="61" numFmtId="0" xfId="0" applyAlignment="1" applyBorder="1" applyFont="1">
      <alignment horizontal="center" shrinkToFit="0" vertical="center" wrapText="1"/>
    </xf>
    <xf borderId="10" fillId="6" fontId="41" numFmtId="0" xfId="0" applyAlignment="1" applyBorder="1" applyFill="1" applyFont="1">
      <alignment horizontal="left" shrinkToFit="0" vertical="center" wrapText="1"/>
    </xf>
    <xf borderId="15" fillId="6" fontId="41" numFmtId="170" xfId="0" applyAlignment="1" applyBorder="1" applyFill="1" applyFont="1" applyNumberFormat="1">
      <alignment horizontal="center" shrinkToFit="0" vertical="top" wrapText="1"/>
    </xf>
    <xf borderId="50" fillId="0" fontId="25" numFmtId="0" xfId="0" applyAlignment="1" applyBorder="1" applyFont="1">
      <alignment shrinkToFit="0" vertical="top" wrapText="0"/>
    </xf>
    <xf borderId="56" fillId="2" fontId="41" numFmtId="0" xfId="0" applyAlignment="1" applyBorder="1" applyFill="1" applyFont="1">
      <alignment horizontal="left" shrinkToFit="0" vertical="top" wrapText="1"/>
    </xf>
    <xf borderId="20" fillId="4" fontId="40" numFmtId="0" xfId="0" applyAlignment="1" applyBorder="1" applyFill="1" applyFont="1">
      <alignment horizontal="center" shrinkToFit="0" vertical="center" wrapText="1"/>
    </xf>
    <xf borderId="45" fillId="2" fontId="49" numFmtId="173" xfId="0" applyAlignment="1" applyBorder="1" applyFill="1" applyFont="1" applyNumberFormat="1">
      <alignment horizontal="left" shrinkToFit="0" vertical="center" wrapText="0"/>
    </xf>
    <xf borderId="95" fillId="0" fontId="40" numFmtId="0" xfId="0" applyAlignment="1" applyBorder="1" applyFont="1">
      <alignment shrinkToFit="0" vertical="center" wrapText="1"/>
    </xf>
    <xf borderId="15" fillId="2" fontId="41" numFmtId="0" xfId="0" applyAlignment="1" applyBorder="1" applyFill="1" applyFont="1">
      <alignment horizontal="right" shrinkToFit="0" vertical="top" wrapText="1"/>
    </xf>
    <xf borderId="20" fillId="4" fontId="58" numFmtId="0" xfId="0" applyAlignment="1" applyBorder="1" applyFill="1" applyFont="1">
      <alignment horizontal="center" shrinkToFit="0" vertical="center" wrapText="1"/>
    </xf>
    <xf borderId="30" fillId="2" fontId="49" numFmtId="0" xfId="0" applyAlignment="1" applyBorder="1" applyFill="1" applyFont="1">
      <alignment horizontal="center" shrinkToFit="0" vertical="center" wrapText="0"/>
    </xf>
    <xf borderId="8" fillId="0" fontId="40" numFmtId="0" xfId="0" applyAlignment="1" applyBorder="1" applyFont="1">
      <alignment horizontal="center" shrinkToFit="0" vertical="center" wrapText="1"/>
    </xf>
    <xf borderId="15" fillId="2" fontId="41" numFmtId="170" xfId="0" applyAlignment="1" applyBorder="1" applyFill="1" applyFont="1" applyNumberFormat="1">
      <alignment horizontal="center" shrinkToFit="0" vertical="top" wrapText="1"/>
    </xf>
    <xf borderId="20" fillId="4" fontId="58" numFmtId="170" xfId="0" applyAlignment="1" applyBorder="1" applyFill="1" applyFont="1" applyNumberFormat="1">
      <alignment horizontal="center" shrinkToFit="0" vertical="center" wrapText="1"/>
    </xf>
    <xf borderId="20" fillId="2" fontId="49" numFmtId="168" xfId="0" applyAlignment="1" applyBorder="1" applyFill="1" applyFont="1" applyNumberFormat="1">
      <alignment horizontal="center" shrinkToFit="0" vertical="center" wrapText="1"/>
    </xf>
    <xf borderId="79" fillId="4" fontId="40" numFmtId="0" xfId="0" applyAlignment="1" applyBorder="1" applyFill="1" applyFont="1">
      <alignment horizontal="center" shrinkToFit="0" vertical="center" wrapText="1"/>
    </xf>
    <xf borderId="8" fillId="0" fontId="40" numFmtId="170" xfId="0" applyAlignment="1" applyBorder="1" applyFont="1" applyNumberFormat="1">
      <alignment shrinkToFit="0" vertical="center" wrapText="1"/>
    </xf>
    <xf borderId="8" fillId="0" fontId="41" numFmtId="0" xfId="0" applyAlignment="1" applyBorder="1" applyFont="1">
      <alignment horizontal="left" shrinkToFit="0" vertical="top" wrapText="1"/>
    </xf>
    <xf borderId="8" fillId="0" fontId="41" numFmtId="0" xfId="0" applyAlignment="1" applyBorder="1" applyFont="1">
      <alignment horizontal="right" shrinkToFit="0" vertical="top" wrapText="1"/>
    </xf>
    <xf borderId="8" fillId="0" fontId="41" numFmtId="170" xfId="0" applyAlignment="1" applyBorder="1" applyFont="1" applyNumberFormat="1">
      <alignment horizontal="center" shrinkToFit="0" vertical="top" wrapText="1"/>
    </xf>
    <xf borderId="60" fillId="2" fontId="41" numFmtId="167" xfId="0" applyAlignment="1" applyBorder="1" applyFill="1" applyFont="1" applyNumberFormat="1">
      <alignment horizontal="center" shrinkToFit="0" vertical="top" wrapText="1"/>
    </xf>
    <xf borderId="10" fillId="2" fontId="49" numFmtId="169" xfId="0" applyAlignment="1" applyBorder="1" applyFill="1" applyFont="1" applyNumberFormat="1">
      <alignment horizontal="center" shrinkToFit="0" vertical="center" wrapText="0"/>
    </xf>
    <xf borderId="10" fillId="2" fontId="55" numFmtId="0" xfId="0" applyAlignment="1" applyBorder="1" applyFill="1" applyFont="1">
      <alignment horizontal="center" shrinkToFit="0" vertical="center" wrapText="1"/>
    </xf>
    <xf borderId="92" fillId="4" fontId="25" numFmtId="0" xfId="0" applyAlignment="1" applyBorder="1" applyFill="1" applyFont="1">
      <alignment shrinkToFit="0" vertical="bottom" wrapText="0"/>
    </xf>
    <xf borderId="60" fillId="6" fontId="41" numFmtId="167" xfId="0" applyAlignment="1" applyBorder="1" applyFill="1" applyFont="1" applyNumberFormat="1">
      <alignment horizontal="center" shrinkToFit="0" vertical="top" wrapText="1"/>
    </xf>
    <xf borderId="96" fillId="0" fontId="40" numFmtId="0" xfId="0" applyAlignment="1" applyBorder="1" applyFont="1">
      <alignment horizontal="center" shrinkToFit="0" vertical="center" wrapText="1"/>
    </xf>
    <xf borderId="20" fillId="2" fontId="49" numFmtId="0" xfId="0" applyAlignment="1" applyBorder="1" applyFill="1" applyFont="1">
      <alignment horizontal="center" shrinkToFit="0" vertical="center" wrapText="1"/>
    </xf>
    <xf borderId="20" fillId="4" fontId="25" numFmtId="0" xfId="0" applyAlignment="1" applyBorder="1" applyFill="1" applyFont="1">
      <alignment shrinkToFit="0" vertical="bottom" wrapText="0"/>
    </xf>
    <xf borderId="45" fillId="4" fontId="41" numFmtId="167" xfId="0" applyAlignment="1" applyBorder="1" applyFill="1" applyFont="1" applyNumberFormat="1">
      <alignment horizontal="left" shrinkToFit="0" vertical="top" wrapText="1"/>
    </xf>
    <xf borderId="8" fillId="0" fontId="26" numFmtId="0" xfId="0" applyAlignment="1" applyBorder="1" applyFont="1">
      <alignment shrinkToFit="0" vertical="bottom" wrapText="0"/>
    </xf>
    <xf borderId="46" fillId="2" fontId="49" numFmtId="0" xfId="0" applyAlignment="1" applyBorder="1" applyFill="1" applyFont="1">
      <alignment horizontal="left" shrinkToFit="0" vertical="center" wrapText="1"/>
    </xf>
    <xf borderId="97" fillId="5" fontId="58" numFmtId="0" xfId="0" applyAlignment="1" applyBorder="1" applyFill="1" applyFont="1">
      <alignment horizontal="left" shrinkToFit="0" vertical="top" wrapText="1"/>
    </xf>
    <xf borderId="10" fillId="4" fontId="24" numFmtId="0" xfId="0" applyAlignment="1" applyBorder="1" applyFill="1" applyFont="1">
      <alignment horizontal="center" shrinkToFit="0" vertical="center" wrapText="0"/>
    </xf>
    <xf borderId="10" fillId="4" fontId="41" numFmtId="167" xfId="0" applyAlignment="1" applyBorder="1" applyFill="1" applyFont="1" applyNumberFormat="1">
      <alignment horizontal="left" shrinkToFit="0" vertical="top" wrapText="1"/>
    </xf>
    <xf borderId="20" fillId="2" fontId="49" numFmtId="0" xfId="0" applyAlignment="1" applyBorder="1" applyFill="1" applyFont="1">
      <alignment horizontal="center" shrinkToFit="0" vertical="center" wrapText="0"/>
    </xf>
    <xf borderId="98" fillId="2" fontId="40" numFmtId="0" xfId="0" applyAlignment="1" applyBorder="1" applyFill="1" applyFont="1">
      <alignment horizontal="center" shrinkToFit="0" vertical="center" wrapText="1"/>
    </xf>
    <xf borderId="10" fillId="4" fontId="24" numFmtId="170" xfId="0" applyAlignment="1" applyBorder="1" applyFill="1" applyFont="1" applyNumberFormat="1">
      <alignment horizontal="center" shrinkToFit="0" vertical="center" wrapText="0"/>
    </xf>
    <xf borderId="10" fillId="4" fontId="44" numFmtId="168" xfId="0" applyAlignment="1" applyBorder="1" applyFill="1" applyFont="1" applyNumberFormat="1">
      <alignment horizontal="center" shrinkToFit="0" vertical="top" wrapText="1"/>
    </xf>
    <xf borderId="20" fillId="2" fontId="55" numFmtId="0" xfId="0" applyAlignment="1" applyBorder="1" applyFill="1" applyFont="1">
      <alignment horizontal="center" shrinkToFit="0" vertical="center" wrapText="1"/>
    </xf>
    <xf borderId="10" fillId="2" fontId="40" numFmtId="0" xfId="0" applyAlignment="1" applyBorder="1" applyFill="1" applyFont="1">
      <alignment horizontal="center" shrinkToFit="0" vertical="center" wrapText="1"/>
    </xf>
    <xf borderId="51" fillId="5" fontId="13" numFmtId="0" xfId="0" applyAlignment="1" applyBorder="1" applyFill="1" applyFont="1">
      <alignment horizontal="left" shrinkToFit="0" vertical="top" wrapText="0"/>
    </xf>
    <xf borderId="10" fillId="4" fontId="41" numFmtId="167" xfId="0" applyAlignment="1" applyBorder="1" applyFill="1" applyFont="1" applyNumberFormat="1">
      <alignment shrinkToFit="0" vertical="top" wrapText="1"/>
    </xf>
    <xf borderId="46" fillId="2" fontId="49" numFmtId="0" xfId="0" applyAlignment="1" applyBorder="1" applyFill="1" applyFont="1">
      <alignment horizontal="center" shrinkToFit="0" vertical="center" wrapText="1"/>
    </xf>
    <xf borderId="10" fillId="2" fontId="40" numFmtId="170" xfId="0" applyAlignment="1" applyBorder="1" applyFill="1" applyFont="1" applyNumberFormat="1">
      <alignment horizontal="center" shrinkToFit="0" vertical="center" wrapText="1"/>
    </xf>
    <xf borderId="20" fillId="2" fontId="25" numFmtId="0" xfId="0" applyAlignment="1" applyBorder="1" applyFill="1" applyFont="1">
      <alignment shrinkToFit="0" vertical="bottom" wrapText="0"/>
    </xf>
    <xf borderId="46" fillId="4" fontId="41" numFmtId="0" xfId="0" applyAlignment="1" applyBorder="1" applyFill="1" applyFont="1">
      <alignment shrinkToFit="0" vertical="top" wrapText="1"/>
    </xf>
    <xf borderId="20" fillId="2" fontId="53" numFmtId="0" xfId="0" applyAlignment="1" applyBorder="1" applyFill="1" applyFont="1">
      <alignment horizontal="center" shrinkToFit="0" vertical="center" wrapText="1"/>
    </xf>
    <xf borderId="10" fillId="2" fontId="58" numFmtId="0" xfId="0" applyAlignment="1" applyBorder="1" applyFill="1" applyFont="1">
      <alignment horizontal="center" shrinkToFit="0" vertical="center" wrapText="1"/>
    </xf>
    <xf borderId="66" fillId="5" fontId="13" numFmtId="167" xfId="0" applyAlignment="1" applyBorder="1" applyFill="1" applyFont="1" applyNumberFormat="1">
      <alignment horizontal="left" shrinkToFit="0" vertical="center" wrapText="1"/>
    </xf>
    <xf borderId="45" fillId="2" fontId="25" numFmtId="0" xfId="0" applyAlignment="1" applyBorder="1" applyFill="1" applyFont="1">
      <alignment shrinkToFit="0" vertical="top" wrapText="0"/>
    </xf>
    <xf borderId="10" fillId="2" fontId="49" numFmtId="168" xfId="0" applyAlignment="1" applyBorder="1" applyFill="1" applyFont="1" applyNumberFormat="1">
      <alignment horizontal="center" shrinkToFit="0" vertical="center" wrapText="1"/>
    </xf>
    <xf borderId="73" fillId="2" fontId="40" numFmtId="0" xfId="0" applyAlignment="1" applyBorder="1" applyFill="1" applyFont="1">
      <alignment horizontal="center" shrinkToFit="0" vertical="center" wrapText="1"/>
    </xf>
    <xf borderId="0" fillId="0" fontId="13" numFmtId="167" xfId="0" applyAlignment="1" applyFont="1" applyNumberFormat="1">
      <alignment horizontal="left" shrinkToFit="0" vertical="center" wrapText="1"/>
    </xf>
    <xf borderId="99" fillId="2" fontId="40" numFmtId="0" xfId="0" applyAlignment="1" applyBorder="1" applyFill="1" applyFont="1">
      <alignment shrinkToFit="0" vertical="center" wrapText="1"/>
    </xf>
    <xf borderId="99" fillId="2" fontId="25" numFmtId="0" xfId="0" applyAlignment="1" applyBorder="1" applyFill="1" applyFont="1">
      <alignment shrinkToFit="0" vertical="bottom" wrapText="0"/>
    </xf>
    <xf borderId="10" fillId="2" fontId="40" numFmtId="170" xfId="0" applyAlignment="1" applyBorder="1" applyFill="1" applyFont="1" applyNumberFormat="1">
      <alignment shrinkToFit="0" vertical="center" wrapText="1"/>
    </xf>
    <xf borderId="10" fillId="2" fontId="49" numFmtId="0" xfId="0" applyAlignment="1" applyBorder="1" applyFill="1" applyFont="1">
      <alignment horizontal="center" shrinkToFit="0" vertical="center" wrapText="0"/>
    </xf>
    <xf borderId="45" fillId="6" fontId="25" numFmtId="167" xfId="0" applyAlignment="1" applyBorder="1" applyFill="1" applyFont="1" applyNumberFormat="1">
      <alignment horizontal="left" shrinkToFit="0" vertical="top" wrapText="1"/>
    </xf>
    <xf borderId="56" fillId="2" fontId="49" numFmtId="173" xfId="0" applyAlignment="1" applyBorder="1" applyFill="1" applyFont="1" applyNumberFormat="1">
      <alignment horizontal="left" shrinkToFit="0" vertical="center" wrapText="0"/>
    </xf>
    <xf borderId="15" fillId="2" fontId="49" numFmtId="0" xfId="0" applyAlignment="1" applyBorder="1" applyFill="1" applyFont="1">
      <alignment horizontal="center" shrinkToFit="0" vertical="center" wrapText="1"/>
    </xf>
    <xf borderId="66" fillId="0" fontId="40" numFmtId="0" xfId="0" applyAlignment="1" applyBorder="1" applyFont="1">
      <alignment horizontal="center" shrinkToFit="0" vertical="center" wrapText="1"/>
    </xf>
    <xf borderId="10" fillId="6" fontId="25" numFmtId="2" xfId="0" applyAlignment="1" applyBorder="1" applyFill="1" applyFont="1" applyNumberFormat="1">
      <alignment horizontal="right" shrinkToFit="0" vertical="top" wrapText="1"/>
    </xf>
    <xf borderId="20" fillId="2" fontId="53" numFmtId="0" xfId="0" applyAlignment="1" applyBorder="1" applyFill="1" applyFont="1">
      <alignment horizontal="center" shrinkToFit="0" vertical="center" wrapText="0"/>
    </xf>
    <xf borderId="99" fillId="2" fontId="25" numFmtId="0" xfId="0" applyAlignment="1" applyBorder="1" applyFill="1" applyFont="1">
      <alignment horizontal="center" shrinkToFit="0" vertical="center" wrapText="0"/>
    </xf>
    <xf borderId="100" fillId="2" fontId="49" numFmtId="173" xfId="0" applyAlignment="1" applyBorder="1" applyFill="1" applyFont="1" applyNumberFormat="1">
      <alignment horizontal="left" shrinkToFit="0" vertical="center" wrapText="0"/>
    </xf>
    <xf borderId="10" fillId="6" fontId="25" numFmtId="170" xfId="0" applyAlignment="1" applyBorder="1" applyFill="1" applyFont="1" applyNumberFormat="1">
      <alignment shrinkToFit="0" vertical="top" wrapText="1"/>
    </xf>
    <xf borderId="10" fillId="0" fontId="62" numFmtId="0" xfId="0" applyAlignment="1" applyBorder="1" applyFont="1">
      <alignment horizontal="center" shrinkToFit="0" vertical="center" wrapText="1"/>
    </xf>
    <xf borderId="10" fillId="2" fontId="25" numFmtId="0" xfId="0" applyAlignment="1" applyBorder="1" applyFill="1" applyFont="1">
      <alignment horizontal="center" shrinkToFit="0" vertical="center" wrapText="0"/>
    </xf>
    <xf borderId="84" fillId="2" fontId="49" numFmtId="0" xfId="0" applyAlignment="1" applyBorder="1" applyFill="1" applyFont="1">
      <alignment horizontal="center" shrinkToFit="0" vertical="center" wrapText="1"/>
    </xf>
    <xf borderId="45" fillId="2" fontId="25" numFmtId="167" xfId="0" applyAlignment="1" applyBorder="1" applyFill="1" applyFont="1" applyNumberFormat="1">
      <alignment horizontal="left" shrinkToFit="0" vertical="top" wrapText="1"/>
    </xf>
    <xf borderId="10" fillId="0" fontId="40" numFmtId="0" xfId="0" applyAlignment="1" applyBorder="1" applyFont="1">
      <alignment shrinkToFit="0" vertical="center" wrapText="1"/>
    </xf>
    <xf borderId="84" fillId="2" fontId="49" numFmtId="0" xfId="0" applyAlignment="1" applyBorder="1" applyFill="1" applyFont="1">
      <alignment horizontal="center" shrinkToFit="0" vertical="center" wrapText="0"/>
    </xf>
    <xf borderId="10" fillId="0" fontId="40" numFmtId="2" xfId="0" applyAlignment="1" applyBorder="1" applyFont="1" applyNumberFormat="1">
      <alignment horizontal="center" shrinkToFit="0" vertical="center" wrapText="1"/>
    </xf>
    <xf borderId="10" fillId="2" fontId="25" numFmtId="2" xfId="0" applyAlignment="1" applyBorder="1" applyFill="1" applyFont="1" applyNumberFormat="1">
      <alignment horizontal="right" shrinkToFit="0" vertical="top" wrapText="1"/>
    </xf>
    <xf borderId="98" fillId="6" fontId="40" numFmtId="0" xfId="0" applyAlignment="1" applyBorder="1" applyFill="1" applyFont="1">
      <alignment horizontal="center" shrinkToFit="0" vertical="center" wrapText="1"/>
    </xf>
    <xf borderId="84" fillId="2" fontId="55" numFmtId="0" xfId="0" applyAlignment="1" applyBorder="1" applyFill="1" applyFont="1">
      <alignment horizontal="center" shrinkToFit="0" vertical="center" wrapText="1"/>
    </xf>
    <xf borderId="12" fillId="0" fontId="40" numFmtId="167" xfId="0" applyAlignment="1" applyBorder="1" applyFont="1" applyNumberFormat="1">
      <alignment shrinkToFit="0" vertical="center" wrapText="1"/>
    </xf>
    <xf borderId="10" fillId="2" fontId="25" numFmtId="170" xfId="0" applyAlignment="1" applyBorder="1" applyFill="1" applyFont="1" applyNumberFormat="1">
      <alignment shrinkToFit="0" vertical="top" wrapText="1"/>
    </xf>
    <xf borderId="10" fillId="6" fontId="40" numFmtId="2" xfId="0" applyAlignment="1" applyBorder="1" applyFill="1" applyFont="1" applyNumberFormat="1">
      <alignment horizontal="center" shrinkToFit="0" vertical="center" wrapText="1"/>
    </xf>
    <xf borderId="89" fillId="2" fontId="49" numFmtId="0" xfId="0" applyAlignment="1" applyBorder="1" applyFill="1" applyFont="1">
      <alignment horizontal="center" shrinkToFit="0" vertical="center" wrapText="1"/>
    </xf>
    <xf borderId="15" fillId="2" fontId="25" numFmtId="0" xfId="0" applyAlignment="1" applyBorder="1" applyFill="1" applyFont="1">
      <alignment horizontal="left" shrinkToFit="0" vertical="top" wrapText="1"/>
    </xf>
    <xf borderId="10" fillId="0" fontId="50" numFmtId="0" xfId="0" applyAlignment="1" applyBorder="1" applyFont="1">
      <alignment horizontal="center" shrinkToFit="0" vertical="center" wrapText="1"/>
    </xf>
    <xf borderId="10" fillId="6" fontId="40" numFmtId="170" xfId="0" applyAlignment="1" applyBorder="1" applyFill="1" applyFont="1" applyNumberFormat="1">
      <alignment horizontal="center" shrinkToFit="0" vertical="center" wrapText="1"/>
    </xf>
    <xf borderId="19" fillId="2" fontId="49" numFmtId="168" xfId="0" applyAlignment="1" applyBorder="1" applyFill="1" applyFont="1" applyNumberFormat="1">
      <alignment horizontal="center" shrinkToFit="0" vertical="center" wrapText="1"/>
    </xf>
    <xf borderId="15" fillId="2" fontId="25" numFmtId="167" xfId="0" applyAlignment="1" applyBorder="1" applyFill="1" applyFont="1" applyNumberFormat="1">
      <alignment horizontal="left" shrinkToFit="0" vertical="top" wrapText="1"/>
    </xf>
    <xf borderId="10" fillId="6" fontId="58" numFmtId="0" xfId="0" applyAlignment="1" applyBorder="1" applyFill="1" applyFont="1">
      <alignment horizontal="center" shrinkToFit="0" vertical="center" wrapText="1"/>
    </xf>
    <xf borderId="10" fillId="0" fontId="63" numFmtId="0" xfId="0" applyAlignment="1" applyBorder="1" applyFont="1">
      <alignment horizontal="center" shrinkToFit="0" vertical="center" wrapText="1"/>
    </xf>
    <xf borderId="59" fillId="6" fontId="49" numFmtId="0" xfId="0" applyAlignment="1" applyBorder="1" applyFill="1" applyFont="1">
      <alignment horizontal="left" shrinkToFit="0" vertical="center" wrapText="1"/>
    </xf>
    <xf borderId="15" fillId="2" fontId="25" numFmtId="167" xfId="0" applyAlignment="1" applyBorder="1" applyFill="1" applyFont="1" applyNumberFormat="1">
      <alignment horizontal="center" shrinkToFit="0" vertical="top" wrapText="1"/>
    </xf>
    <xf borderId="73" fillId="6" fontId="40" numFmtId="0" xfId="0" applyAlignment="1" applyBorder="1" applyFill="1" applyFont="1">
      <alignment horizontal="center" shrinkToFit="0" vertical="center" wrapText="1"/>
    </xf>
    <xf borderId="56" fillId="2" fontId="49" numFmtId="166" xfId="0" applyAlignment="1" applyBorder="1" applyFill="1" applyFont="1" applyNumberFormat="1">
      <alignment horizontal="left" shrinkToFit="0" vertical="center" wrapText="1"/>
    </xf>
    <xf borderId="45" fillId="6" fontId="25" numFmtId="0" xfId="0" applyAlignment="1" applyBorder="1" applyFill="1" applyFont="1">
      <alignment shrinkToFit="0" vertical="top" wrapText="0"/>
    </xf>
    <xf borderId="99" fillId="6" fontId="25" numFmtId="0" xfId="0" applyAlignment="1" applyBorder="1" applyFill="1" applyFont="1">
      <alignment horizontal="center" shrinkToFit="0" vertical="center" wrapText="0"/>
    </xf>
    <xf borderId="15" fillId="2" fontId="56" numFmtId="0" xfId="0" applyAlignment="1" applyBorder="1" applyFill="1" applyFont="1">
      <alignment horizontal="center" shrinkToFit="0" vertical="center" wrapText="1"/>
    </xf>
    <xf borderId="53" fillId="2" fontId="41" numFmtId="0" xfId="0" applyAlignment="1" applyBorder="1" applyFill="1" applyFont="1">
      <alignment horizontal="center" shrinkToFit="0" vertical="center" wrapText="1"/>
    </xf>
    <xf borderId="99" fillId="6" fontId="40" numFmtId="167" xfId="0" applyAlignment="1" applyBorder="1" applyFill="1" applyFont="1" applyNumberFormat="1">
      <alignment shrinkToFit="0" vertical="center" wrapText="1"/>
    </xf>
    <xf borderId="10" fillId="6" fontId="25" numFmtId="0" xfId="0" applyAlignment="1" applyBorder="1" applyFill="1" applyFont="1">
      <alignment horizontal="center" shrinkToFit="0" vertical="center" wrapText="0"/>
    </xf>
    <xf borderId="45" fillId="2" fontId="49" numFmtId="166" xfId="0" applyAlignment="1" applyBorder="1" applyFill="1" applyFont="1" applyNumberFormat="1">
      <alignment horizontal="left" shrinkToFit="0" vertical="center" wrapText="1"/>
    </xf>
    <xf borderId="45" fillId="4" fontId="28" numFmtId="167" xfId="0" applyAlignment="1" applyBorder="1" applyFill="1" applyFont="1" applyNumberFormat="1">
      <alignment horizontal="left" shrinkToFit="0" vertical="center" wrapText="1"/>
    </xf>
    <xf borderId="10" fillId="6" fontId="40" numFmtId="170" xfId="0" applyAlignment="1" applyBorder="1" applyFill="1" applyFont="1" applyNumberFormat="1">
      <alignment shrinkToFit="0" vertical="center" wrapText="1"/>
    </xf>
    <xf borderId="10" fillId="2" fontId="49" numFmtId="166" xfId="0" applyAlignment="1" applyBorder="1" applyFill="1" applyFont="1" applyNumberFormat="1">
      <alignment horizontal="center" shrinkToFit="0" vertical="center" wrapText="1"/>
    </xf>
    <xf borderId="10" fillId="4" fontId="25" numFmtId="167" xfId="0" applyAlignment="1" applyBorder="1" applyFill="1" applyFont="1" applyNumberFormat="1">
      <alignment horizontal="left" shrinkToFit="0" vertical="center" wrapText="1"/>
    </xf>
    <xf borderId="10" fillId="6" fontId="26" numFmtId="0" xfId="0" applyAlignment="1" applyBorder="1" applyFill="1" applyFont="1">
      <alignment shrinkToFit="0" vertical="bottom" wrapText="0"/>
    </xf>
    <xf borderId="10" fillId="2" fontId="56" numFmtId="0" xfId="0" applyAlignment="1" applyBorder="1" applyFill="1" applyFont="1">
      <alignment horizontal="center" shrinkToFit="0" vertical="center" wrapText="1"/>
    </xf>
    <xf borderId="10" fillId="4" fontId="43" numFmtId="172" xfId="0" applyAlignment="1" applyBorder="1" applyFill="1" applyFont="1" applyNumberFormat="1">
      <alignment shrinkToFit="0" vertical="center" wrapText="1"/>
    </xf>
    <xf borderId="10" fillId="0" fontId="40" numFmtId="166" xfId="0" applyAlignment="1" applyBorder="1" applyFont="1" applyNumberFormat="1">
      <alignment horizontal="center" shrinkToFit="0" vertical="center" wrapText="1"/>
    </xf>
    <xf borderId="59" fillId="2" fontId="61" numFmtId="0" xfId="0" applyAlignment="1" applyBorder="1" applyFill="1" applyFont="1">
      <alignment horizontal="center" shrinkToFit="0" vertical="center" wrapText="1"/>
    </xf>
    <xf borderId="10" fillId="4" fontId="44" numFmtId="170" xfId="0" applyAlignment="1" applyBorder="1" applyFill="1" applyFont="1" applyNumberFormat="1">
      <alignment shrinkToFit="0" vertical="center" wrapText="1"/>
    </xf>
    <xf borderId="10" fillId="0" fontId="40" numFmtId="174" xfId="0" applyAlignment="1" applyBorder="1" applyFont="1" applyNumberFormat="1">
      <alignment horizontal="center" shrinkToFit="0" vertical="center" wrapText="1"/>
    </xf>
    <xf borderId="10" fillId="2" fontId="40" numFmtId="166" xfId="0" applyAlignment="1" applyBorder="1" applyFill="1" applyFont="1" applyNumberFormat="1">
      <alignment horizontal="center" shrinkToFit="0" vertical="center" wrapText="1"/>
    </xf>
    <xf borderId="10" fillId="4" fontId="43" numFmtId="170" xfId="0" applyAlignment="1" applyBorder="1" applyFill="1" applyFont="1" applyNumberFormat="1">
      <alignment shrinkToFit="0" vertical="center" wrapText="1"/>
    </xf>
    <xf borderId="10" fillId="2" fontId="40" numFmtId="174" xfId="0" applyAlignment="1" applyBorder="1" applyFill="1" applyFont="1" applyNumberFormat="1">
      <alignment horizontal="center" shrinkToFit="0" vertical="center" wrapText="1"/>
    </xf>
    <xf borderId="10" fillId="2" fontId="49" numFmtId="49" xfId="0" applyAlignment="1" applyBorder="1" applyFill="1" applyFont="1" applyNumberFormat="1">
      <alignment horizontal="center" shrinkToFit="0" vertical="center" wrapText="1"/>
    </xf>
    <xf borderId="10" fillId="6" fontId="63" numFmtId="0" xfId="0" applyAlignment="1" applyBorder="1" applyFill="1" applyFont="1">
      <alignment horizontal="center" shrinkToFit="0" vertical="center" wrapText="1"/>
    </xf>
    <xf borderId="10" fillId="4" fontId="25" numFmtId="167" xfId="0" applyAlignment="1" applyBorder="1" applyFill="1" applyFont="1" applyNumberFormat="1">
      <alignment shrinkToFit="0" vertical="center" wrapText="1"/>
    </xf>
    <xf borderId="99" fillId="2" fontId="25" numFmtId="0" xfId="0" applyAlignment="1" applyBorder="1" applyFill="1" applyFont="1">
      <alignment horizontal="center" shrinkToFit="0" vertical="center" wrapText="1"/>
    </xf>
    <xf borderId="46" fillId="2" fontId="49" numFmtId="0" xfId="0" applyAlignment="1" applyBorder="1" applyFill="1" applyFont="1">
      <alignment shrinkToFit="0" vertical="center" wrapText="1"/>
    </xf>
    <xf borderId="10" fillId="2" fontId="62" numFmtId="0" xfId="0" applyAlignment="1" applyBorder="1" applyFill="1" applyFont="1">
      <alignment horizontal="center" shrinkToFit="0" vertical="center" wrapText="1"/>
    </xf>
    <xf borderId="46" fillId="4" fontId="41" numFmtId="0" xfId="0" applyAlignment="1" applyBorder="1" applyFill="1" applyFont="1">
      <alignment shrinkToFit="0" vertical="center" wrapText="1"/>
    </xf>
    <xf borderId="0" fillId="0" fontId="41" numFmtId="0" xfId="0" applyAlignment="1" applyFont="1">
      <alignment shrinkToFit="0" vertical="center" wrapText="1"/>
    </xf>
    <xf borderId="45" fillId="0" fontId="49" numFmtId="173" xfId="0" applyAlignment="1" applyBorder="1" applyFont="1" applyNumberFormat="1">
      <alignment horizontal="left" shrinkToFit="0" vertical="center" wrapText="0"/>
    </xf>
    <xf borderId="10" fillId="6" fontId="40" numFmtId="166" xfId="0" applyAlignment="1" applyBorder="1" applyFill="1" applyFont="1" applyNumberFormat="1">
      <alignment horizontal="center" shrinkToFit="0" vertical="center" wrapText="1"/>
    </xf>
    <xf borderId="10" fillId="0" fontId="49" numFmtId="0" xfId="0" applyAlignment="1" applyBorder="1" applyFont="1">
      <alignment horizontal="center" shrinkToFit="0" vertical="center" wrapText="0"/>
    </xf>
    <xf borderId="10" fillId="6" fontId="40" numFmtId="174" xfId="0" applyAlignment="1" applyBorder="1" applyFill="1" applyFont="1" applyNumberFormat="1">
      <alignment horizontal="center" shrinkToFit="0" vertical="center" wrapText="1"/>
    </xf>
    <xf borderId="99" fillId="2" fontId="40" numFmtId="167" xfId="0" applyAlignment="1" applyBorder="1" applyFill="1" applyFont="1" applyNumberFormat="1">
      <alignment shrinkToFit="0" vertical="center" wrapText="1"/>
    </xf>
    <xf borderId="30" fillId="6" fontId="41" numFmtId="0" xfId="0" applyAlignment="1" applyBorder="1" applyFill="1" applyFont="1">
      <alignment shrinkToFit="0" vertical="top" wrapText="1"/>
    </xf>
    <xf borderId="73" fillId="2" fontId="58" numFmtId="0" xfId="0" applyAlignment="1" applyBorder="1" applyFill="1" applyFont="1">
      <alignment horizontal="center" shrinkToFit="0" vertical="center" wrapText="1"/>
    </xf>
    <xf borderId="99" fillId="6" fontId="25" numFmtId="0" xfId="0" applyAlignment="1" applyBorder="1" applyFill="1" applyFont="1">
      <alignment horizontal="center" shrinkToFit="0" vertical="center" wrapText="1"/>
    </xf>
    <xf borderId="46" fillId="6" fontId="44" numFmtId="0" xfId="0" applyAlignment="1" applyBorder="1" applyFill="1" applyFont="1">
      <alignment shrinkToFit="0" vertical="top" wrapText="1"/>
    </xf>
    <xf borderId="45" fillId="6" fontId="49" numFmtId="173" xfId="0" applyAlignment="1" applyBorder="1" applyFill="1" applyFont="1" applyNumberFormat="1">
      <alignment horizontal="left" shrinkToFit="0" vertical="center" wrapText="0"/>
    </xf>
    <xf borderId="15" fillId="2" fontId="40" numFmtId="166" xfId="0" applyAlignment="1" applyBorder="1" applyFill="1" applyFont="1" applyNumberFormat="1">
      <alignment horizontal="center" shrinkToFit="0" vertical="center" wrapText="1"/>
    </xf>
    <xf borderId="10" fillId="6" fontId="49" numFmtId="0" xfId="0" applyAlignment="1" applyBorder="1" applyFill="1" applyFont="1">
      <alignment horizontal="center" shrinkToFit="0" vertical="center" wrapText="0"/>
    </xf>
    <xf borderId="15" fillId="2" fontId="40" numFmtId="0" xfId="0" applyAlignment="1" applyBorder="1" applyFill="1" applyFont="1">
      <alignment horizontal="center" shrinkToFit="0" vertical="center" wrapText="1"/>
    </xf>
    <xf borderId="0" fillId="0" fontId="26" numFmtId="0" xfId="0" applyAlignment="1" applyFont="1">
      <alignment shrinkToFit="0" vertical="bottom" wrapText="1"/>
    </xf>
    <xf borderId="10" fillId="0" fontId="25" numFmtId="0" xfId="0" applyAlignment="1" applyBorder="1" applyFont="1">
      <alignment shrinkToFit="0" vertical="top" wrapText="0"/>
    </xf>
    <xf borderId="0" fillId="0" fontId="49" numFmtId="0" xfId="0" applyAlignment="1" applyFont="1">
      <alignment horizontal="center" shrinkToFit="0" vertical="center" wrapText="0"/>
    </xf>
    <xf borderId="15" fillId="2" fontId="40" numFmtId="174" xfId="0" applyAlignment="1" applyBorder="1" applyFill="1" applyFont="1" applyNumberFormat="1">
      <alignment horizontal="center" shrinkToFit="0" vertical="center" wrapText="1"/>
    </xf>
    <xf borderId="12" fillId="0" fontId="40" numFmtId="0" xfId="0" applyAlignment="1" applyBorder="1" applyFont="1">
      <alignment horizontal="center" shrinkToFit="0" vertical="center" wrapText="1"/>
    </xf>
    <xf borderId="46" fillId="2" fontId="44" numFmtId="0" xfId="0" applyAlignment="1" applyBorder="1" applyFill="1" applyFont="1">
      <alignment shrinkToFit="0" vertical="top" wrapText="1"/>
    </xf>
    <xf borderId="10" fillId="2" fontId="49" numFmtId="173" xfId="0" applyAlignment="1" applyBorder="1" applyFill="1" applyFont="1" applyNumberFormat="1">
      <alignment horizontal="left" shrinkToFit="0" vertical="center" wrapText="0"/>
    </xf>
    <xf borderId="15" fillId="2" fontId="40" numFmtId="170" xfId="0" applyAlignment="1" applyBorder="1" applyFill="1" applyFont="1" applyNumberFormat="1">
      <alignment horizontal="center" shrinkToFit="0" vertical="center" wrapText="1"/>
    </xf>
    <xf borderId="10" fillId="0" fontId="40" numFmtId="170" xfId="0" applyAlignment="1" applyBorder="1" applyFont="1" applyNumberFormat="1">
      <alignment horizontal="center" shrinkToFit="0" vertical="center" wrapText="0"/>
    </xf>
    <xf borderId="46" fillId="2" fontId="47" numFmtId="0" xfId="0" applyAlignment="1" applyBorder="1" applyFill="1" applyFont="1">
      <alignment shrinkToFit="0" vertical="top" wrapText="1"/>
    </xf>
    <xf borderId="101" fillId="2" fontId="49" numFmtId="173" xfId="0" applyAlignment="1" applyBorder="1" applyFill="1" applyFont="1" applyNumberFormat="1">
      <alignment horizontal="left" shrinkToFit="0" vertical="center" wrapText="0"/>
    </xf>
    <xf borderId="15" fillId="2" fontId="58" numFmtId="0" xfId="0" applyAlignment="1" applyBorder="1" applyFill="1" applyFont="1">
      <alignment horizontal="center" shrinkToFit="0" vertical="center" wrapText="1"/>
    </xf>
    <xf borderId="99" fillId="6" fontId="49" numFmtId="0" xfId="0" applyAlignment="1" applyBorder="1" applyFill="1" applyFont="1">
      <alignment horizontal="center" shrinkToFit="0" vertical="center" wrapText="0"/>
    </xf>
    <xf borderId="10" fillId="0" fontId="63" numFmtId="0" xfId="0" applyAlignment="1" applyBorder="1" applyFont="1">
      <alignment horizontal="center" shrinkToFit="0" vertical="center" wrapText="0"/>
    </xf>
    <xf borderId="78" fillId="2" fontId="40" numFmtId="0" xfId="0" applyAlignment="1" applyBorder="1" applyFill="1" applyFont="1">
      <alignment horizontal="center" shrinkToFit="0" vertical="center" wrapText="1"/>
    </xf>
    <xf borderId="10" fillId="6" fontId="49" numFmtId="168" xfId="0" applyAlignment="1" applyBorder="1" applyFill="1" applyFont="1" applyNumberFormat="1">
      <alignment horizontal="center" shrinkToFit="0" vertical="center" wrapText="1"/>
    </xf>
    <xf borderId="0" fillId="0" fontId="25" numFmtId="169" xfId="0" applyAlignment="1" applyFont="1" applyNumberFormat="1">
      <alignment shrinkToFit="0" vertical="bottom" wrapText="0"/>
    </xf>
    <xf borderId="99" fillId="2" fontId="40" numFmtId="0" xfId="0" applyAlignment="1" applyBorder="1" applyFill="1" applyFont="1">
      <alignment horizontal="center" shrinkToFit="0" vertical="center" wrapText="1"/>
    </xf>
    <xf borderId="12" fillId="0" fontId="49" numFmtId="0" xfId="0" applyAlignment="1" applyBorder="1" applyFont="1">
      <alignment horizontal="center" shrinkToFit="0" vertical="center" wrapText="0"/>
    </xf>
    <xf borderId="98" fillId="4" fontId="41" numFmtId="0" xfId="0" applyAlignment="1" applyBorder="1" applyFill="1" applyFont="1">
      <alignment shrinkToFit="0" vertical="top" wrapText="0"/>
    </xf>
    <xf borderId="10" fillId="4" fontId="58" numFmtId="166" xfId="0" applyAlignment="1" applyBorder="1" applyFill="1" applyFont="1" applyNumberFormat="1">
      <alignment horizontal="left" shrinkToFit="0" vertical="center" wrapText="1"/>
    </xf>
    <xf borderId="10" fillId="2" fontId="40" numFmtId="170" xfId="0" applyAlignment="1" applyBorder="1" applyFill="1" applyFont="1" applyNumberFormat="1">
      <alignment horizontal="center" shrinkToFit="0" vertical="center" wrapText="0"/>
    </xf>
    <xf borderId="10" fillId="0" fontId="49" numFmtId="168" xfId="0" applyAlignment="1" applyBorder="1" applyFont="1" applyNumberFormat="1">
      <alignment horizontal="center" shrinkToFit="0" vertical="center" wrapText="1"/>
    </xf>
    <xf borderId="10" fillId="4" fontId="58" numFmtId="166" xfId="0" applyAlignment="1" applyBorder="1" applyFill="1" applyFont="1" applyNumberFormat="1">
      <alignment horizontal="center" shrinkToFit="0" vertical="center" wrapText="1"/>
    </xf>
    <xf borderId="10" fillId="2" fontId="63" numFmtId="0" xfId="0" applyAlignment="1" applyBorder="1" applyFill="1" applyFont="1">
      <alignment horizontal="center" shrinkToFit="0" vertical="center" wrapText="1"/>
    </xf>
    <xf borderId="10" fillId="4" fontId="58" numFmtId="2" xfId="0" applyAlignment="1" applyBorder="1" applyFill="1" applyFont="1" applyNumberFormat="1">
      <alignment horizontal="center" shrinkToFit="0" vertical="center" wrapText="1"/>
    </xf>
    <xf borderId="10" fillId="4" fontId="43" numFmtId="168" xfId="0" applyAlignment="1" applyBorder="1" applyFill="1" applyFont="1" applyNumberFormat="1">
      <alignment shrinkToFit="0" vertical="center" wrapText="1"/>
    </xf>
    <xf borderId="10" fillId="6" fontId="49" numFmtId="166" xfId="0" applyAlignment="1" applyBorder="1" applyFill="1" applyFont="1" applyNumberFormat="1">
      <alignment horizontal="center" shrinkToFit="0" vertical="center" wrapText="1"/>
    </xf>
    <xf borderId="102" fillId="4" fontId="28" numFmtId="0" xfId="0" applyAlignment="1" applyBorder="1" applyFill="1" applyFont="1">
      <alignment shrinkToFit="0" vertical="bottom" wrapText="0"/>
    </xf>
    <xf borderId="10" fillId="4" fontId="58" numFmtId="170" xfId="0" applyAlignment="1" applyBorder="1" applyFill="1" applyFont="1" applyNumberFormat="1">
      <alignment horizontal="center" shrinkToFit="0" vertical="center" wrapText="1"/>
    </xf>
    <xf borderId="57" fillId="0" fontId="25" numFmtId="0" xfId="0" applyAlignment="1" applyBorder="1" applyFont="1">
      <alignment shrinkToFit="0" vertical="top" wrapText="0"/>
    </xf>
    <xf borderId="41" fillId="4" fontId="43" numFmtId="0" xfId="0" applyAlignment="1" applyBorder="1" applyFill="1" applyFont="1">
      <alignment shrinkToFit="0" vertical="bottom" wrapText="0"/>
    </xf>
    <xf borderId="10" fillId="4" fontId="40" numFmtId="0" xfId="0" applyAlignment="1" applyBorder="1" applyFill="1" applyFont="1">
      <alignment shrinkToFit="0" vertical="center" wrapText="0"/>
    </xf>
    <xf borderId="99" fillId="4" fontId="25" numFmtId="0" xfId="0" applyAlignment="1" applyBorder="1" applyFill="1" applyFont="1">
      <alignment horizontal="center" shrinkToFit="0" vertical="center" wrapText="0"/>
    </xf>
    <xf borderId="10" fillId="4" fontId="25" numFmtId="0" xfId="0" applyAlignment="1" applyBorder="1" applyFill="1" applyFont="1">
      <alignment horizontal="center" shrinkToFit="0" vertical="center" wrapText="0"/>
    </xf>
    <xf borderId="46" fillId="0" fontId="49" numFmtId="0" xfId="0" applyAlignment="1" applyBorder="1" applyFont="1">
      <alignment horizontal="center" shrinkToFit="0" vertical="center" wrapText="1"/>
    </xf>
    <xf borderId="92" fillId="2" fontId="40" numFmtId="0" xfId="0" applyAlignment="1" applyBorder="1" applyFill="1" applyFont="1">
      <alignment shrinkToFit="0" vertical="center" wrapText="1"/>
    </xf>
    <xf borderId="41" fillId="4" fontId="43" numFmtId="168" xfId="0" applyAlignment="1" applyBorder="1" applyFill="1" applyFont="1" applyNumberFormat="1">
      <alignment shrinkToFit="0" vertical="bottom" wrapText="1"/>
    </xf>
    <xf borderId="98" fillId="5" fontId="41" numFmtId="0" xfId="0" applyAlignment="1" applyBorder="1" applyFill="1" applyFont="1">
      <alignment shrinkToFit="0" vertical="top" wrapText="0"/>
    </xf>
    <xf borderId="10" fillId="2" fontId="25" numFmtId="0" xfId="0" applyAlignment="1" applyBorder="1" applyFill="1" applyFont="1">
      <alignment shrinkToFit="0" vertical="bottom" wrapText="1"/>
    </xf>
    <xf borderId="41" fillId="4" fontId="43" numFmtId="168" xfId="0" applyAlignment="1" applyBorder="1" applyFill="1" applyFont="1" applyNumberFormat="1">
      <alignment shrinkToFit="0" vertical="bottom" wrapText="0"/>
    </xf>
    <xf borderId="10" fillId="6" fontId="49" numFmtId="0" xfId="0" applyAlignment="1" applyBorder="1" applyFill="1" applyFont="1">
      <alignment horizontal="left" shrinkToFit="0" vertical="center" wrapText="1"/>
    </xf>
    <xf borderId="41" fillId="4" fontId="43" numFmtId="170" xfId="0" applyAlignment="1" applyBorder="1" applyFill="1" applyFont="1" applyNumberFormat="1">
      <alignment shrinkToFit="0" vertical="bottom" wrapText="0"/>
    </xf>
    <xf borderId="9" fillId="5" fontId="58" numFmtId="0" xfId="0" applyAlignment="1" applyBorder="1" applyFill="1" applyFont="1">
      <alignment horizontal="left" shrinkToFit="0" vertical="center" wrapText="1"/>
    </xf>
    <xf borderId="79" fillId="2" fontId="40" numFmtId="0" xfId="0" applyAlignment="1" applyBorder="1" applyFill="1" applyFont="1">
      <alignment horizontal="center" shrinkToFit="0" vertical="center" wrapText="1"/>
    </xf>
    <xf borderId="99" fillId="5" fontId="25" numFmtId="0" xfId="0" applyAlignment="1" applyBorder="1" applyFill="1" applyFont="1">
      <alignment horizontal="center" shrinkToFit="0" vertical="center" wrapText="0"/>
    </xf>
    <xf borderId="99" fillId="6" fontId="40" numFmtId="0" xfId="0" applyAlignment="1" applyBorder="1" applyFill="1" applyFont="1">
      <alignment shrinkToFit="0" vertical="center" wrapText="1"/>
    </xf>
    <xf borderId="0" fillId="0" fontId="49" numFmtId="0" xfId="0" applyAlignment="1" applyFont="1">
      <alignment horizontal="left" shrinkToFit="0" vertical="center" wrapText="1"/>
    </xf>
    <xf borderId="103" fillId="4" fontId="43" numFmtId="0" xfId="0" applyAlignment="1" applyBorder="1" applyFill="1" applyFont="1">
      <alignment shrinkToFit="0" vertical="bottom" wrapText="0"/>
    </xf>
    <xf borderId="10" fillId="5" fontId="25" numFmtId="0" xfId="0" applyAlignment="1" applyBorder="1" applyFill="1" applyFont="1">
      <alignment horizontal="center" shrinkToFit="0" vertical="center" wrapText="0"/>
    </xf>
    <xf borderId="10" fillId="6" fontId="40" numFmtId="170" xfId="0" applyAlignment="1" applyBorder="1" applyFill="1" applyFont="1" applyNumberFormat="1">
      <alignment horizontal="center" shrinkToFit="0" vertical="center" wrapText="0"/>
    </xf>
    <xf borderId="10" fillId="4" fontId="5" numFmtId="166" xfId="0" applyAlignment="1" applyBorder="1" applyFill="1" applyFont="1" applyNumberFormat="1">
      <alignment horizontal="center" shrinkToFit="0" vertical="center" wrapText="1"/>
    </xf>
    <xf borderId="0" fillId="0" fontId="43" numFmtId="0" xfId="0" applyAlignment="1" applyFont="1">
      <alignment shrinkToFit="0" vertical="bottom" wrapText="0"/>
    </xf>
    <xf borderId="66" fillId="0" fontId="41" numFmtId="0" xfId="0" applyAlignment="1" applyBorder="1" applyFont="1">
      <alignment shrinkToFit="0" vertical="top" wrapText="0"/>
    </xf>
    <xf borderId="10" fillId="6" fontId="62" numFmtId="0" xfId="0" applyAlignment="1" applyBorder="1" applyFill="1" applyFont="1">
      <alignment horizontal="center" shrinkToFit="0" vertical="center" wrapText="1"/>
    </xf>
    <xf borderId="10" fillId="4" fontId="5" numFmtId="2" xfId="0" applyAlignment="1" applyBorder="1" applyFill="1" applyFont="1" applyNumberFormat="1">
      <alignment horizontal="center" shrinkToFit="0" vertical="center" wrapText="1"/>
    </xf>
    <xf borderId="13" fillId="0" fontId="40" numFmtId="0" xfId="0" applyAlignment="1" applyBorder="1" applyFont="1">
      <alignment horizontal="left" shrinkToFit="0" vertical="top" wrapText="1"/>
    </xf>
    <xf borderId="10" fillId="6" fontId="25" numFmtId="0" xfId="0" applyAlignment="1" applyBorder="1" applyFill="1" applyFont="1">
      <alignment shrinkToFit="0" vertical="bottom" wrapText="1"/>
    </xf>
    <xf borderId="13" fillId="0" fontId="40" numFmtId="174" xfId="0" applyAlignment="1" applyBorder="1" applyFont="1" applyNumberFormat="1">
      <alignment horizontal="center" shrinkToFit="0" vertical="center" wrapText="1"/>
    </xf>
    <xf borderId="30" fillId="2" fontId="40" numFmtId="0" xfId="0" applyAlignment="1" applyBorder="1" applyFill="1" applyFont="1">
      <alignment horizontal="center" shrinkToFit="0" vertical="center" wrapText="1"/>
    </xf>
    <xf borderId="10" fillId="4" fontId="55" numFmtId="169" xfId="0" applyAlignment="1" applyBorder="1" applyFill="1" applyFont="1" applyNumberFormat="1">
      <alignment horizontal="center" shrinkToFit="0" vertical="center" wrapText="0"/>
    </xf>
    <xf borderId="98" fillId="6" fontId="25" numFmtId="0" xfId="0" applyAlignment="1" applyBorder="1" applyFill="1" applyFont="1">
      <alignment shrinkToFit="0" vertical="top" wrapText="0"/>
    </xf>
    <xf borderId="13" fillId="0" fontId="40" numFmtId="170" xfId="0" applyAlignment="1" applyBorder="1" applyFont="1" applyNumberFormat="1">
      <alignment shrinkToFit="0" vertical="center" wrapText="1"/>
    </xf>
    <xf borderId="46" fillId="4" fontId="59" numFmtId="0" xfId="0" applyAlignment="1" applyBorder="1" applyFill="1" applyFont="1">
      <alignment shrinkToFit="0" vertical="center" wrapText="0"/>
    </xf>
    <xf borderId="10" fillId="6" fontId="40" numFmtId="0" xfId="0" applyAlignment="1" applyBorder="1" applyFill="1" applyFont="1">
      <alignment shrinkToFit="0" vertical="center" wrapText="1"/>
    </xf>
    <xf borderId="13" fillId="0" fontId="58" numFmtId="0" xfId="0" applyAlignment="1" applyBorder="1" applyFont="1">
      <alignment horizontal="left" shrinkToFit="0" vertical="center" wrapText="1"/>
    </xf>
    <xf borderId="104" fillId="5" fontId="5" numFmtId="0" xfId="0" applyAlignment="1" applyBorder="1" applyFill="1" applyFont="1">
      <alignment horizontal="left" shrinkToFit="0" vertical="center" wrapText="1"/>
    </xf>
    <xf borderId="13" fillId="0" fontId="40" numFmtId="0" xfId="0" applyAlignment="1" applyBorder="1" applyFont="1">
      <alignment horizontal="left" shrinkToFit="0" vertical="center" wrapText="1"/>
    </xf>
    <xf borderId="10" fillId="2" fontId="40" numFmtId="0" xfId="0" applyAlignment="1" applyBorder="1" applyFill="1" applyFont="1">
      <alignment shrinkToFit="0" vertical="center" wrapText="1"/>
    </xf>
    <xf borderId="105" fillId="0" fontId="4" numFmtId="0" xfId="0" applyBorder="1" applyFont="1"/>
    <xf borderId="106" fillId="0" fontId="40" numFmtId="0" xfId="0" applyAlignment="1" applyBorder="1" applyFont="1">
      <alignment horizontal="left" shrinkToFit="0" vertical="top" wrapText="1"/>
    </xf>
    <xf borderId="50" fillId="0" fontId="49" numFmtId="0" xfId="0" applyAlignment="1" applyBorder="1" applyFont="1">
      <alignment horizontal="left" shrinkToFit="0" vertical="center" wrapText="1"/>
    </xf>
    <xf borderId="98" fillId="6" fontId="41" numFmtId="0" xfId="0" applyAlignment="1" applyBorder="1" applyFill="1" applyFont="1">
      <alignment shrinkToFit="0" vertical="top" wrapText="0"/>
    </xf>
    <xf borderId="8" fillId="0" fontId="49" numFmtId="0" xfId="0" applyAlignment="1" applyBorder="1" applyFont="1">
      <alignment horizontal="center" shrinkToFit="0" vertical="center" wrapText="1"/>
    </xf>
    <xf borderId="10" fillId="6" fontId="40" numFmtId="0" xfId="0" applyAlignment="1" applyBorder="1" applyFill="1" applyFont="1">
      <alignment horizontal="left" shrinkToFit="0" vertical="top" wrapText="1"/>
    </xf>
    <xf borderId="45" fillId="4" fontId="25" numFmtId="0" xfId="0" applyAlignment="1" applyBorder="1" applyFill="1" applyFont="1">
      <alignment shrinkToFit="0" vertical="top" wrapText="0"/>
    </xf>
    <xf borderId="8" fillId="0" fontId="49" numFmtId="168" xfId="0" applyAlignment="1" applyBorder="1" applyFont="1" applyNumberFormat="1">
      <alignment horizontal="center" shrinkToFit="0" vertical="center" wrapText="1"/>
    </xf>
    <xf borderId="99" fillId="4" fontId="58" numFmtId="167" xfId="0" applyAlignment="1" applyBorder="1" applyFill="1" applyFont="1" applyNumberFormat="1">
      <alignment shrinkToFit="0" vertical="center" wrapText="1"/>
    </xf>
    <xf borderId="10" fillId="6" fontId="58" numFmtId="0" xfId="0" applyAlignment="1" applyBorder="1" applyFill="1" applyFont="1">
      <alignment horizontal="left" shrinkToFit="0" vertical="center" wrapText="1"/>
    </xf>
    <xf borderId="8" fillId="0" fontId="49" numFmtId="169" xfId="0" applyAlignment="1" applyBorder="1" applyFont="1" applyNumberFormat="1">
      <alignment horizontal="center" shrinkToFit="0" vertical="center" wrapText="1"/>
    </xf>
    <xf borderId="10" fillId="4" fontId="58" numFmtId="167" xfId="0" applyAlignment="1" applyBorder="1" applyFill="1" applyFont="1" applyNumberFormat="1">
      <alignment horizontal="center" shrinkToFit="0" vertical="center" wrapText="1"/>
    </xf>
    <xf borderId="10" fillId="6" fontId="40" numFmtId="0" xfId="0" applyAlignment="1" applyBorder="1" applyFill="1" applyFont="1">
      <alignment horizontal="left" shrinkToFit="0" vertical="center" wrapText="1"/>
    </xf>
    <xf borderId="8" fillId="0" fontId="53" numFmtId="0" xfId="0" applyAlignment="1" applyBorder="1" applyFont="1">
      <alignment horizontal="center" shrinkToFit="0" vertical="center" wrapText="1"/>
    </xf>
    <xf borderId="73" fillId="6" fontId="40" numFmtId="0" xfId="0" applyAlignment="1" applyBorder="1" applyFill="1" applyFont="1">
      <alignment horizontal="left" shrinkToFit="0" vertical="top" wrapText="1"/>
    </xf>
    <xf borderId="0" fillId="0" fontId="58" numFmtId="0" xfId="0" applyAlignment="1" applyFont="1">
      <alignment horizontal="center" shrinkToFit="0" vertical="center" wrapText="0"/>
    </xf>
    <xf borderId="8" fillId="0" fontId="56" numFmtId="0" xfId="0" applyAlignment="1" applyBorder="1" applyFont="1">
      <alignment horizontal="center" shrinkToFit="0" vertical="center" wrapText="1"/>
    </xf>
    <xf borderId="10" fillId="4" fontId="58" numFmtId="170" xfId="0" applyAlignment="1" applyBorder="1" applyFill="1" applyFont="1" applyNumberFormat="1">
      <alignment shrinkToFit="0" vertical="center" wrapText="1"/>
    </xf>
    <xf borderId="15" fillId="6" fontId="25" numFmtId="0" xfId="0" applyAlignment="1" applyBorder="1" applyFill="1" applyFont="1">
      <alignment horizontal="center" shrinkToFit="0" vertical="center" wrapText="1"/>
    </xf>
    <xf borderId="56" fillId="2" fontId="49" numFmtId="0" xfId="0" applyAlignment="1" applyBorder="1" applyFill="1" applyFont="1">
      <alignment horizontal="left" shrinkToFit="0" vertical="center" wrapText="1"/>
    </xf>
    <xf borderId="80" fillId="0" fontId="58" numFmtId="0" xfId="0" applyAlignment="1" applyBorder="1" applyFont="1">
      <alignment horizontal="center" shrinkToFit="0" vertical="center" wrapText="0"/>
    </xf>
    <xf borderId="73" fillId="4" fontId="40" numFmtId="0" xfId="0" applyAlignment="1" applyBorder="1" applyFill="1" applyFont="1">
      <alignment horizontal="center" shrinkToFit="0" vertical="center" wrapText="0"/>
    </xf>
    <xf borderId="15" fillId="6" fontId="40" numFmtId="0" xfId="0" applyAlignment="1" applyBorder="1" applyFill="1" applyFont="1">
      <alignment horizontal="left" shrinkToFit="0" vertical="top" wrapText="1"/>
    </xf>
    <xf borderId="15" fillId="2" fontId="49" numFmtId="168" xfId="0" applyAlignment="1" applyBorder="1" applyFill="1" applyFont="1" applyNumberFormat="1">
      <alignment horizontal="center" shrinkToFit="0" vertical="center" wrapText="1"/>
    </xf>
    <xf borderId="107" fillId="13" fontId="58" numFmtId="0" xfId="0" applyAlignment="1" applyBorder="1" applyFill="1" applyFont="1">
      <alignment horizontal="center" shrinkToFit="0" vertical="center" wrapText="1"/>
    </xf>
    <xf borderId="10" fillId="4" fontId="25" numFmtId="0" xfId="0" applyAlignment="1" applyBorder="1" applyFill="1" applyFont="1">
      <alignment shrinkToFit="0" vertical="bottom" wrapText="0"/>
    </xf>
    <xf borderId="15" fillId="2" fontId="49" numFmtId="169" xfId="0" applyAlignment="1" applyBorder="1" applyFill="1" applyFont="1" applyNumberFormat="1">
      <alignment horizontal="center" shrinkToFit="0" vertical="center" wrapText="1"/>
    </xf>
    <xf borderId="15" fillId="6" fontId="40" numFmtId="174" xfId="0" applyAlignment="1" applyBorder="1" applyFill="1" applyFont="1" applyNumberFormat="1">
      <alignment horizontal="center" shrinkToFit="0" vertical="center" wrapText="1"/>
    </xf>
    <xf borderId="107" fillId="13" fontId="64" numFmtId="0" xfId="0" applyAlignment="1" applyBorder="1" applyFill="1" applyFont="1">
      <alignment horizontal="center" shrinkToFit="0" vertical="center" wrapText="1"/>
    </xf>
    <xf borderId="45" fillId="5" fontId="25" numFmtId="0" xfId="0" applyAlignment="1" applyBorder="1" applyFill="1" applyFont="1">
      <alignment shrinkToFit="0" vertical="top" wrapText="0"/>
    </xf>
    <xf borderId="15" fillId="2" fontId="55" numFmtId="0" xfId="0" applyAlignment="1" applyBorder="1" applyFill="1" applyFont="1">
      <alignment horizontal="center" shrinkToFit="0" vertical="center" wrapText="1"/>
    </xf>
    <xf borderId="15" fillId="6" fontId="40" numFmtId="170" xfId="0" applyAlignment="1" applyBorder="1" applyFill="1" applyFont="1" applyNumberFormat="1">
      <alignment shrinkToFit="0" vertical="center" wrapText="1"/>
    </xf>
    <xf borderId="108" fillId="13" fontId="58" numFmtId="0" xfId="0" applyAlignment="1" applyBorder="1" applyFill="1" applyFont="1">
      <alignment horizontal="center" shrinkToFit="0" vertical="center" wrapText="1"/>
    </xf>
    <xf borderId="109" fillId="5" fontId="2" numFmtId="0" xfId="0" applyAlignment="1" applyBorder="1" applyFill="1" applyFont="1">
      <alignment horizontal="left" shrinkToFit="0" vertical="top" wrapText="1"/>
    </xf>
    <xf borderId="26" fillId="13" fontId="58" numFmtId="0" xfId="0" applyAlignment="1" applyBorder="1" applyFill="1" applyFont="1">
      <alignment horizontal="center" shrinkToFit="0" vertical="center" wrapText="0"/>
    </xf>
    <xf borderId="10" fillId="5" fontId="25" numFmtId="0" xfId="0" applyAlignment="1" applyBorder="1" applyFill="1" applyFont="1">
      <alignment shrinkToFit="0" vertical="bottom" wrapText="0"/>
    </xf>
    <xf borderId="15" fillId="6" fontId="58" numFmtId="0" xfId="0" applyAlignment="1" applyBorder="1" applyFill="1" applyFont="1">
      <alignment horizontal="left" shrinkToFit="0" vertical="center" wrapText="1"/>
    </xf>
    <xf borderId="15" fillId="2" fontId="53" numFmtId="0" xfId="0" applyAlignment="1" applyBorder="1" applyFill="1" applyFont="1">
      <alignment horizontal="center" shrinkToFit="0" vertical="center" wrapText="1"/>
    </xf>
    <xf borderId="110" fillId="13" fontId="58" numFmtId="0" xfId="0" applyAlignment="1" applyBorder="1" applyFill="1" applyFont="1">
      <alignment horizontal="center" shrinkToFit="0" vertical="center" wrapText="1"/>
    </xf>
    <xf borderId="111" fillId="0" fontId="4" numFmtId="0" xfId="0" applyBorder="1" applyFont="1"/>
    <xf borderId="95" fillId="0" fontId="40" numFmtId="167" xfId="0" applyAlignment="1" applyBorder="1" applyFont="1" applyNumberFormat="1">
      <alignment shrinkToFit="0" vertical="center" wrapText="1"/>
    </xf>
    <xf borderId="15" fillId="6" fontId="40" numFmtId="0" xfId="0" applyAlignment="1" applyBorder="1" applyFill="1" applyFont="1">
      <alignment horizontal="left" shrinkToFit="0" vertical="center" wrapText="1"/>
    </xf>
    <xf borderId="59" fillId="2" fontId="53" numFmtId="0" xfId="0" applyAlignment="1" applyBorder="1" applyFill="1" applyFont="1">
      <alignment horizontal="left" shrinkToFit="0" vertical="center" wrapText="1"/>
    </xf>
    <xf borderId="72" fillId="13" fontId="58" numFmtId="0" xfId="0" applyAlignment="1" applyBorder="1" applyFill="1" applyFont="1">
      <alignment horizontal="center" shrinkToFit="0" vertical="center" wrapText="1"/>
    </xf>
    <xf borderId="8" fillId="0" fontId="40" numFmtId="167" xfId="0" applyAlignment="1" applyBorder="1" applyFont="1" applyNumberFormat="1">
      <alignment horizontal="center" shrinkToFit="0" vertical="center" wrapText="1"/>
    </xf>
    <xf borderId="34" fillId="13" fontId="58" numFmtId="0" xfId="0" applyAlignment="1" applyBorder="1" applyFill="1" applyFont="1">
      <alignment horizontal="center" shrinkToFit="0" vertical="center" wrapText="0"/>
    </xf>
    <xf borderId="78" fillId="6" fontId="40" numFmtId="0" xfId="0" applyAlignment="1" applyBorder="1" applyFill="1" applyFont="1">
      <alignment horizontal="left" shrinkToFit="0" vertical="top" wrapText="1"/>
    </xf>
    <xf borderId="56" fillId="6" fontId="49" numFmtId="0" xfId="0" applyAlignment="1" applyBorder="1" applyFill="1" applyFont="1">
      <alignment horizontal="left" shrinkToFit="0" vertical="center" wrapText="1"/>
    </xf>
    <xf borderId="8" fillId="0" fontId="40" numFmtId="2" xfId="0" applyAlignment="1" applyBorder="1" applyFont="1" applyNumberFormat="1">
      <alignment horizontal="center" shrinkToFit="0" vertical="center" wrapText="0"/>
    </xf>
    <xf borderId="38" fillId="13" fontId="40" numFmtId="0" xfId="0" applyAlignment="1" applyBorder="1" applyFill="1" applyFont="1">
      <alignment horizontal="center" shrinkToFit="0" vertical="center" wrapText="1"/>
    </xf>
    <xf borderId="112" fillId="6" fontId="25" numFmtId="0" xfId="0" applyAlignment="1" applyBorder="1" applyFill="1" applyFont="1">
      <alignment horizontal="center" shrinkToFit="0" vertical="center" wrapText="0"/>
    </xf>
    <xf borderId="15" fillId="6" fontId="49" numFmtId="0" xfId="0" applyAlignment="1" applyBorder="1" applyFill="1" applyFont="1">
      <alignment horizontal="center" shrinkToFit="0" vertical="center" wrapText="1"/>
    </xf>
    <xf borderId="8" fillId="0" fontId="40" numFmtId="175" xfId="0" applyAlignment="1" applyBorder="1" applyFont="1" applyNumberFormat="1">
      <alignment horizontal="center" shrinkToFit="0" vertical="center" wrapText="1"/>
    </xf>
    <xf borderId="70" fillId="13" fontId="12" numFmtId="0" xfId="0" applyAlignment="1" applyBorder="1" applyFill="1" applyFont="1">
      <alignment horizontal="center" shrinkToFit="0" vertical="center" wrapText="1"/>
    </xf>
    <xf borderId="15" fillId="6" fontId="49" numFmtId="169" xfId="0" applyAlignment="1" applyBorder="1" applyFill="1" applyFont="1" applyNumberFormat="1">
      <alignment horizontal="center" shrinkToFit="0" vertical="center" wrapText="1"/>
    </xf>
    <xf borderId="96" fillId="0" fontId="40" numFmtId="167" xfId="0" applyAlignment="1" applyBorder="1" applyFont="1" applyNumberFormat="1">
      <alignment horizontal="center" shrinkToFit="0" vertical="center" wrapText="1"/>
    </xf>
    <xf borderId="92" fillId="6" fontId="25" numFmtId="0" xfId="0" applyAlignment="1" applyBorder="1" applyFill="1" applyFont="1">
      <alignment horizontal="center" shrinkToFit="0" vertical="center" wrapText="0"/>
    </xf>
    <xf borderId="15" fillId="6" fontId="55" numFmtId="0" xfId="0" applyAlignment="1" applyBorder="1" applyFill="1" applyFont="1">
      <alignment horizontal="center" shrinkToFit="0" vertical="center" wrapText="1"/>
    </xf>
    <xf borderId="26" fillId="13" fontId="40" numFmtId="0" xfId="0" applyAlignment="1" applyBorder="1" applyFill="1" applyFont="1">
      <alignment horizontal="center" shrinkToFit="0" vertical="center" wrapText="0"/>
    </xf>
    <xf borderId="98" fillId="4" fontId="25" numFmtId="0" xfId="0" applyAlignment="1" applyBorder="1" applyFill="1" applyFont="1">
      <alignment shrinkToFit="0" vertical="top" wrapText="0"/>
    </xf>
    <xf borderId="98" fillId="2" fontId="41" numFmtId="0" xfId="0" applyAlignment="1" applyBorder="1" applyFill="1" applyFont="1">
      <alignment shrinkToFit="0" vertical="top" wrapText="0"/>
    </xf>
    <xf borderId="59" fillId="2" fontId="49" numFmtId="0" xfId="0" applyAlignment="1" applyBorder="1" applyFill="1" applyFont="1">
      <alignment horizontal="left" shrinkToFit="0" vertical="center" wrapText="1"/>
    </xf>
    <xf borderId="110" fillId="13" fontId="40" numFmtId="0" xfId="0" applyAlignment="1" applyBorder="1" applyFill="1" applyFont="1">
      <alignment horizontal="center" shrinkToFit="0" vertical="center" wrapText="1"/>
    </xf>
    <xf borderId="10" fillId="4" fontId="58" numFmtId="167" xfId="0" applyAlignment="1" applyBorder="1" applyFill="1" applyFont="1" applyNumberFormat="1">
      <alignment shrinkToFit="0" vertical="center" wrapText="1"/>
    </xf>
    <xf borderId="98" fillId="5" fontId="25" numFmtId="0" xfId="0" applyAlignment="1" applyBorder="1" applyFill="1" applyFont="1">
      <alignment shrinkToFit="0" vertical="top" wrapText="0"/>
    </xf>
    <xf borderId="70" fillId="13" fontId="40" numFmtId="0" xfId="0" applyAlignment="1" applyBorder="1" applyFill="1" applyFont="1">
      <alignment horizontal="center" shrinkToFit="0" vertical="center" wrapText="1"/>
    </xf>
    <xf borderId="10" fillId="2" fontId="58" numFmtId="0" xfId="0" applyAlignment="1" applyBorder="1" applyFill="1" applyFont="1">
      <alignment horizontal="left" shrinkToFit="0" vertical="center" wrapText="1"/>
    </xf>
    <xf borderId="9" fillId="5" fontId="2" numFmtId="0" xfId="0" applyAlignment="1" applyBorder="1" applyFill="1" applyFont="1">
      <alignment horizontal="left" shrinkToFit="0" vertical="center" wrapText="1"/>
    </xf>
    <xf borderId="113" fillId="13" fontId="58" numFmtId="0" xfId="0" applyAlignment="1" applyBorder="1" applyFill="1" applyFont="1">
      <alignment horizontal="center" shrinkToFit="0" vertical="center" wrapText="1"/>
    </xf>
    <xf borderId="10" fillId="6" fontId="40" numFmtId="166" xfId="0" applyAlignment="1" applyBorder="1" applyFill="1" applyFont="1" applyNumberFormat="1">
      <alignment horizontal="left" shrinkToFit="0" vertical="top" wrapText="1"/>
    </xf>
    <xf borderId="15" fillId="6" fontId="49" numFmtId="169" xfId="0" applyAlignment="1" applyBorder="1" applyFill="1" applyFont="1" applyNumberFormat="1">
      <alignment horizontal="center" shrinkToFit="0" vertical="center" wrapText="0"/>
    </xf>
    <xf borderId="10" fillId="0" fontId="40" numFmtId="168" xfId="0" applyAlignment="1" applyBorder="1" applyFont="1" applyNumberFormat="1">
      <alignment horizontal="center" shrinkToFit="0" vertical="center" wrapText="1"/>
    </xf>
    <xf borderId="113" fillId="13" fontId="64" numFmtId="0" xfId="0" applyAlignment="1" applyBorder="1" applyFill="1" applyFont="1">
      <alignment horizontal="center" shrinkToFit="0" vertical="center" wrapText="1"/>
    </xf>
    <xf borderId="59" fillId="6" fontId="61" numFmtId="0" xfId="0" applyAlignment="1" applyBorder="1" applyFill="1" applyFont="1">
      <alignment horizontal="center" shrinkToFit="0" vertical="center" wrapText="1"/>
    </xf>
    <xf borderId="10" fillId="0" fontId="40" numFmtId="166" xfId="0" applyAlignment="1" applyBorder="1" applyFont="1" applyNumberFormat="1">
      <alignment horizontal="left" shrinkToFit="0" vertical="top" wrapText="1"/>
    </xf>
    <xf borderId="56" fillId="2" fontId="49" numFmtId="0" xfId="0" applyAlignment="1" applyBorder="1" applyFill="1" applyFont="1">
      <alignment horizontal="left" shrinkToFit="0" vertical="center" wrapText="0"/>
    </xf>
    <xf borderId="114" fillId="13" fontId="58" numFmtId="0" xfId="0" applyAlignment="1" applyBorder="1" applyFill="1" applyFont="1">
      <alignment horizontal="center" shrinkToFit="0" vertical="center" wrapText="0"/>
    </xf>
    <xf borderId="10" fillId="0" fontId="40" numFmtId="0" xfId="0" applyAlignment="1" applyBorder="1" applyFont="1">
      <alignment horizontal="left" shrinkToFit="0" vertical="top" wrapText="1"/>
    </xf>
    <xf borderId="15" fillId="2" fontId="49" numFmtId="0" xfId="0" applyAlignment="1" applyBorder="1" applyFill="1" applyFont="1">
      <alignment horizontal="center" shrinkToFit="0" vertical="center" wrapText="0"/>
    </xf>
    <xf borderId="21" fillId="13" fontId="58" numFmtId="0" xfId="0" applyAlignment="1" applyBorder="1" applyFill="1" applyFont="1">
      <alignment horizontal="center" shrinkToFit="0" vertical="center" wrapText="0"/>
    </xf>
    <xf borderId="9" fillId="0" fontId="40" numFmtId="167" xfId="0" applyAlignment="1" applyBorder="1" applyFont="1" applyNumberFormat="1">
      <alignment horizontal="center" shrinkToFit="0" vertical="center" wrapText="1"/>
    </xf>
    <xf borderId="15" fillId="2" fontId="49" numFmtId="169" xfId="0" applyAlignment="1" applyBorder="1" applyFill="1" applyFont="1" applyNumberFormat="1">
      <alignment horizontal="center" shrinkToFit="0" vertical="center" wrapText="0"/>
    </xf>
    <xf borderId="10" fillId="0" fontId="58" numFmtId="0" xfId="0" applyAlignment="1" applyBorder="1" applyFont="1">
      <alignment horizontal="left" shrinkToFit="0" vertical="center" wrapText="1"/>
    </xf>
    <xf borderId="22" fillId="13" fontId="58" numFmtId="0" xfId="0" applyAlignment="1" applyBorder="1" applyFill="1" applyFont="1">
      <alignment horizontal="center" shrinkToFit="0" vertical="center" wrapText="1"/>
    </xf>
    <xf borderId="115" fillId="0" fontId="25" numFmtId="0" xfId="0" applyAlignment="1" applyBorder="1" applyFont="1">
      <alignment shrinkToFit="0" vertical="top" wrapText="0"/>
    </xf>
    <xf borderId="10" fillId="0" fontId="40" numFmtId="0" xfId="0" applyAlignment="1" applyBorder="1" applyFont="1">
      <alignment horizontal="left" shrinkToFit="0" vertical="center" wrapText="1"/>
    </xf>
    <xf borderId="8" fillId="0" fontId="55" numFmtId="0" xfId="0" applyAlignment="1" applyBorder="1" applyFont="1">
      <alignment horizontal="center" shrinkToFit="0" vertical="center" wrapText="1"/>
    </xf>
    <xf borderId="23" fillId="13" fontId="58" numFmtId="169" xfId="0" applyAlignment="1" applyBorder="1" applyFill="1" applyFont="1" applyNumberFormat="1">
      <alignment horizontal="center" shrinkToFit="0" vertical="top" wrapText="1"/>
    </xf>
    <xf borderId="8" fillId="0" fontId="40" numFmtId="0" xfId="0" applyAlignment="1" applyBorder="1" applyFont="1">
      <alignment shrinkToFit="0" vertical="center" wrapText="1"/>
    </xf>
    <xf borderId="114" fillId="13" fontId="58" numFmtId="0" xfId="0" applyAlignment="1" applyBorder="1" applyFill="1" applyFont="1">
      <alignment horizontal="center" shrinkToFit="0" vertical="center" wrapText="1"/>
    </xf>
    <xf borderId="8" fillId="0" fontId="40" numFmtId="168" xfId="0" applyAlignment="1" applyBorder="1" applyFont="1" applyNumberFormat="1">
      <alignment horizontal="center" shrinkToFit="0" vertical="center" wrapText="1"/>
    </xf>
    <xf borderId="10" fillId="0" fontId="58" numFmtId="0" xfId="0" applyAlignment="1" applyBorder="1" applyFont="1">
      <alignment horizontal="left" shrinkToFit="0" vertical="top" wrapText="1"/>
    </xf>
    <xf borderId="116" fillId="13" fontId="58" numFmtId="0" xfId="0" applyAlignment="1" applyBorder="1" applyFill="1" applyFont="1">
      <alignment horizontal="center" shrinkToFit="0" vertical="center" wrapText="1"/>
    </xf>
    <xf borderId="15" fillId="6" fontId="56" numFmtId="0" xfId="0" applyAlignment="1" applyBorder="1" applyFill="1" applyFont="1">
      <alignment horizontal="center" shrinkToFit="0" vertical="center" wrapText="1"/>
    </xf>
    <xf borderId="117" fillId="13" fontId="58" numFmtId="0" xfId="0" applyAlignment="1" applyBorder="1" applyFill="1" applyFont="1">
      <alignment horizontal="center" shrinkToFit="0" vertical="center" wrapText="1"/>
    </xf>
    <xf borderId="10" fillId="6" fontId="58" numFmtId="0" xfId="0" applyAlignment="1" applyBorder="1" applyFill="1" applyFont="1">
      <alignment horizontal="left" shrinkToFit="0" vertical="top" wrapText="1"/>
    </xf>
    <xf borderId="68" fillId="13" fontId="40" numFmtId="0" xfId="0" applyAlignment="1" applyBorder="1" applyFill="1" applyFont="1">
      <alignment horizontal="center" shrinkToFit="0" vertical="center" wrapText="1"/>
    </xf>
    <xf borderId="68" fillId="13" fontId="40" numFmtId="0" xfId="0" applyAlignment="1" applyBorder="1" applyFill="1" applyFont="1">
      <alignment horizontal="center" shrinkToFit="0" vertical="center" wrapText="0"/>
    </xf>
    <xf borderId="53" fillId="0" fontId="49" numFmtId="0" xfId="0" applyAlignment="1" applyBorder="1" applyFont="1">
      <alignment horizontal="center" shrinkToFit="0" vertical="center" wrapText="1"/>
    </xf>
    <xf borderId="10" fillId="2" fontId="40" numFmtId="166" xfId="0" applyAlignment="1" applyBorder="1" applyFill="1" applyFont="1" applyNumberFormat="1">
      <alignment horizontal="left" shrinkToFit="0" vertical="top" wrapText="1"/>
    </xf>
    <xf borderId="108" fillId="5" fontId="40" numFmtId="0" xfId="0" applyAlignment="1" applyBorder="1" applyFill="1" applyFont="1">
      <alignment horizontal="center" shrinkToFit="0" vertical="center" wrapText="0"/>
    </xf>
    <xf borderId="59" fillId="6" fontId="49" numFmtId="0" xfId="0" applyAlignment="1" applyBorder="1" applyFill="1" applyFont="1">
      <alignment horizontal="center" shrinkToFit="0" vertical="center" wrapText="1"/>
    </xf>
    <xf borderId="118" fillId="5" fontId="64" numFmtId="0" xfId="0" applyAlignment="1" applyBorder="1" applyFill="1" applyFont="1">
      <alignment shrinkToFit="0" vertical="center" wrapText="0"/>
    </xf>
    <xf borderId="59" fillId="2" fontId="49" numFmtId="0" xfId="0" applyAlignment="1" applyBorder="1" applyFill="1" applyFont="1">
      <alignment horizontal="center" shrinkToFit="0" vertical="center" wrapText="1"/>
    </xf>
    <xf borderId="10" fillId="6" fontId="25" numFmtId="0" xfId="0" applyAlignment="1" applyBorder="1" applyFill="1" applyFont="1">
      <alignment shrinkToFit="0" vertical="top" wrapText="0"/>
    </xf>
    <xf borderId="10" fillId="2" fontId="58" numFmtId="0" xfId="0" applyAlignment="1" applyBorder="1" applyFill="1" applyFont="1">
      <alignment horizontal="left" shrinkToFit="0" vertical="top" wrapText="1"/>
    </xf>
    <xf borderId="46" fillId="4" fontId="49" numFmtId="0" xfId="0" applyAlignment="1" applyBorder="1" applyFill="1" applyFont="1">
      <alignment shrinkToFit="0" vertical="center" wrapText="0"/>
    </xf>
    <xf borderId="118" fillId="5" fontId="58" numFmtId="0" xfId="0" applyAlignment="1" applyBorder="1" applyFill="1" applyFont="1">
      <alignment shrinkToFit="0" vertical="center" wrapText="0"/>
    </xf>
    <xf borderId="10" fillId="6" fontId="40" numFmtId="168" xfId="0" applyAlignment="1" applyBorder="1" applyFill="1" applyFont="1" applyNumberFormat="1">
      <alignment horizontal="center" shrinkToFit="0" vertical="center" wrapText="1"/>
    </xf>
    <xf borderId="10" fillId="2" fontId="25" numFmtId="0" xfId="0" applyAlignment="1" applyBorder="1" applyFill="1" applyFont="1">
      <alignment horizontal="center" shrinkToFit="0" vertical="center" wrapText="1"/>
    </xf>
    <xf borderId="118" fillId="5" fontId="58" numFmtId="169" xfId="0" applyAlignment="1" applyBorder="1" applyFill="1" applyFont="1" applyNumberFormat="1">
      <alignment shrinkToFit="0" vertical="center" wrapText="0"/>
    </xf>
    <xf borderId="119" fillId="0" fontId="40" numFmtId="0" xfId="0" applyAlignment="1" applyBorder="1" applyFont="1">
      <alignment shrinkToFit="0" vertical="center" wrapText="1"/>
    </xf>
    <xf borderId="8" fillId="0" fontId="65" numFmtId="0" xfId="0" applyAlignment="1" applyBorder="1" applyFont="1">
      <alignment horizontal="center" shrinkToFit="0" vertical="center" wrapText="1"/>
    </xf>
    <xf borderId="118" fillId="5" fontId="58" numFmtId="169" xfId="0" applyAlignment="1" applyBorder="1" applyFill="1" applyFont="1" applyNumberFormat="1">
      <alignment horizontal="center" shrinkToFit="0" vertical="center" wrapText="0"/>
    </xf>
    <xf borderId="13" fillId="0" fontId="40" numFmtId="0" xfId="0" applyAlignment="1" applyBorder="1" applyFont="1">
      <alignment horizontal="center" shrinkToFit="0" vertical="center" wrapText="1"/>
    </xf>
    <xf borderId="53" fillId="0" fontId="65" numFmtId="0" xfId="0" applyAlignment="1" applyBorder="1" applyFont="1">
      <alignment horizontal="left" shrinkToFit="0" vertical="center" wrapText="1"/>
    </xf>
    <xf borderId="10" fillId="6" fontId="40" numFmtId="2" xfId="0" applyAlignment="1" applyBorder="1" applyFill="1" applyFont="1" applyNumberFormat="1">
      <alignment horizontal="center" shrinkToFit="0" vertical="center" wrapText="0"/>
    </xf>
    <xf borderId="118" fillId="5" fontId="40" numFmtId="0" xfId="0" applyAlignment="1" applyBorder="1" applyFill="1" applyFont="1">
      <alignment horizontal="center" shrinkToFit="0" vertical="center" wrapText="1"/>
    </xf>
    <xf borderId="13" fillId="0" fontId="40" numFmtId="168" xfId="0" applyAlignment="1" applyBorder="1" applyFont="1" applyNumberFormat="1">
      <alignment horizontal="center" shrinkToFit="0" vertical="center" wrapText="1"/>
    </xf>
    <xf borderId="10" fillId="6" fontId="58" numFmtId="166" xfId="0" applyAlignment="1" applyBorder="1" applyFill="1" applyFont="1" applyNumberFormat="1">
      <alignment horizontal="center" shrinkToFit="0" vertical="top" wrapText="1"/>
    </xf>
    <xf borderId="46" fillId="2" fontId="66" numFmtId="176" xfId="0" applyAlignment="1" applyBorder="1" applyFill="1" applyFont="1" applyNumberFormat="1">
      <alignment horizontal="left" shrinkToFit="0" vertical="center" wrapText="1"/>
    </xf>
    <xf borderId="30" fillId="5" fontId="40" numFmtId="0" xfId="0" applyAlignment="1" applyBorder="1" applyFill="1" applyFont="1">
      <alignment horizontal="center" shrinkToFit="0" vertical="bottom" wrapText="0"/>
    </xf>
    <xf borderId="106" fillId="0" fontId="40" numFmtId="0" xfId="0" applyAlignment="1" applyBorder="1" applyFont="1">
      <alignment horizontal="center" shrinkToFit="0" vertical="center" wrapText="1"/>
    </xf>
    <xf borderId="10" fillId="6" fontId="40" numFmtId="166" xfId="0" applyAlignment="1" applyBorder="1" applyFill="1" applyFont="1" applyNumberFormat="1">
      <alignment horizontal="center" shrinkToFit="0" vertical="top" wrapText="1"/>
    </xf>
    <xf borderId="10" fillId="2" fontId="40" numFmtId="168" xfId="0" applyAlignment="1" applyBorder="1" applyFill="1" applyFont="1" applyNumberFormat="1">
      <alignment horizontal="center" shrinkToFit="0" vertical="center" wrapText="1"/>
    </xf>
    <xf borderId="46" fillId="6" fontId="49" numFmtId="176" xfId="0" applyAlignment="1" applyBorder="1" applyFill="1" applyFont="1" applyNumberFormat="1">
      <alignment horizontal="left" shrinkToFit="0" vertical="center" wrapText="1"/>
    </xf>
    <xf borderId="22" fillId="5" fontId="40" numFmtId="0" xfId="0" applyAlignment="1" applyBorder="1" applyFill="1" applyFont="1">
      <alignment horizontal="center" shrinkToFit="0" vertical="center" wrapText="0"/>
    </xf>
    <xf borderId="10" fillId="2" fontId="40" numFmtId="2" xfId="0" applyAlignment="1" applyBorder="1" applyFill="1" applyFont="1" applyNumberFormat="1">
      <alignment horizontal="center" shrinkToFit="0" vertical="center" wrapText="0"/>
    </xf>
    <xf borderId="46" fillId="2" fontId="49" numFmtId="176" xfId="0" applyAlignment="1" applyBorder="1" applyFill="1" applyFont="1" applyNumberFormat="1">
      <alignment horizontal="left" shrinkToFit="0" vertical="center" wrapText="1"/>
    </xf>
    <xf borderId="10" fillId="6" fontId="26" numFmtId="0" xfId="0" applyAlignment="1" applyBorder="1" applyFill="1" applyFont="1">
      <alignment shrinkToFit="0" vertical="bottom" wrapText="1"/>
    </xf>
    <xf borderId="22" fillId="5" fontId="40" numFmtId="0" xfId="0" applyAlignment="1" applyBorder="1" applyFill="1" applyFont="1">
      <alignment shrinkToFit="0" vertical="bottom" wrapText="0"/>
    </xf>
    <xf borderId="10" fillId="2" fontId="58" numFmtId="166" xfId="0" applyAlignment="1" applyBorder="1" applyFill="1" applyFont="1" applyNumberFormat="1">
      <alignment horizontal="center" shrinkToFit="0" vertical="top" wrapText="1"/>
    </xf>
    <xf borderId="30" fillId="2" fontId="55" numFmtId="0" xfId="0" applyAlignment="1" applyBorder="1" applyFill="1" applyFont="1">
      <alignment shrinkToFit="0" vertical="center" wrapText="0"/>
    </xf>
    <xf borderId="120" fillId="0" fontId="40" numFmtId="0" xfId="0" applyAlignment="1" applyBorder="1" applyFont="1">
      <alignment horizontal="center" shrinkToFit="0" vertical="center" wrapText="0"/>
    </xf>
    <xf borderId="10" fillId="2" fontId="40" numFmtId="166" xfId="0" applyAlignment="1" applyBorder="1" applyFill="1" applyFont="1" applyNumberFormat="1">
      <alignment horizontal="center" shrinkToFit="0" vertical="top" wrapText="1"/>
    </xf>
    <xf borderId="91" fillId="0" fontId="67" numFmtId="0" xfId="0" applyAlignment="1" applyBorder="1" applyFont="1">
      <alignment shrinkToFit="0" vertical="center" wrapText="0"/>
    </xf>
    <xf borderId="73" fillId="2" fontId="62" numFmtId="0" xfId="0" applyAlignment="1" applyBorder="1" applyFill="1" applyFont="1">
      <alignment horizontal="center" shrinkToFit="0" vertical="center" wrapText="1"/>
    </xf>
    <xf borderId="93" fillId="2" fontId="25" numFmtId="0" xfId="0" applyAlignment="1" applyBorder="1" applyFill="1" applyFont="1">
      <alignment horizontal="center" shrinkToFit="0" vertical="center" wrapText="0"/>
    </xf>
    <xf borderId="91" fillId="0" fontId="40" numFmtId="0" xfId="0" applyAlignment="1" applyBorder="1" applyFont="1">
      <alignment shrinkToFit="0" vertical="center" wrapText="0"/>
    </xf>
    <xf borderId="10" fillId="2" fontId="26" numFmtId="0" xfId="0" applyAlignment="1" applyBorder="1" applyFill="1" applyFont="1">
      <alignment shrinkToFit="0" vertical="bottom" wrapText="0"/>
    </xf>
    <xf borderId="99" fillId="6" fontId="25" numFmtId="0" xfId="0" applyAlignment="1" applyBorder="1" applyFill="1" applyFont="1">
      <alignment shrinkToFit="0" vertical="bottom" wrapText="0"/>
    </xf>
    <xf borderId="10" fillId="2" fontId="49" numFmtId="177" xfId="0" applyAlignment="1" applyBorder="1" applyFill="1" applyFont="1" applyNumberFormat="1">
      <alignment horizontal="center" shrinkToFit="0" vertical="center" wrapText="1"/>
    </xf>
    <xf borderId="92" fillId="2" fontId="25" numFmtId="0" xfId="0" applyAlignment="1" applyBorder="1" applyFill="1" applyFont="1">
      <alignment horizontal="center" shrinkToFit="0" vertical="center" wrapText="0"/>
    </xf>
    <xf borderId="91" fillId="0" fontId="40" numFmtId="2" xfId="0" applyAlignment="1" applyBorder="1" applyFont="1" applyNumberFormat="1">
      <alignment shrinkToFit="0" vertical="center" wrapText="0"/>
    </xf>
    <xf borderId="73" fillId="6" fontId="40" numFmtId="167" xfId="0" applyAlignment="1" applyBorder="1" applyFill="1" applyFont="1" applyNumberFormat="1">
      <alignment horizontal="center" shrinkToFit="0" vertical="center" wrapText="1"/>
    </xf>
    <xf borderId="91" fillId="0" fontId="40" numFmtId="169" xfId="0" applyAlignment="1" applyBorder="1" applyFont="1" applyNumberFormat="1">
      <alignment shrinkToFit="0" vertical="center" wrapText="0"/>
    </xf>
    <xf borderId="91" fillId="0" fontId="40" numFmtId="0" xfId="0" applyAlignment="1" applyBorder="1" applyFont="1">
      <alignment horizontal="center" shrinkToFit="0" vertical="center" wrapText="0"/>
    </xf>
    <xf borderId="66" fillId="5" fontId="5" numFmtId="166" xfId="0" applyAlignment="1" applyBorder="1" applyFill="1" applyFont="1" applyNumberFormat="1">
      <alignment horizontal="left" shrinkToFit="0" vertical="center" wrapText="1"/>
    </xf>
    <xf borderId="9" fillId="4" fontId="58" numFmtId="166" xfId="0" applyAlignment="1" applyBorder="1" applyFill="1" applyFont="1" applyNumberFormat="1">
      <alignment horizontal="left" shrinkToFit="0" vertical="center" wrapText="1"/>
    </xf>
    <xf borderId="10" fillId="0" fontId="55" numFmtId="166" xfId="0" applyAlignment="1" applyBorder="1" applyFont="1" applyNumberFormat="1">
      <alignment horizontal="center" shrinkToFit="0" vertical="center" wrapText="1"/>
    </xf>
    <xf borderId="35" fillId="0" fontId="40" numFmtId="0" xfId="0" applyAlignment="1" applyBorder="1" applyFont="1">
      <alignment horizontal="center" shrinkToFit="0" vertical="bottom" wrapText="0"/>
    </xf>
    <xf borderId="73" fillId="2" fontId="58" numFmtId="167" xfId="0" applyAlignment="1" applyBorder="1" applyFill="1" applyFont="1" applyNumberFormat="1">
      <alignment horizontal="center" shrinkToFit="0" vertical="center" wrapText="1"/>
    </xf>
    <xf borderId="13" fillId="0" fontId="40" numFmtId="0" xfId="0" applyAlignment="1" applyBorder="1" applyFont="1">
      <alignment horizontal="center" shrinkToFit="0" vertical="center" wrapText="0"/>
    </xf>
    <xf borderId="10" fillId="4" fontId="58" numFmtId="0" xfId="0" applyAlignment="1" applyBorder="1" applyFill="1" applyFont="1">
      <alignment shrinkToFit="0" vertical="center" wrapText="0"/>
    </xf>
    <xf borderId="45" fillId="6" fontId="49" numFmtId="166" xfId="0" applyAlignment="1" applyBorder="1" applyFill="1" applyFont="1" applyNumberFormat="1">
      <alignment horizontal="center" shrinkToFit="0" vertical="center" wrapText="1"/>
    </xf>
    <xf borderId="13" fillId="0" fontId="40" numFmtId="0" xfId="0" applyAlignment="1" applyBorder="1" applyFont="1">
      <alignment shrinkToFit="0" vertical="bottom" wrapText="0"/>
    </xf>
    <xf borderId="10" fillId="6" fontId="55" numFmtId="166" xfId="0" applyAlignment="1" applyBorder="1" applyFill="1" applyFont="1" applyNumberFormat="1">
      <alignment horizontal="center" shrinkToFit="0" vertical="center" wrapText="1"/>
    </xf>
    <xf borderId="45" fillId="2" fontId="40" numFmtId="0" xfId="0" applyAlignment="1" applyBorder="1" applyFill="1" applyFont="1">
      <alignment horizontal="center" shrinkToFit="0" vertical="center" wrapText="0"/>
    </xf>
    <xf borderId="46" fillId="6" fontId="49" numFmtId="0" xfId="0" applyAlignment="1" applyBorder="1" applyFill="1" applyFont="1">
      <alignment horizontal="center" shrinkToFit="0" vertical="center" wrapText="1"/>
    </xf>
    <xf borderId="10" fillId="0" fontId="40" numFmtId="166" xfId="0" applyAlignment="1" applyBorder="1" applyFont="1" applyNumberFormat="1">
      <alignment horizontal="left" shrinkToFit="0" vertical="center" wrapText="1"/>
    </xf>
    <xf borderId="10" fillId="2" fontId="67" numFmtId="0" xfId="0" applyAlignment="1" applyBorder="1" applyFill="1" applyFont="1">
      <alignment shrinkToFit="0" vertical="center" wrapText="0"/>
    </xf>
    <xf borderId="45" fillId="0" fontId="49" numFmtId="166" xfId="0" applyAlignment="1" applyBorder="1" applyFont="1" applyNumberFormat="1">
      <alignment horizontal="center" shrinkToFit="0" vertical="center" wrapText="1"/>
    </xf>
    <xf borderId="10" fillId="6" fontId="40" numFmtId="166" xfId="0" applyAlignment="1" applyBorder="1" applyFill="1" applyFont="1" applyNumberFormat="1">
      <alignment horizontal="left" shrinkToFit="0" vertical="center" wrapText="1"/>
    </xf>
    <xf borderId="10" fillId="2" fontId="40" numFmtId="0" xfId="0" applyAlignment="1" applyBorder="1" applyFill="1" applyFont="1">
      <alignment shrinkToFit="0" vertical="center" wrapText="0"/>
    </xf>
    <xf borderId="10" fillId="0" fontId="53" numFmtId="166" xfId="0" applyAlignment="1" applyBorder="1" applyFont="1" applyNumberFormat="1">
      <alignment horizontal="center" shrinkToFit="0" vertical="center" wrapText="1"/>
    </xf>
    <xf borderId="10" fillId="2" fontId="40" numFmtId="169" xfId="0" applyAlignment="1" applyBorder="1" applyFill="1" applyFont="1" applyNumberFormat="1">
      <alignment shrinkToFit="0" vertical="center" wrapText="0"/>
    </xf>
    <xf borderId="45" fillId="6" fontId="49" numFmtId="166" xfId="0" applyAlignment="1" applyBorder="1" applyFill="1" applyFont="1" applyNumberFormat="1">
      <alignment horizontal="left" shrinkToFit="0" vertical="center" wrapText="1"/>
    </xf>
    <xf borderId="10" fillId="2" fontId="40" numFmtId="0" xfId="0" applyAlignment="1" applyBorder="1" applyFill="1" applyFont="1">
      <alignment horizontal="center" shrinkToFit="0" vertical="center" wrapText="0"/>
    </xf>
    <xf borderId="10" fillId="6" fontId="53" numFmtId="166" xfId="0" applyAlignment="1" applyBorder="1" applyFill="1" applyFont="1" applyNumberFormat="1">
      <alignment horizontal="center" shrinkToFit="0" vertical="center" wrapText="1"/>
    </xf>
    <xf borderId="10" fillId="14" fontId="40" numFmtId="0" xfId="0" applyAlignment="1" applyBorder="1" applyFill="1" applyFont="1">
      <alignment horizontal="center" shrinkToFit="0" vertical="center" wrapText="1"/>
    </xf>
    <xf borderId="73" fillId="2" fontId="40" numFmtId="167" xfId="0" applyAlignment="1" applyBorder="1" applyFill="1" applyFont="1" applyNumberFormat="1">
      <alignment horizontal="center" shrinkToFit="0" vertical="center" wrapText="1"/>
    </xf>
    <xf borderId="73" fillId="2" fontId="40" numFmtId="0" xfId="0" applyAlignment="1" applyBorder="1" applyFill="1" applyFont="1">
      <alignment horizontal="center" shrinkToFit="0" vertical="bottom" wrapText="0"/>
    </xf>
    <xf borderId="9" fillId="4" fontId="58" numFmtId="166" xfId="0" applyAlignment="1" applyBorder="1" applyFill="1" applyFont="1" applyNumberFormat="1">
      <alignment horizontal="left" shrinkToFit="0" vertical="top" wrapText="1"/>
    </xf>
    <xf borderId="10" fillId="2" fontId="40" numFmtId="173" xfId="0" applyAlignment="1" applyBorder="1" applyFill="1" applyFont="1" applyNumberFormat="1">
      <alignment horizontal="center" shrinkToFit="0" vertical="center" wrapText="0"/>
    </xf>
    <xf borderId="30" fillId="6" fontId="26" numFmtId="0" xfId="0" applyAlignment="1" applyBorder="1" applyFill="1" applyFont="1">
      <alignment shrinkToFit="0" vertical="bottom" wrapText="1"/>
    </xf>
    <xf borderId="10" fillId="4" fontId="58" numFmtId="166" xfId="0" applyAlignment="1" applyBorder="1" applyFill="1" applyFont="1" applyNumberFormat="1">
      <alignment horizontal="center" shrinkToFit="0" vertical="top" wrapText="1"/>
    </xf>
    <xf borderId="10" fillId="0" fontId="40" numFmtId="0" xfId="0" applyAlignment="1" applyBorder="1" applyFont="1">
      <alignment horizontal="center" shrinkToFit="0" vertical="center" wrapText="0"/>
    </xf>
    <xf borderId="10" fillId="4" fontId="58" numFmtId="170" xfId="0" applyAlignment="1" applyBorder="1" applyFill="1" applyFont="1" applyNumberFormat="1">
      <alignment horizontal="center" shrinkToFit="0" vertical="top" wrapText="1"/>
    </xf>
    <xf borderId="9" fillId="0" fontId="49" numFmtId="166" xfId="0" applyAlignment="1" applyBorder="1" applyFont="1" applyNumberFormat="1">
      <alignment horizontal="center" shrinkToFit="0" vertical="center" wrapText="1"/>
    </xf>
    <xf borderId="10" fillId="0" fontId="40" numFmtId="0" xfId="0" applyAlignment="1" applyBorder="1" applyFont="1">
      <alignment shrinkToFit="0" vertical="bottom" wrapText="0"/>
    </xf>
    <xf borderId="10" fillId="0" fontId="25" numFmtId="0" xfId="0" applyAlignment="1" applyBorder="1" applyFont="1">
      <alignment shrinkToFit="0" vertical="center" wrapText="1"/>
    </xf>
    <xf borderId="10" fillId="4" fontId="40" numFmtId="0" xfId="0" applyAlignment="1" applyBorder="1" applyFill="1" applyFont="1">
      <alignment shrinkToFit="0" vertical="top" wrapText="0"/>
    </xf>
    <xf borderId="45" fillId="12" fontId="40" numFmtId="0" xfId="0" applyAlignment="1" applyBorder="1" applyFill="1" applyFont="1">
      <alignment horizontal="center" shrinkToFit="0" vertical="center" wrapText="0"/>
    </xf>
    <xf borderId="12" fillId="0" fontId="49" numFmtId="169" xfId="0" applyAlignment="1" applyBorder="1" applyFont="1" applyNumberFormat="1">
      <alignment horizontal="center" shrinkToFit="0" vertical="center" wrapText="1"/>
    </xf>
    <xf borderId="10" fillId="12" fontId="67" numFmtId="0" xfId="0" applyAlignment="1" applyBorder="1" applyFill="1" applyFont="1">
      <alignment shrinkToFit="0" vertical="center" wrapText="0"/>
    </xf>
    <xf borderId="10" fillId="2" fontId="40" numFmtId="49" xfId="0" applyAlignment="1" applyBorder="1" applyFill="1" applyFont="1" applyNumberFormat="1">
      <alignment horizontal="left" shrinkToFit="0" vertical="top" wrapText="0"/>
    </xf>
    <xf borderId="73" fillId="6" fontId="49" numFmtId="166" xfId="0" applyAlignment="1" applyBorder="1" applyFill="1" applyFont="1" applyNumberFormat="1">
      <alignment horizontal="center" shrinkToFit="0" vertical="center" wrapText="1"/>
    </xf>
    <xf borderId="10" fillId="2" fontId="29" numFmtId="0" xfId="0" applyAlignment="1" applyBorder="1" applyFill="1" applyFont="1">
      <alignment shrinkToFit="0" vertical="bottom" wrapText="0"/>
    </xf>
    <xf borderId="10" fillId="12" fontId="40" numFmtId="0" xfId="0" applyAlignment="1" applyBorder="1" applyFill="1" applyFont="1">
      <alignment shrinkToFit="0" vertical="center" wrapText="1"/>
    </xf>
    <xf borderId="10" fillId="2" fontId="58" numFmtId="0" xfId="0" applyAlignment="1" applyBorder="1" applyFill="1" applyFont="1">
      <alignment horizontal="center" shrinkToFit="0" vertical="top" wrapText="1"/>
    </xf>
    <xf borderId="99" fillId="6" fontId="49" numFmtId="169" xfId="0" applyAlignment="1" applyBorder="1" applyFill="1" applyFont="1" applyNumberFormat="1">
      <alignment horizontal="center" shrinkToFit="0" vertical="center" wrapText="1"/>
    </xf>
    <xf borderId="10" fillId="2" fontId="40" numFmtId="0" xfId="0" applyAlignment="1" applyBorder="1" applyFill="1" applyFont="1">
      <alignment horizontal="center" shrinkToFit="0" vertical="top" wrapText="1"/>
    </xf>
    <xf borderId="10" fillId="12" fontId="40" numFmtId="0" xfId="0" applyAlignment="1" applyBorder="1" applyFill="1" applyFont="1">
      <alignment shrinkToFit="0" vertical="center" wrapText="0"/>
    </xf>
    <xf borderId="20" fillId="6" fontId="49" numFmtId="168" xfId="0" applyAlignment="1" applyBorder="1" applyFill="1" applyFont="1" applyNumberFormat="1">
      <alignment horizontal="center" shrinkToFit="0" vertical="center" wrapText="1"/>
    </xf>
    <xf borderId="10" fillId="12" fontId="40" numFmtId="169" xfId="0" applyAlignment="1" applyBorder="1" applyFill="1" applyFont="1" applyNumberFormat="1">
      <alignment shrinkToFit="0" vertical="center" wrapText="0"/>
    </xf>
    <xf borderId="10" fillId="2" fontId="40" numFmtId="2" xfId="0" applyAlignment="1" applyBorder="1" applyFill="1" applyFont="1" applyNumberFormat="1">
      <alignment horizontal="center" shrinkToFit="0" vertical="center" wrapText="1"/>
    </xf>
    <xf borderId="10" fillId="2" fontId="40" numFmtId="167" xfId="0" applyAlignment="1" applyBorder="1" applyFill="1" applyFont="1" applyNumberFormat="1">
      <alignment horizontal="center" shrinkToFit="0" vertical="center" wrapText="1"/>
    </xf>
    <xf borderId="10" fillId="6" fontId="40" numFmtId="49" xfId="0" applyAlignment="1" applyBorder="1" applyFill="1" applyFont="1" applyNumberFormat="1">
      <alignment horizontal="left" shrinkToFit="0" vertical="top" wrapText="0"/>
    </xf>
    <xf borderId="73" fillId="2" fontId="49" numFmtId="166" xfId="0" applyAlignment="1" applyBorder="1" applyFill="1" applyFont="1" applyNumberFormat="1">
      <alignment horizontal="center" shrinkToFit="0" vertical="center" wrapText="1"/>
    </xf>
    <xf borderId="10" fillId="12" fontId="40" numFmtId="0" xfId="0" applyAlignment="1" applyBorder="1" applyFill="1" applyFont="1">
      <alignment horizontal="center" shrinkToFit="0" vertical="center" wrapText="0"/>
    </xf>
    <xf borderId="99" fillId="2" fontId="49" numFmtId="169" xfId="0" applyAlignment="1" applyBorder="1" applyFill="1" applyFont="1" applyNumberFormat="1">
      <alignment horizontal="center" shrinkToFit="0" vertical="center" wrapText="1"/>
    </xf>
    <xf borderId="10" fillId="6" fontId="40" numFmtId="0" xfId="0" applyAlignment="1" applyBorder="1" applyFill="1" applyFont="1">
      <alignment horizontal="center" shrinkToFit="0" vertical="center" wrapText="0"/>
    </xf>
    <xf borderId="10" fillId="6" fontId="40" numFmtId="167" xfId="0" applyAlignment="1" applyBorder="1" applyFill="1" applyFont="1" applyNumberFormat="1">
      <alignment horizontal="center" shrinkToFit="0" vertical="center" wrapText="1"/>
    </xf>
    <xf borderId="10" fillId="12" fontId="40" numFmtId="0" xfId="0" applyAlignment="1" applyBorder="1" applyFill="1" applyFont="1">
      <alignment horizontal="center" shrinkToFit="0" vertical="center" wrapText="1"/>
    </xf>
    <xf borderId="73" fillId="2" fontId="56" numFmtId="166" xfId="0" applyAlignment="1" applyBorder="1" applyFill="1" applyFont="1" applyNumberFormat="1">
      <alignment horizontal="center" shrinkToFit="0" vertical="center" wrapText="1"/>
    </xf>
    <xf borderId="10" fillId="6" fontId="40" numFmtId="4" xfId="0" applyAlignment="1" applyBorder="1" applyFill="1" applyFont="1" applyNumberFormat="1">
      <alignment horizontal="center" shrinkToFit="0" vertical="center" wrapText="0"/>
    </xf>
    <xf borderId="109" fillId="4" fontId="58" numFmtId="167" xfId="0" applyAlignment="1" applyBorder="1" applyFill="1" applyFont="1" applyNumberFormat="1">
      <alignment horizontal="center" shrinkToFit="0" vertical="center" wrapText="1"/>
    </xf>
    <xf borderId="10" fillId="0" fontId="56" numFmtId="166" xfId="0" applyAlignment="1" applyBorder="1" applyFont="1" applyNumberFormat="1">
      <alignment horizontal="center" shrinkToFit="0" vertical="center" wrapText="1"/>
    </xf>
    <xf borderId="73" fillId="12" fontId="40" numFmtId="0" xfId="0" applyAlignment="1" applyBorder="1" applyFill="1" applyFont="1">
      <alignment horizontal="center" shrinkToFit="0" vertical="bottom" wrapText="0"/>
    </xf>
    <xf borderId="10" fillId="4" fontId="58" numFmtId="168" xfId="0" applyAlignment="1" applyBorder="1" applyFill="1" applyFont="1" applyNumberFormat="1">
      <alignment horizontal="center" shrinkToFit="0" vertical="center" wrapText="1"/>
    </xf>
    <xf borderId="10" fillId="2" fontId="55" numFmtId="166" xfId="0" applyAlignment="1" applyBorder="1" applyFill="1" applyFont="1" applyNumberFormat="1">
      <alignment horizontal="center" shrinkToFit="0" vertical="center" wrapText="1"/>
    </xf>
    <xf borderId="10" fillId="0" fontId="40" numFmtId="49" xfId="0" applyAlignment="1" applyBorder="1" applyFont="1" applyNumberFormat="1">
      <alignment horizontal="left" shrinkToFit="0" vertical="top" wrapText="0"/>
    </xf>
    <xf borderId="45" fillId="0" fontId="40" numFmtId="0" xfId="0" applyAlignment="1" applyBorder="1" applyFont="1">
      <alignment horizontal="center" shrinkToFit="0" vertical="center" wrapText="0"/>
    </xf>
    <xf borderId="73" fillId="4" fontId="58" numFmtId="0" xfId="0" applyAlignment="1" applyBorder="1" applyFill="1" applyFont="1">
      <alignment horizontal="center" shrinkToFit="0" vertical="center" wrapText="0"/>
    </xf>
    <xf borderId="121" fillId="0" fontId="26" numFmtId="0" xfId="0" applyAlignment="1" applyBorder="1" applyFont="1">
      <alignment horizontal="center" shrinkToFit="0" vertical="center" wrapText="1"/>
    </xf>
    <xf borderId="10" fillId="0" fontId="67" numFmtId="0" xfId="0" applyAlignment="1" applyBorder="1" applyFont="1">
      <alignment shrinkToFit="0" vertical="center" wrapText="0"/>
    </xf>
    <xf borderId="10" fillId="0" fontId="40" numFmtId="4" xfId="0" applyAlignment="1" applyBorder="1" applyFont="1" applyNumberFormat="1">
      <alignment horizontal="center" shrinkToFit="0" vertical="center" wrapText="0"/>
    </xf>
    <xf borderId="109" fillId="5" fontId="52" numFmtId="0" xfId="0" applyAlignment="1" applyBorder="1" applyFill="1" applyFont="1">
      <alignment horizontal="left" shrinkToFit="0" vertical="center" wrapText="1"/>
    </xf>
    <xf borderId="121" fillId="0" fontId="4" numFmtId="0" xfId="0" applyBorder="1" applyFont="1"/>
    <xf borderId="10" fillId="0" fontId="40" numFmtId="0" xfId="0" applyAlignment="1" applyBorder="1" applyFont="1">
      <alignment shrinkToFit="0" vertical="center" wrapText="0"/>
    </xf>
    <xf borderId="10" fillId="0" fontId="58" numFmtId="0" xfId="0" applyAlignment="1" applyBorder="1" applyFont="1">
      <alignment horizontal="center" shrinkToFit="0" vertical="top" wrapText="1"/>
    </xf>
    <xf borderId="45" fillId="2" fontId="49" numFmtId="166" xfId="0" applyAlignment="1" applyBorder="1" applyFill="1" applyFont="1" applyNumberFormat="1">
      <alignment horizontal="center" shrinkToFit="0" vertical="center" wrapText="1"/>
    </xf>
    <xf borderId="10" fillId="0" fontId="40" numFmtId="2" xfId="0" applyAlignment="1" applyBorder="1" applyFont="1" applyNumberFormat="1">
      <alignment shrinkToFit="0" vertical="center" wrapText="0"/>
    </xf>
    <xf borderId="10" fillId="0" fontId="40" numFmtId="169" xfId="0" applyAlignment="1" applyBorder="1" applyFont="1" applyNumberFormat="1">
      <alignment shrinkToFit="0" vertical="center" wrapText="0"/>
    </xf>
    <xf borderId="10" fillId="0" fontId="40" numFmtId="170" xfId="0" applyAlignment="1" applyBorder="1" applyFont="1" applyNumberFormat="1">
      <alignment horizontal="left" shrinkToFit="0" vertical="center" wrapText="1"/>
    </xf>
    <xf borderId="9" fillId="0" fontId="40" numFmtId="0" xfId="0" applyAlignment="1" applyBorder="1" applyFont="1">
      <alignment horizontal="center" shrinkToFit="0" vertical="center" wrapText="0"/>
    </xf>
    <xf borderId="20" fillId="4" fontId="55" numFmtId="2" xfId="0" applyAlignment="1" applyBorder="1" applyFill="1" applyFont="1" applyNumberFormat="1">
      <alignment horizontal="center" shrinkToFit="0" vertical="center" wrapText="1"/>
    </xf>
    <xf borderId="45" fillId="6" fontId="40" numFmtId="0" xfId="0" applyAlignment="1" applyBorder="1" applyFill="1" applyFont="1">
      <alignment horizontal="center" shrinkToFit="0" vertical="center" wrapText="0"/>
    </xf>
    <xf borderId="10" fillId="6" fontId="67" numFmtId="0" xfId="0" applyAlignment="1" applyBorder="1" applyFill="1" applyFont="1">
      <alignment shrinkToFit="0" vertical="center" wrapText="0"/>
    </xf>
    <xf borderId="10" fillId="6" fontId="40" numFmtId="0" xfId="0" applyAlignment="1" applyBorder="1" applyFill="1" applyFont="1">
      <alignment shrinkToFit="0" vertical="center" wrapText="0"/>
    </xf>
    <xf borderId="10" fillId="6" fontId="40" numFmtId="2" xfId="0" applyAlignment="1" applyBorder="1" applyFill="1" applyFont="1" applyNumberFormat="1">
      <alignment shrinkToFit="0" vertical="center" wrapText="0"/>
    </xf>
    <xf borderId="10" fillId="6" fontId="40" numFmtId="169" xfId="0" applyAlignment="1" applyBorder="1" applyFill="1" applyFont="1" applyNumberFormat="1">
      <alignment shrinkToFit="0" vertical="center" wrapText="0"/>
    </xf>
    <xf borderId="73" fillId="6" fontId="40" numFmtId="0" xfId="0" applyAlignment="1" applyBorder="1" applyFill="1" applyFont="1">
      <alignment horizontal="center" shrinkToFit="0" vertical="bottom" wrapText="0"/>
    </xf>
    <xf borderId="30" fillId="6" fontId="40" numFmtId="0" xfId="0" applyAlignment="1" applyBorder="1" applyFill="1" applyFont="1">
      <alignment horizontal="center" shrinkToFit="0" vertical="center" wrapText="0"/>
    </xf>
    <xf borderId="98" fillId="4" fontId="44" numFmtId="0" xfId="0" applyAlignment="1" applyBorder="1" applyFill="1" applyFont="1">
      <alignment shrinkToFit="0" vertical="top" wrapText="0"/>
    </xf>
    <xf borderId="102" fillId="4" fontId="5" numFmtId="166" xfId="0" applyAlignment="1" applyBorder="1" applyFill="1" applyFont="1" applyNumberFormat="1">
      <alignment horizontal="left" shrinkToFit="0" vertical="center" wrapText="1"/>
    </xf>
    <xf borderId="10" fillId="6" fontId="60" numFmtId="0" xfId="0" applyAlignment="1" applyBorder="1" applyFill="1" applyFont="1">
      <alignment horizontal="center" shrinkToFit="0" vertical="center" wrapText="1"/>
    </xf>
    <xf borderId="10" fillId="0" fontId="67" numFmtId="0" xfId="0" applyAlignment="1" applyBorder="1" applyFont="1">
      <alignment horizontal="left" shrinkToFit="0" vertical="center" wrapText="1"/>
    </xf>
    <xf borderId="10" fillId="4" fontId="58" numFmtId="166" xfId="0" applyAlignment="1" applyBorder="1" applyFill="1" applyFont="1" applyNumberFormat="1">
      <alignment shrinkToFit="0" vertical="center" wrapText="1"/>
    </xf>
    <xf borderId="41" fillId="4" fontId="55" numFmtId="166" xfId="0" applyAlignment="1" applyBorder="1" applyFill="1" applyFont="1" applyNumberFormat="1">
      <alignment horizontal="center" shrinkToFit="0" vertical="center" wrapText="1"/>
    </xf>
    <xf borderId="9" fillId="0" fontId="40" numFmtId="0" xfId="0" applyAlignment="1" applyBorder="1" applyFont="1">
      <alignment horizontal="center" shrinkToFit="0" vertical="bottom" wrapText="0"/>
    </xf>
    <xf borderId="10" fillId="0" fontId="40" numFmtId="178" xfId="0" applyAlignment="1" applyBorder="1" applyFont="1" applyNumberFormat="1">
      <alignment horizontal="center" shrinkToFit="0" vertical="center" wrapText="0"/>
    </xf>
    <xf borderId="9" fillId="5" fontId="58" numFmtId="166" xfId="0" applyAlignment="1" applyBorder="1" applyFill="1" applyFont="1" applyNumberFormat="1">
      <alignment horizontal="left" shrinkToFit="0" vertical="top" wrapText="1"/>
    </xf>
    <xf borderId="10" fillId="0" fontId="67" numFmtId="0" xfId="0" applyAlignment="1" applyBorder="1" applyFont="1">
      <alignment shrinkToFit="0" vertical="center" wrapText="1"/>
    </xf>
    <xf borderId="41" fillId="4" fontId="55" numFmtId="2" xfId="0" applyAlignment="1" applyBorder="1" applyFill="1" applyFont="1" applyNumberFormat="1">
      <alignment horizontal="center" shrinkToFit="0" vertical="center" wrapText="1"/>
    </xf>
    <xf borderId="10" fillId="5" fontId="58" numFmtId="166" xfId="0" applyAlignment="1" applyBorder="1" applyFill="1" applyFont="1" applyNumberFormat="1">
      <alignment horizontal="center" shrinkToFit="0" vertical="center" wrapText="1"/>
    </xf>
    <xf borderId="109" fillId="5" fontId="2" numFmtId="0" xfId="0" applyAlignment="1" applyBorder="1" applyFill="1" applyFont="1">
      <alignment horizontal="left" shrinkToFit="0" vertical="center" wrapText="1"/>
    </xf>
    <xf borderId="56" fillId="6" fontId="40" numFmtId="0" xfId="0" applyAlignment="1" applyBorder="1" applyFill="1" applyFont="1">
      <alignment horizontal="center" shrinkToFit="0" vertical="center" wrapText="0"/>
    </xf>
    <xf borderId="41" fillId="4" fontId="55" numFmtId="169" xfId="0" applyAlignment="1" applyBorder="1" applyFill="1" applyFont="1" applyNumberFormat="1">
      <alignment horizontal="center" shrinkToFit="0" vertical="center" wrapText="1"/>
    </xf>
    <xf borderId="10" fillId="5" fontId="58" numFmtId="2" xfId="0" applyAlignment="1" applyBorder="1" applyFill="1" applyFont="1" applyNumberFormat="1">
      <alignment horizontal="center" shrinkToFit="0" vertical="center" wrapText="1"/>
    </xf>
    <xf borderId="78" fillId="6" fontId="40" numFmtId="0" xfId="0" applyAlignment="1" applyBorder="1" applyFill="1" applyFont="1">
      <alignment horizontal="center" shrinkToFit="0" vertical="bottom" wrapText="0"/>
    </xf>
    <xf borderId="103" fillId="4" fontId="49" numFmtId="0" xfId="0" applyAlignment="1" applyBorder="1" applyFill="1" applyFont="1">
      <alignment shrinkToFit="0" vertical="center" wrapText="0"/>
    </xf>
    <xf borderId="10" fillId="5" fontId="58" numFmtId="170" xfId="0" applyAlignment="1" applyBorder="1" applyFill="1" applyFont="1" applyNumberFormat="1">
      <alignment horizontal="center" shrinkToFit="0" vertical="center" wrapText="1"/>
    </xf>
    <xf borderId="50" fillId="0" fontId="40" numFmtId="0" xfId="0" applyAlignment="1" applyBorder="1" applyFont="1">
      <alignment horizontal="center" shrinkToFit="0" vertical="center" wrapText="0"/>
    </xf>
    <xf borderId="10" fillId="5" fontId="40" numFmtId="0" xfId="0" applyAlignment="1" applyBorder="1" applyFill="1" applyFont="1">
      <alignment shrinkToFit="0" vertical="center" wrapText="0"/>
    </xf>
    <xf borderId="8" fillId="0" fontId="67" numFmtId="167" xfId="0" applyAlignment="1" applyBorder="1" applyFont="1" applyNumberFormat="1">
      <alignment shrinkToFit="0" vertical="center" wrapText="0"/>
    </xf>
    <xf borderId="10" fillId="0" fontId="40" numFmtId="166" xfId="0" applyAlignment="1" applyBorder="1" applyFont="1" applyNumberFormat="1">
      <alignment horizontal="center" shrinkToFit="0" vertical="top" wrapText="1"/>
    </xf>
    <xf borderId="8" fillId="0" fontId="40" numFmtId="0" xfId="0" applyAlignment="1" applyBorder="1" applyFont="1">
      <alignment shrinkToFit="0" vertical="center" wrapText="0"/>
    </xf>
    <xf borderId="10" fillId="2" fontId="60" numFmtId="0" xfId="0" applyAlignment="1" applyBorder="1" applyFill="1" applyFont="1">
      <alignment horizontal="center" shrinkToFit="0" vertical="center" wrapText="1"/>
    </xf>
    <xf borderId="8" fillId="0" fontId="40" numFmtId="2" xfId="0" applyAlignment="1" applyBorder="1" applyFont="1" applyNumberFormat="1">
      <alignment shrinkToFit="0" vertical="center" wrapText="0"/>
    </xf>
    <xf borderId="10" fillId="0" fontId="58" numFmtId="166" xfId="0" applyAlignment="1" applyBorder="1" applyFont="1" applyNumberFormat="1">
      <alignment horizontal="center" shrinkToFit="0" vertical="top" wrapText="1"/>
    </xf>
    <xf borderId="10" fillId="0" fontId="26" numFmtId="0" xfId="0" applyAlignment="1" applyBorder="1" applyFont="1">
      <alignment shrinkToFit="0" vertical="bottom" wrapText="1"/>
    </xf>
    <xf borderId="8" fillId="0" fontId="40" numFmtId="169" xfId="0" applyAlignment="1" applyBorder="1" applyFont="1" applyNumberFormat="1">
      <alignment shrinkToFit="0" vertical="center" wrapText="0"/>
    </xf>
    <xf borderId="10" fillId="0" fontId="40" numFmtId="0" xfId="0" applyAlignment="1" applyBorder="1" applyFont="1">
      <alignment shrinkToFit="0" vertical="top" wrapText="1"/>
    </xf>
    <xf borderId="8" fillId="0" fontId="40" numFmtId="0" xfId="0" applyAlignment="1" applyBorder="1" applyFont="1">
      <alignment horizontal="center" shrinkToFit="0" vertical="center" wrapText="0"/>
    </xf>
    <xf borderId="96" fillId="0" fontId="40" numFmtId="0" xfId="0" applyAlignment="1" applyBorder="1" applyFont="1">
      <alignment horizontal="center" shrinkToFit="0" vertical="bottom" wrapText="0"/>
    </xf>
    <xf borderId="10" fillId="4" fontId="40" numFmtId="166" xfId="0" applyAlignment="1" applyBorder="1" applyFill="1" applyFont="1" applyNumberFormat="1">
      <alignment horizontal="center" shrinkToFit="0" vertical="top" wrapText="1"/>
    </xf>
    <xf borderId="8" fillId="0" fontId="62" numFmtId="0" xfId="0" applyAlignment="1" applyBorder="1" applyFont="1">
      <alignment shrinkToFit="0" vertical="center" wrapText="0"/>
    </xf>
    <xf borderId="9" fillId="5" fontId="58" numFmtId="166" xfId="0" applyAlignment="1" applyBorder="1" applyFill="1" applyFont="1" applyNumberFormat="1">
      <alignment horizontal="left" shrinkToFit="0" vertical="center" wrapText="1"/>
    </xf>
    <xf borderId="8" fillId="0" fontId="40" numFmtId="0" xfId="0" applyAlignment="1" applyBorder="1" applyFont="1">
      <alignment horizontal="left" shrinkToFit="0" vertical="center" wrapText="1"/>
    </xf>
    <xf borderId="73" fillId="6" fontId="58" numFmtId="0" xfId="0" applyAlignment="1" applyBorder="1" applyFill="1" applyFont="1">
      <alignment horizontal="center" shrinkToFit="0" vertical="center" wrapText="1"/>
    </xf>
    <xf borderId="15" fillId="6" fontId="67" numFmtId="167" xfId="0" applyAlignment="1" applyBorder="1" applyFill="1" applyFont="1" applyNumberFormat="1">
      <alignment shrinkToFit="0" vertical="center" wrapText="0"/>
    </xf>
    <xf borderId="15" fillId="6" fontId="40" numFmtId="0" xfId="0" applyAlignment="1" applyBorder="1" applyFill="1" applyFont="1">
      <alignment shrinkToFit="0" vertical="center" wrapText="1"/>
    </xf>
    <xf borderId="10" fillId="0" fontId="40" numFmtId="2" xfId="0" applyAlignment="1" applyBorder="1" applyFont="1" applyNumberFormat="1">
      <alignment horizontal="center" shrinkToFit="0" vertical="center" wrapText="0"/>
    </xf>
    <xf borderId="15" fillId="6" fontId="40" numFmtId="0" xfId="0" applyAlignment="1" applyBorder="1" applyFill="1" applyFont="1">
      <alignment shrinkToFit="0" vertical="center" wrapText="0"/>
    </xf>
    <xf borderId="10" fillId="0" fontId="58" numFmtId="166" xfId="0" applyAlignment="1" applyBorder="1" applyFont="1" applyNumberFormat="1">
      <alignment horizontal="left" shrinkToFit="0" vertical="top" wrapText="1"/>
    </xf>
    <xf borderId="15" fillId="6" fontId="40" numFmtId="2" xfId="0" applyAlignment="1" applyBorder="1" applyFill="1" applyFont="1" applyNumberFormat="1">
      <alignment shrinkToFit="0" vertical="center" wrapText="0"/>
    </xf>
    <xf borderId="10" fillId="0" fontId="40" numFmtId="170" xfId="0" applyAlignment="1" applyBorder="1" applyFont="1" applyNumberFormat="1">
      <alignment horizontal="left" shrinkToFit="0" vertical="top" wrapText="1"/>
    </xf>
    <xf borderId="0" fillId="0" fontId="57" numFmtId="0" xfId="0" applyAlignment="1" applyFont="1">
      <alignment horizontal="center" shrinkToFit="0" vertical="center" wrapText="0"/>
    </xf>
    <xf borderId="15" fillId="6" fontId="40" numFmtId="169" xfId="0" applyAlignment="1" applyBorder="1" applyFill="1" applyFont="1" applyNumberFormat="1">
      <alignment shrinkToFit="0" vertical="center" wrapText="0"/>
    </xf>
    <xf borderId="15" fillId="6" fontId="40" numFmtId="0" xfId="0" applyAlignment="1" applyBorder="1" applyFill="1" applyFont="1">
      <alignment horizontal="center" shrinkToFit="0" vertical="center" wrapText="0"/>
    </xf>
    <xf borderId="80" fillId="0" fontId="57" numFmtId="0" xfId="0" applyAlignment="1" applyBorder="1" applyFont="1">
      <alignment horizontal="center" shrinkToFit="0" vertical="center" wrapText="0"/>
    </xf>
    <xf borderId="15" fillId="6" fontId="62" numFmtId="0" xfId="0" applyAlignment="1" applyBorder="1" applyFill="1" applyFont="1">
      <alignment shrinkToFit="0" vertical="center" wrapText="0"/>
    </xf>
    <xf borderId="56" fillId="5" fontId="25" numFmtId="0" xfId="0" applyAlignment="1" applyBorder="1" applyFill="1" applyFont="1">
      <alignment shrinkToFit="0" vertical="top" wrapText="0"/>
    </xf>
    <xf borderId="107" fillId="4" fontId="58" numFmtId="0" xfId="0" applyAlignment="1" applyBorder="1" applyFill="1" applyFont="1">
      <alignment horizontal="center" shrinkToFit="0" vertical="center" wrapText="1"/>
    </xf>
    <xf borderId="109" fillId="5" fontId="2" numFmtId="167" xfId="0" applyAlignment="1" applyBorder="1" applyFill="1" applyFont="1" applyNumberFormat="1">
      <alignment horizontal="left" shrinkToFit="0" vertical="center" wrapText="1"/>
    </xf>
    <xf borderId="10" fillId="6" fontId="40" numFmtId="0" xfId="0" applyAlignment="1" applyBorder="1" applyFill="1" applyFont="1">
      <alignment shrinkToFit="0" vertical="bottom" wrapText="0"/>
    </xf>
    <xf borderId="107" fillId="4" fontId="64" numFmtId="0" xfId="0" applyAlignment="1" applyBorder="1" applyFill="1" applyFont="1">
      <alignment horizontal="center" shrinkToFit="0" vertical="center" wrapText="1"/>
    </xf>
    <xf borderId="10" fillId="5" fontId="26" numFmtId="0" xfId="0" applyAlignment="1" applyBorder="1" applyFill="1" applyFont="1">
      <alignment shrinkToFit="0" vertical="bottom" wrapText="0"/>
    </xf>
    <xf borderId="115" fillId="0" fontId="41" numFmtId="0" xfId="0" applyAlignment="1" applyBorder="1" applyFont="1">
      <alignment shrinkToFit="0" vertical="top" wrapText="0"/>
    </xf>
    <xf borderId="70" fillId="4" fontId="58" numFmtId="0" xfId="0" applyAlignment="1" applyBorder="1" applyFill="1" applyFont="1">
      <alignment horizontal="center" shrinkToFit="0" vertical="center" wrapText="0"/>
    </xf>
    <xf borderId="8" fillId="0" fontId="40" numFmtId="4" xfId="0" applyAlignment="1" applyBorder="1" applyFont="1" applyNumberFormat="1">
      <alignment shrinkToFit="0" vertical="center" wrapText="0"/>
    </xf>
    <xf borderId="10" fillId="0" fontId="40" numFmtId="167" xfId="0" applyAlignment="1" applyBorder="1" applyFont="1" applyNumberFormat="1">
      <alignment horizontal="center" shrinkToFit="0" vertical="center" wrapText="1"/>
    </xf>
    <xf borderId="8" fillId="0" fontId="40" numFmtId="166" xfId="0" applyAlignment="1" applyBorder="1" applyFont="1" applyNumberFormat="1">
      <alignment horizontal="left" shrinkToFit="0" vertical="top" wrapText="1"/>
    </xf>
    <xf borderId="26" fillId="4" fontId="58" numFmtId="0" xfId="0" applyAlignment="1" applyBorder="1" applyFill="1" applyFont="1">
      <alignment horizontal="center" shrinkToFit="0" vertical="center" wrapText="0"/>
    </xf>
    <xf borderId="10" fillId="2" fontId="67" numFmtId="167" xfId="0" applyAlignment="1" applyBorder="1" applyFill="1" applyFont="1" applyNumberFormat="1">
      <alignment shrinkToFit="0" vertical="center" wrapText="0"/>
    </xf>
    <xf borderId="122" fillId="4" fontId="58" numFmtId="0" xfId="0" applyAlignment="1" applyBorder="1" applyFill="1" applyFont="1">
      <alignment horizontal="center" shrinkToFit="0" vertical="center" wrapText="0"/>
    </xf>
    <xf borderId="10" fillId="2" fontId="40" numFmtId="4" xfId="0" applyAlignment="1" applyBorder="1" applyFill="1" applyFont="1" applyNumberFormat="1">
      <alignment shrinkToFit="0" vertical="center" wrapText="0"/>
    </xf>
    <xf borderId="10" fillId="4" fontId="25" numFmtId="0" xfId="0" applyAlignment="1" applyBorder="1" applyFill="1" applyFont="1">
      <alignment shrinkToFit="0" vertical="top" wrapText="0"/>
    </xf>
    <xf borderId="10" fillId="2" fontId="25" numFmtId="0" xfId="0" applyAlignment="1" applyBorder="1" applyFill="1" applyFont="1">
      <alignment shrinkToFit="0" vertical="top" wrapText="0"/>
    </xf>
    <xf borderId="123" fillId="0" fontId="4" numFmtId="0" xfId="0" applyBorder="1" applyFont="1"/>
    <xf borderId="10" fillId="2" fontId="40" numFmtId="167" xfId="0" applyAlignment="1" applyBorder="1" applyFill="1" applyFont="1" applyNumberFormat="1">
      <alignment horizontal="center" shrinkToFit="0" vertical="center" wrapText="0"/>
    </xf>
    <xf borderId="9" fillId="4" fontId="57" numFmtId="166" xfId="0" applyAlignment="1" applyBorder="1" applyFill="1" applyFont="1" applyNumberFormat="1">
      <alignment horizontal="left" shrinkToFit="0" vertical="center" wrapText="1"/>
    </xf>
    <xf borderId="72" fillId="4" fontId="58" numFmtId="0" xfId="0" applyAlignment="1" applyBorder="1" applyFill="1" applyFont="1">
      <alignment horizontal="center" shrinkToFit="0" vertical="center" wrapText="1"/>
    </xf>
    <xf borderId="10" fillId="4" fontId="57" numFmtId="166" xfId="0" applyAlignment="1" applyBorder="1" applyFill="1" applyFont="1" applyNumberFormat="1">
      <alignment horizontal="center" shrinkToFit="0" vertical="center" wrapText="1"/>
    </xf>
    <xf borderId="38" fillId="4" fontId="58" numFmtId="0" xfId="0" applyAlignment="1" applyBorder="1" applyFill="1" applyFont="1">
      <alignment horizontal="center" shrinkToFit="0" vertical="center" wrapText="1"/>
    </xf>
    <xf borderId="10" fillId="4" fontId="57" numFmtId="2" xfId="0" applyAlignment="1" applyBorder="1" applyFill="1" applyFont="1" applyNumberFormat="1">
      <alignment horizontal="center" shrinkToFit="0" vertical="center" wrapText="1"/>
    </xf>
    <xf borderId="10" fillId="6" fontId="67" numFmtId="167" xfId="0" applyAlignment="1" applyBorder="1" applyFill="1" applyFont="1" applyNumberFormat="1">
      <alignment shrinkToFit="0" vertical="center" wrapText="0"/>
    </xf>
    <xf borderId="10" fillId="4" fontId="57" numFmtId="170" xfId="0" applyAlignment="1" applyBorder="1" applyFill="1" applyFont="1" applyNumberFormat="1">
      <alignment horizontal="center" shrinkToFit="0" vertical="center" wrapText="1"/>
    </xf>
    <xf borderId="10" fillId="0" fontId="41" numFmtId="0" xfId="0" applyAlignment="1" applyBorder="1" applyFont="1">
      <alignment horizontal="center" shrinkToFit="0" vertical="center" wrapText="0"/>
    </xf>
    <xf borderId="110" fillId="4" fontId="40" numFmtId="0" xfId="0" applyAlignment="1" applyBorder="1" applyFill="1" applyFont="1">
      <alignment horizontal="center" shrinkToFit="0" vertical="center" wrapText="1"/>
    </xf>
    <xf borderId="10" fillId="4" fontId="52" numFmtId="166" xfId="0" applyAlignment="1" applyBorder="1" applyFill="1" applyFont="1" applyNumberFormat="1">
      <alignment horizontal="center" shrinkToFit="0" vertical="center" wrapText="1"/>
    </xf>
    <xf borderId="10" fillId="6" fontId="40" numFmtId="4" xfId="0" applyAlignment="1" applyBorder="1" applyFill="1" applyFont="1" applyNumberFormat="1">
      <alignment shrinkToFit="0" vertical="center" wrapText="0"/>
    </xf>
    <xf borderId="9" fillId="0" fontId="58" numFmtId="167" xfId="0" applyAlignment="1" applyBorder="1" applyFont="1" applyNumberFormat="1">
      <alignment horizontal="center" shrinkToFit="0" vertical="center" wrapText="1"/>
    </xf>
    <xf borderId="70" fillId="4" fontId="12" numFmtId="0" xfId="0" applyAlignment="1" applyBorder="1" applyFill="1" applyFont="1">
      <alignment horizontal="center" shrinkToFit="0" vertical="center" wrapText="1"/>
    </xf>
    <xf borderId="10" fillId="4" fontId="2" numFmtId="170" xfId="0" applyAlignment="1" applyBorder="1" applyFill="1" applyFont="1" applyNumberFormat="1">
      <alignment horizontal="center" shrinkToFit="0" vertical="center" wrapText="1"/>
    </xf>
    <xf borderId="10" fillId="0" fontId="67" numFmtId="167" xfId="0" applyAlignment="1" applyBorder="1" applyFont="1" applyNumberFormat="1">
      <alignment shrinkToFit="0" vertical="center" wrapText="0"/>
    </xf>
    <xf borderId="70" fillId="4" fontId="40" numFmtId="0" xfId="0" applyAlignment="1" applyBorder="1" applyFill="1" applyFont="1">
      <alignment horizontal="center" shrinkToFit="0" vertical="center" wrapText="1"/>
    </xf>
    <xf borderId="10" fillId="4" fontId="37" numFmtId="0" xfId="0" applyAlignment="1" applyBorder="1" applyFill="1" applyFont="1">
      <alignment shrinkToFit="0" vertical="center" wrapText="0"/>
    </xf>
    <xf borderId="26" fillId="4" fontId="40" numFmtId="0" xfId="0" applyAlignment="1" applyBorder="1" applyFill="1" applyFont="1">
      <alignment horizontal="center" shrinkToFit="0" vertical="top" wrapText="0"/>
    </xf>
    <xf borderId="10" fillId="0" fontId="40" numFmtId="4" xfId="0" applyAlignment="1" applyBorder="1" applyFont="1" applyNumberFormat="1">
      <alignment shrinkToFit="0" vertical="center" wrapText="0"/>
    </xf>
    <xf borderId="93" fillId="6" fontId="40" numFmtId="167" xfId="0" applyAlignment="1" applyBorder="1" applyFill="1" applyFont="1" applyNumberFormat="1">
      <alignment shrinkToFit="0" vertical="center" wrapText="1"/>
    </xf>
    <xf borderId="113" fillId="4" fontId="58" numFmtId="0" xfId="0" applyAlignment="1" applyBorder="1" applyFill="1" applyFont="1">
      <alignment horizontal="center" shrinkToFit="0" vertical="center" wrapText="1"/>
    </xf>
    <xf borderId="15" fillId="6" fontId="40" numFmtId="167" xfId="0" applyAlignment="1" applyBorder="1" applyFill="1" applyFont="1" applyNumberFormat="1">
      <alignment horizontal="center" shrinkToFit="0" vertical="center" wrapText="1"/>
    </xf>
    <xf borderId="10" fillId="6" fontId="40" numFmtId="3" xfId="0" applyAlignment="1" applyBorder="1" applyFill="1" applyFont="1" applyNumberFormat="1">
      <alignment shrinkToFit="0" vertical="center" wrapText="0"/>
    </xf>
    <xf borderId="113" fillId="4" fontId="64" numFmtId="0" xfId="0" applyAlignment="1" applyBorder="1" applyFill="1" applyFont="1">
      <alignment horizontal="center" shrinkToFit="0" vertical="center" wrapText="1"/>
    </xf>
    <xf borderId="10" fillId="4" fontId="26" numFmtId="169" xfId="0" applyAlignment="1" applyBorder="1" applyFill="1" applyFont="1" applyNumberFormat="1">
      <alignment shrinkToFit="0" vertical="bottom" wrapText="0"/>
    </xf>
    <xf borderId="15" fillId="6" fontId="40" numFmtId="2" xfId="0" applyAlignment="1" applyBorder="1" applyFill="1" applyFont="1" applyNumberFormat="1">
      <alignment horizontal="center" shrinkToFit="0" vertical="center" wrapText="0"/>
    </xf>
    <xf borderId="54" fillId="0" fontId="40" numFmtId="0" xfId="0" applyAlignment="1" applyBorder="1" applyFont="1">
      <alignment horizontal="center" shrinkToFit="0" vertical="center" wrapText="0"/>
    </xf>
    <xf borderId="124" fillId="4" fontId="58" numFmtId="169" xfId="0" applyAlignment="1" applyBorder="1" applyFill="1" applyFont="1" applyNumberFormat="1">
      <alignment horizontal="center" shrinkToFit="0" vertical="center" wrapText="1"/>
    </xf>
    <xf borderId="78" fillId="6" fontId="40" numFmtId="167" xfId="0" applyAlignment="1" applyBorder="1" applyFill="1" applyFont="1" applyNumberFormat="1">
      <alignment horizontal="center" shrinkToFit="0" vertical="center" wrapText="1"/>
    </xf>
    <xf borderId="13" fillId="0" fontId="67" numFmtId="167" xfId="0" applyAlignment="1" applyBorder="1" applyFont="1" applyNumberFormat="1">
      <alignment shrinkToFit="0" vertical="center" wrapText="0"/>
    </xf>
    <xf borderId="22" fillId="4" fontId="58" numFmtId="0" xfId="0" applyAlignment="1" applyBorder="1" applyFill="1" applyFont="1">
      <alignment horizontal="center" shrinkToFit="0" vertical="center" wrapText="1"/>
    </xf>
    <xf borderId="15" fillId="6" fontId="26" numFmtId="0" xfId="0" applyAlignment="1" applyBorder="1" applyFill="1" applyFont="1">
      <alignment shrinkToFit="0" vertical="bottom" wrapText="0"/>
    </xf>
    <xf borderId="13" fillId="0" fontId="40" numFmtId="0" xfId="0" applyAlignment="1" applyBorder="1" applyFont="1">
      <alignment shrinkToFit="0" vertical="center" wrapText="1"/>
    </xf>
    <xf borderId="23" fillId="4" fontId="58" numFmtId="169" xfId="0" applyAlignment="1" applyBorder="1" applyFill="1" applyFont="1" applyNumberFormat="1">
      <alignment horizontal="center" shrinkToFit="0" vertical="top" wrapText="1"/>
    </xf>
    <xf borderId="10" fillId="0" fontId="40" numFmtId="3" xfId="0" applyAlignment="1" applyBorder="1" applyFont="1" applyNumberFormat="1">
      <alignment shrinkToFit="0" vertical="center" wrapText="0"/>
    </xf>
    <xf borderId="9" fillId="4" fontId="58" numFmtId="167" xfId="0" applyAlignment="1" applyBorder="1" applyFill="1" applyFont="1" applyNumberFormat="1">
      <alignment horizontal="left" shrinkToFit="0" vertical="center" wrapText="1"/>
    </xf>
    <xf borderId="75" fillId="0" fontId="4" numFmtId="0" xfId="0" applyBorder="1" applyFont="1"/>
    <xf borderId="76" fillId="0" fontId="4" numFmtId="0" xfId="0" applyBorder="1" applyFont="1"/>
    <xf borderId="117" fillId="4" fontId="58" numFmtId="0" xfId="0" applyAlignment="1" applyBorder="1" applyFill="1" applyFont="1">
      <alignment horizontal="center" shrinkToFit="0" vertical="center" wrapText="1"/>
    </xf>
    <xf borderId="10" fillId="4" fontId="25" numFmtId="0" xfId="0" applyAlignment="1" applyBorder="1" applyFill="1" applyFont="1">
      <alignment horizontal="center" shrinkToFit="0" vertical="top" wrapText="0"/>
    </xf>
    <xf borderId="114" fillId="4" fontId="40" numFmtId="0" xfId="0" applyAlignment="1" applyBorder="1" applyFill="1" applyFont="1">
      <alignment shrinkToFit="0" vertical="center" wrapText="1"/>
    </xf>
    <xf borderId="116" fillId="4" fontId="12" numFmtId="0" xfId="0" applyAlignment="1" applyBorder="1" applyFill="1" applyFont="1">
      <alignment horizontal="center" shrinkToFit="0" vertical="center" wrapText="1"/>
    </xf>
    <xf borderId="10" fillId="0" fontId="40" numFmtId="4" xfId="0" applyAlignment="1" applyBorder="1" applyFont="1" applyNumberFormat="1">
      <alignment shrinkToFit="0" vertical="center" wrapText="1"/>
    </xf>
    <xf borderId="9" fillId="4" fontId="58" numFmtId="167" xfId="0" applyAlignment="1" applyBorder="1" applyFill="1" applyFont="1" applyNumberFormat="1">
      <alignment horizontal="center" shrinkToFit="0" vertical="center" wrapText="1"/>
    </xf>
    <xf borderId="68" fillId="4" fontId="40" numFmtId="0" xfId="0" applyAlignment="1" applyBorder="1" applyFill="1" applyFont="1">
      <alignment horizontal="center" shrinkToFit="0" vertical="center" wrapText="1"/>
    </xf>
    <xf borderId="68" fillId="4" fontId="40" numFmtId="0" xfId="0" applyAlignment="1" applyBorder="1" applyFill="1" applyFont="1">
      <alignment horizontal="left" shrinkToFit="0" vertical="top" wrapText="0"/>
    </xf>
    <xf borderId="10" fillId="0" fontId="50" numFmtId="4" xfId="0" applyAlignment="1" applyBorder="1" applyFont="1" applyNumberFormat="1">
      <alignment shrinkToFit="0" vertical="center" wrapText="1"/>
    </xf>
    <xf borderId="10" fillId="4" fontId="40" numFmtId="0" xfId="0" applyAlignment="1" applyBorder="1" applyFill="1" applyFont="1">
      <alignment horizontal="center" shrinkToFit="0" vertical="center" wrapText="0"/>
    </xf>
    <xf borderId="68" fillId="4" fontId="40" numFmtId="0" xfId="0" applyAlignment="1" applyBorder="1" applyFill="1" applyFont="1">
      <alignment shrinkToFit="0" vertical="top" wrapText="1"/>
    </xf>
    <xf borderId="10" fillId="4" fontId="26" numFmtId="0" xfId="0" applyAlignment="1" applyBorder="1" applyFill="1" applyFont="1">
      <alignment horizontal="center" shrinkToFit="0" vertical="bottom" wrapText="0"/>
    </xf>
    <xf borderId="20" fillId="15" fontId="40" numFmtId="0" xfId="0" applyAlignment="1" applyBorder="1" applyFill="1" applyFont="1">
      <alignment horizontal="center" shrinkToFit="0" vertical="center" wrapText="0"/>
    </xf>
    <xf borderId="13" fillId="0" fontId="67" numFmtId="167" xfId="0" applyAlignment="1" applyBorder="1" applyFont="1" applyNumberFormat="1">
      <alignment shrinkToFit="0" vertical="center" wrapText="1"/>
    </xf>
    <xf borderId="20" fillId="15" fontId="64" numFmtId="0" xfId="0" applyAlignment="1" applyBorder="1" applyFill="1" applyFont="1">
      <alignment shrinkToFit="0" vertical="center" wrapText="0"/>
    </xf>
    <xf borderId="20" fillId="15" fontId="58" numFmtId="0" xfId="0" applyAlignment="1" applyBorder="1" applyFill="1" applyFont="1">
      <alignment shrinkToFit="0" vertical="center" wrapText="0"/>
    </xf>
    <xf borderId="10" fillId="2" fontId="67" numFmtId="167" xfId="0" applyAlignment="1" applyBorder="1" applyFill="1" applyFont="1" applyNumberFormat="1">
      <alignment shrinkToFit="0" vertical="center" wrapText="1"/>
    </xf>
    <xf borderId="91" fillId="15" fontId="58" numFmtId="0" xfId="0" applyAlignment="1" applyBorder="1" applyFill="1" applyFont="1">
      <alignment shrinkToFit="0" vertical="center" wrapText="0"/>
    </xf>
    <xf borderId="10" fillId="2" fontId="40" numFmtId="3" xfId="0" applyAlignment="1" applyBorder="1" applyFill="1" applyFont="1" applyNumberFormat="1">
      <alignment shrinkToFit="0" vertical="center" wrapText="0"/>
    </xf>
    <xf borderId="20" fillId="15" fontId="58" numFmtId="169" xfId="0" applyAlignment="1" applyBorder="1" applyFill="1" applyFont="1" applyNumberFormat="1">
      <alignment shrinkToFit="0" vertical="center" wrapText="0"/>
    </xf>
    <xf borderId="10" fillId="2" fontId="40" numFmtId="0" xfId="0" applyAlignment="1" applyBorder="1" applyFill="1" applyFont="1">
      <alignment shrinkToFit="0" vertical="bottom" wrapText="0"/>
    </xf>
    <xf borderId="20" fillId="15" fontId="12" numFmtId="0" xfId="0" applyAlignment="1" applyBorder="1" applyFill="1" applyFont="1">
      <alignment horizontal="center" shrinkToFit="0" vertical="center" wrapText="1"/>
    </xf>
    <xf borderId="10" fillId="2" fontId="40" numFmtId="179" xfId="0" applyAlignment="1" applyBorder="1" applyFill="1" applyFont="1" applyNumberFormat="1">
      <alignment shrinkToFit="0" vertical="center" wrapText="0"/>
    </xf>
    <xf borderId="20" fillId="15" fontId="40" numFmtId="0" xfId="0" applyAlignment="1" applyBorder="1" applyFill="1" applyFont="1">
      <alignment horizontal="center" shrinkToFit="0" vertical="center" wrapText="1"/>
    </xf>
    <xf borderId="10" fillId="2" fontId="40" numFmtId="4" xfId="0" applyAlignment="1" applyBorder="1" applyFill="1" applyFont="1" applyNumberFormat="1">
      <alignment shrinkToFit="0" vertical="center" wrapText="1"/>
    </xf>
    <xf borderId="20" fillId="5" fontId="40" numFmtId="0" xfId="0" applyAlignment="1" applyBorder="1" applyFill="1" applyFont="1">
      <alignment horizontal="center" shrinkToFit="0" vertical="bottom" wrapText="0"/>
    </xf>
    <xf borderId="0" fillId="0" fontId="68" numFmtId="0" xfId="0" applyAlignment="1" applyFont="1">
      <alignment shrinkToFit="0" vertical="bottom" wrapText="0"/>
    </xf>
    <xf borderId="10" fillId="0" fontId="67" numFmtId="167" xfId="0" applyAlignment="1" applyBorder="1" applyFont="1" applyNumberFormat="1">
      <alignment shrinkToFit="0" vertical="center" wrapText="1"/>
    </xf>
    <xf borderId="20" fillId="5" fontId="40" numFmtId="0" xfId="0" applyAlignment="1" applyBorder="1" applyFill="1" applyFont="1">
      <alignment horizontal="center" shrinkToFit="0" vertical="center" wrapText="0"/>
    </xf>
    <xf borderId="20" fillId="5" fontId="40" numFmtId="0" xfId="0" applyAlignment="1" applyBorder="1" applyFill="1" applyFont="1">
      <alignment shrinkToFit="0" vertical="bottom" wrapText="0"/>
    </xf>
    <xf borderId="0" fillId="0" fontId="11" numFmtId="0" xfId="0" applyAlignment="1" applyFont="1">
      <alignment horizontal="center" vertical="center"/>
    </xf>
    <xf borderId="10" fillId="0" fontId="40" numFmtId="179" xfId="0" applyAlignment="1" applyBorder="1" applyFont="1" applyNumberFormat="1">
      <alignment shrinkToFit="0" vertical="center" wrapText="0"/>
    </xf>
    <xf borderId="10" fillId="2" fontId="40" numFmtId="0" xfId="0" applyAlignment="1" applyBorder="1" applyFill="1" applyFont="1">
      <alignment shrinkToFit="0" vertical="top" wrapText="1"/>
    </xf>
    <xf borderId="10" fillId="2" fontId="40" numFmtId="2" xfId="0" applyAlignment="1" applyBorder="1" applyFill="1" applyFont="1" applyNumberFormat="1">
      <alignment shrinkToFit="0" vertical="center" wrapText="0"/>
    </xf>
    <xf borderId="80" fillId="0" fontId="68" numFmtId="0" xfId="0" applyAlignment="1" applyBorder="1" applyFont="1">
      <alignment shrinkToFit="0" vertical="bottom" wrapText="0"/>
    </xf>
    <xf borderId="10" fillId="2" fontId="40" numFmtId="169" xfId="0" applyAlignment="1" applyBorder="1" applyFill="1" applyFont="1" applyNumberFormat="1">
      <alignment shrinkToFit="0" vertical="center" wrapText="1"/>
    </xf>
    <xf borderId="117" fillId="4" fontId="58" numFmtId="178" xfId="0" applyAlignment="1" applyBorder="1" applyFill="1" applyFont="1" applyNumberFormat="1">
      <alignment horizontal="center" shrinkToFit="0" vertical="center" wrapText="0"/>
    </xf>
    <xf borderId="107" fillId="4" fontId="69" numFmtId="0" xfId="0" applyAlignment="1" applyBorder="1" applyFill="1" applyFont="1">
      <alignment horizontal="center" shrinkToFit="0" vertical="center" wrapText="1"/>
    </xf>
    <xf borderId="10" fillId="2" fontId="58" numFmtId="0" xfId="0" applyAlignment="1" applyBorder="1" applyFill="1" applyFont="1">
      <alignment horizontal="center" shrinkToFit="0" vertical="bottom" wrapText="0"/>
    </xf>
    <xf borderId="20" fillId="4" fontId="64" numFmtId="167" xfId="0" applyAlignment="1" applyBorder="1" applyFill="1" applyFont="1" applyNumberFormat="1">
      <alignment shrinkToFit="0" vertical="center" wrapText="0"/>
    </xf>
    <xf borderId="125" fillId="0" fontId="25" numFmtId="0" xfId="0" applyAlignment="1" applyBorder="1" applyFont="1">
      <alignment horizontal="center" shrinkToFit="0" vertical="center" wrapText="1"/>
    </xf>
    <xf borderId="10" fillId="2" fontId="58" numFmtId="0" xfId="0" applyAlignment="1" applyBorder="1" applyFill="1" applyFont="1">
      <alignment horizontal="center" shrinkToFit="0" vertical="center" wrapText="0"/>
    </xf>
    <xf borderId="70" fillId="4" fontId="69" numFmtId="0" xfId="0" applyAlignment="1" applyBorder="1" applyFill="1" applyFont="1">
      <alignment horizontal="center" shrinkToFit="0" vertical="center" wrapText="0"/>
    </xf>
    <xf borderId="20" fillId="4" fontId="58" numFmtId="167" xfId="0" applyAlignment="1" applyBorder="1" applyFill="1" applyFont="1" applyNumberFormat="1">
      <alignment shrinkToFit="0" vertical="center" wrapText="0"/>
    </xf>
    <xf borderId="0" fillId="0" fontId="25" numFmtId="0" xfId="0" applyAlignment="1" applyFont="1">
      <alignment shrinkToFit="0" vertical="bottom" wrapText="1"/>
    </xf>
    <xf borderId="10" fillId="14" fontId="40" numFmtId="0" xfId="0" applyAlignment="1" applyBorder="1" applyFill="1" applyFont="1">
      <alignment horizontal="center" shrinkToFit="0" vertical="center" wrapText="0"/>
    </xf>
    <xf borderId="126" fillId="0" fontId="25" numFmtId="0" xfId="0" applyAlignment="1" applyBorder="1" applyFont="1">
      <alignment shrinkToFit="0" vertical="bottom" wrapText="1"/>
    </xf>
    <xf borderId="70" fillId="4" fontId="69" numFmtId="0" xfId="0" applyAlignment="1" applyBorder="1" applyFill="1" applyFont="1">
      <alignment horizontal="center" shrinkToFit="0" vertical="center" wrapText="1"/>
    </xf>
    <xf borderId="127" fillId="4" fontId="58" numFmtId="167" xfId="0" applyAlignment="1" applyBorder="1" applyFill="1" applyFont="1" applyNumberFormat="1">
      <alignment shrinkToFit="0" vertical="center" wrapText="0"/>
    </xf>
    <xf borderId="10" fillId="2" fontId="40" numFmtId="169" xfId="0" applyAlignment="1" applyBorder="1" applyFill="1" applyFont="1" applyNumberFormat="1">
      <alignment shrinkToFit="0" vertical="bottom" wrapText="0"/>
    </xf>
    <xf borderId="128" fillId="0" fontId="25" numFmtId="0" xfId="0" applyAlignment="1" applyBorder="1" applyFont="1">
      <alignment shrinkToFit="0" vertical="bottom" wrapText="1"/>
    </xf>
    <xf borderId="26" fillId="4" fontId="69" numFmtId="0" xfId="0" applyAlignment="1" applyBorder="1" applyFill="1" applyFont="1">
      <alignment horizontal="center" shrinkToFit="0" vertical="center" wrapText="0"/>
    </xf>
    <xf borderId="127" fillId="4" fontId="58" numFmtId="169" xfId="0" applyAlignment="1" applyBorder="1" applyFill="1" applyFont="1" applyNumberFormat="1">
      <alignment shrinkToFit="0" vertical="center" wrapText="0"/>
    </xf>
    <xf borderId="10" fillId="2" fontId="58" numFmtId="0" xfId="0" applyAlignment="1" applyBorder="1" applyFill="1" applyFont="1">
      <alignment shrinkToFit="0" vertical="center" wrapText="0"/>
    </xf>
    <xf borderId="125" fillId="0" fontId="57" numFmtId="0" xfId="0" applyAlignment="1" applyBorder="1" applyFont="1">
      <alignment horizontal="center" shrinkToFit="0" vertical="center" wrapText="1"/>
    </xf>
    <xf borderId="122" fillId="4" fontId="69" numFmtId="0" xfId="0" applyAlignment="1" applyBorder="1" applyFill="1" applyFont="1">
      <alignment horizontal="center" shrinkToFit="0" vertical="center" wrapText="0"/>
    </xf>
    <xf borderId="127" fillId="4" fontId="64" numFmtId="169" xfId="0" applyAlignment="1" applyBorder="1" applyFill="1" applyFont="1" applyNumberFormat="1">
      <alignment shrinkToFit="0" vertical="center" wrapText="0"/>
    </xf>
    <xf borderId="72" fillId="4" fontId="69" numFmtId="0" xfId="0" applyAlignment="1" applyBorder="1" applyFill="1" applyFont="1">
      <alignment horizontal="center" shrinkToFit="0" vertical="center" wrapText="1"/>
    </xf>
    <xf borderId="125" fillId="0" fontId="57" numFmtId="0" xfId="0" applyAlignment="1" applyBorder="1" applyFont="1">
      <alignment horizontal="center" shrinkToFit="0" vertical="bottom" wrapText="1"/>
    </xf>
    <xf borderId="30" fillId="2" fontId="40" numFmtId="0" xfId="0" applyAlignment="1" applyBorder="1" applyFill="1" applyFont="1">
      <alignment shrinkToFit="0" vertical="bottom" wrapText="0"/>
    </xf>
    <xf borderId="127" fillId="4" fontId="58" numFmtId="178" xfId="0" applyAlignment="1" applyBorder="1" applyFill="1" applyFont="1" applyNumberFormat="1">
      <alignment horizontal="center" shrinkToFit="0" vertical="center" wrapText="0"/>
    </xf>
    <xf borderId="38" fillId="4" fontId="69" numFmtId="0" xfId="0" applyAlignment="1" applyBorder="1" applyFill="1" applyFont="1">
      <alignment horizontal="center" shrinkToFit="0" vertical="center" wrapText="1"/>
    </xf>
    <xf borderId="10" fillId="2" fontId="67" numFmtId="0" xfId="0" applyAlignment="1" applyBorder="1" applyFill="1" applyFont="1">
      <alignment horizontal="left" shrinkToFit="0" vertical="center" wrapText="1"/>
    </xf>
    <xf borderId="127" fillId="4" fontId="58" numFmtId="178" xfId="0" applyAlignment="1" applyBorder="1" applyFill="1" applyFont="1" applyNumberFormat="1">
      <alignment shrinkToFit="0" vertical="center" wrapText="0"/>
    </xf>
    <xf borderId="122" fillId="4" fontId="69" numFmtId="0" xfId="0" applyAlignment="1" applyBorder="1" applyFill="1" applyFont="1">
      <alignment horizontal="center" shrinkToFit="0" vertical="center" wrapText="1"/>
    </xf>
    <xf borderId="30" fillId="2" fontId="40" numFmtId="0" xfId="0" applyAlignment="1" applyBorder="1" applyFill="1" applyFont="1">
      <alignment horizontal="center" shrinkToFit="0" vertical="bottom" wrapText="1"/>
    </xf>
    <xf borderId="129" fillId="4" fontId="58" numFmtId="178" xfId="0" applyAlignment="1" applyBorder="1" applyFill="1" applyFont="1" applyNumberFormat="1">
      <alignment shrinkToFit="0" vertical="center" wrapText="0"/>
    </xf>
    <xf borderId="26" fillId="4" fontId="69" numFmtId="0" xfId="0" applyAlignment="1" applyBorder="1" applyFill="1" applyFont="1">
      <alignment horizontal="center" shrinkToFit="0" vertical="top" wrapText="0"/>
    </xf>
    <xf borderId="113" fillId="4" fontId="58" numFmtId="167" xfId="0" applyAlignment="1" applyBorder="1" applyFill="1" applyFont="1" applyNumberFormat="1">
      <alignment shrinkToFit="0" vertical="center" wrapText="0"/>
    </xf>
    <xf borderId="130" fillId="0" fontId="4" numFmtId="0" xfId="0" applyBorder="1" applyFont="1"/>
    <xf borderId="10" fillId="2" fontId="67" numFmtId="0" xfId="0" applyAlignment="1" applyBorder="1" applyFill="1" applyFont="1">
      <alignment horizontal="center" shrinkToFit="0" vertical="center" wrapText="1"/>
    </xf>
    <xf borderId="131" fillId="4" fontId="69" numFmtId="0" xfId="0" applyAlignment="1" applyBorder="1" applyFill="1" applyFont="1">
      <alignment horizontal="center" readingOrder="0" shrinkToFit="0" vertical="center" wrapText="1"/>
    </xf>
    <xf borderId="10" fillId="2" fontId="67" numFmtId="0" xfId="0" applyAlignment="1" applyBorder="1" applyFill="1" applyFont="1">
      <alignment shrinkToFit="0" vertical="center" wrapText="1"/>
    </xf>
    <xf borderId="9" fillId="4" fontId="52" numFmtId="0" xfId="0" applyAlignment="1" applyBorder="1" applyFill="1" applyFont="1">
      <alignment horizontal="center" readingOrder="0" shrinkToFit="0" vertical="center" wrapText="1"/>
    </xf>
    <xf borderId="129" fillId="4" fontId="50" numFmtId="0" xfId="0" applyAlignment="1" applyBorder="1" applyFill="1" applyFont="1">
      <alignment horizontal="center" shrinkToFit="0" vertical="center" wrapText="1"/>
    </xf>
    <xf borderId="8" fillId="4" fontId="52" numFmtId="0" xfId="0" applyAlignment="1" applyBorder="1" applyFill="1" applyFont="1">
      <alignment horizontal="center" readingOrder="0" shrinkToFit="0" vertical="center" wrapText="1"/>
    </xf>
    <xf borderId="132" fillId="0" fontId="25" numFmtId="0" xfId="0" applyAlignment="1" applyBorder="1" applyFont="1">
      <alignment shrinkToFit="0" vertical="bottom" wrapText="1"/>
    </xf>
    <xf borderId="96" fillId="4" fontId="52" numFmtId="0" xfId="0" applyAlignment="1" applyBorder="1" applyFill="1" applyFont="1">
      <alignment horizontal="center" readingOrder="0" shrinkToFit="0" vertical="center" wrapText="1"/>
    </xf>
    <xf borderId="133" fillId="4" fontId="58" numFmtId="178" xfId="0" applyAlignment="1" applyBorder="1" applyFill="1" applyFont="1" applyNumberFormat="1">
      <alignment horizontal="center" shrinkToFit="0" vertical="center" wrapText="0"/>
    </xf>
    <xf borderId="134" fillId="0" fontId="25" numFmtId="0" xfId="0" applyAlignment="1" applyBorder="1" applyFont="1">
      <alignment shrinkToFit="0" vertical="bottom" wrapText="1"/>
    </xf>
    <xf borderId="10" fillId="2" fontId="40" numFmtId="167" xfId="0" applyAlignment="1" applyBorder="1" applyFill="1" applyFont="1" applyNumberFormat="1">
      <alignment shrinkToFit="0" vertical="bottom" wrapText="0"/>
    </xf>
    <xf borderId="95" fillId="0" fontId="4" numFmtId="0" xfId="0" applyBorder="1" applyFont="1"/>
    <xf borderId="10" fillId="4" fontId="58" numFmtId="178" xfId="0" applyAlignment="1" applyBorder="1" applyFill="1" applyFont="1" applyNumberFormat="1">
      <alignment horizontal="center" shrinkToFit="0" vertical="center" wrapText="0"/>
    </xf>
    <xf borderId="10" fillId="4" fontId="62" numFmtId="0" xfId="0" applyAlignment="1" applyBorder="1" applyFill="1" applyFont="1">
      <alignment horizontal="center" shrinkToFit="0" vertical="center" wrapText="0"/>
    </xf>
    <xf borderId="10" fillId="2" fontId="40" numFmtId="179" xfId="0" applyAlignment="1" applyBorder="1" applyFill="1" applyFont="1" applyNumberFormat="1">
      <alignment shrinkToFit="0" vertical="center" wrapText="1"/>
    </xf>
    <xf borderId="135" fillId="4" fontId="52" numFmtId="0" xfId="0" applyAlignment="1" applyBorder="1" applyFill="1" applyFont="1">
      <alignment horizontal="center" shrinkToFit="0" vertical="center" wrapText="1"/>
    </xf>
    <xf borderId="113" fillId="4" fontId="69" numFmtId="0" xfId="0" applyAlignment="1" applyBorder="1" applyFill="1" applyFont="1">
      <alignment horizontal="center" shrinkToFit="0" vertical="center" wrapText="1"/>
    </xf>
    <xf borderId="10" fillId="4" fontId="62" numFmtId="0" xfId="0" applyAlignment="1" applyBorder="1" applyFill="1" applyFont="1">
      <alignment shrinkToFit="0" vertical="bottom" wrapText="0"/>
    </xf>
    <xf borderId="21" fillId="4" fontId="69" numFmtId="0" xfId="0" applyAlignment="1" applyBorder="1" applyFill="1" applyFont="1">
      <alignment horizontal="center" shrinkToFit="0" vertical="center" wrapText="0"/>
    </xf>
    <xf borderId="10" fillId="2" fontId="58" numFmtId="0" xfId="0" applyAlignment="1" applyBorder="1" applyFill="1" applyFont="1">
      <alignment horizontal="center" shrinkToFit="0" vertical="bottom" wrapText="1"/>
    </xf>
    <xf borderId="135" fillId="4" fontId="52" numFmtId="0" xfId="0" applyAlignment="1" applyBorder="1" applyFill="1" applyFont="1">
      <alignment horizontal="center" readingOrder="0" shrinkToFit="0" vertical="center" wrapText="1"/>
    </xf>
    <xf borderId="136" fillId="5" fontId="40" numFmtId="0" xfId="0" applyAlignment="1" applyBorder="1" applyFill="1" applyFont="1">
      <alignment horizontal="center" shrinkToFit="0" vertical="center" wrapText="0"/>
    </xf>
    <xf borderId="22" fillId="4" fontId="69" numFmtId="169" xfId="0" applyAlignment="1" applyBorder="1" applyFill="1" applyFont="1" applyNumberFormat="1">
      <alignment horizontal="center" shrinkToFit="0" vertical="center" wrapText="1"/>
    </xf>
    <xf borderId="137" fillId="4" fontId="52" numFmtId="0" xfId="0" applyAlignment="1" applyBorder="1" applyFill="1" applyFont="1">
      <alignment horizontal="center" shrinkToFit="0" vertical="center" wrapText="1"/>
    </xf>
    <xf borderId="30" fillId="5" fontId="64" numFmtId="0" xfId="0" applyAlignment="1" applyBorder="1" applyFill="1" applyFont="1">
      <alignment shrinkToFit="0" vertical="center" wrapText="0"/>
    </xf>
    <xf borderId="22" fillId="4" fontId="69" numFmtId="0" xfId="0" applyAlignment="1" applyBorder="1" applyFill="1" applyFont="1">
      <alignment horizontal="center" shrinkToFit="0" vertical="center" wrapText="1"/>
    </xf>
    <xf borderId="99" fillId="2" fontId="40" numFmtId="0" xfId="0" applyAlignment="1" applyBorder="1" applyFill="1" applyFont="1">
      <alignment shrinkToFit="0" vertical="bottom" wrapText="0"/>
    </xf>
    <xf borderId="138" fillId="0" fontId="4" numFmtId="0" xfId="0" applyBorder="1" applyFont="1"/>
    <xf borderId="30" fillId="5" fontId="58" numFmtId="0" xfId="0" applyAlignment="1" applyBorder="1" applyFill="1" applyFont="1">
      <alignment shrinkToFit="0" vertical="center" wrapText="0"/>
    </xf>
    <xf borderId="23" fillId="4" fontId="69" numFmtId="169" xfId="0" applyAlignment="1" applyBorder="1" applyFill="1" applyFont="1" applyNumberFormat="1">
      <alignment horizontal="center" shrinkToFit="0" vertical="center" wrapText="1"/>
    </xf>
    <xf borderId="139" fillId="0" fontId="4" numFmtId="0" xfId="0" applyBorder="1" applyFont="1"/>
    <xf borderId="117" fillId="4" fontId="69" numFmtId="0" xfId="0" applyAlignment="1" applyBorder="1" applyFill="1" applyFont="1">
      <alignment horizontal="center" shrinkToFit="0" vertical="center" wrapText="1"/>
    </xf>
    <xf borderId="20" fillId="2" fontId="40" numFmtId="0" xfId="0" applyAlignment="1" applyBorder="1" applyFill="1" applyFont="1">
      <alignment horizontal="center" shrinkToFit="0" vertical="center" wrapText="1"/>
    </xf>
    <xf borderId="118" fillId="5" fontId="58" numFmtId="0" xfId="0" applyAlignment="1" applyBorder="1" applyFill="1" applyFont="1">
      <alignment horizontal="center" shrinkToFit="0" vertical="center" wrapText="0"/>
    </xf>
    <xf borderId="68" fillId="4" fontId="69" numFmtId="0" xfId="0" applyAlignment="1" applyBorder="1" applyFill="1" applyFont="1">
      <alignment horizontal="center" shrinkToFit="0" vertical="center" wrapText="1"/>
    </xf>
    <xf borderId="135" fillId="4" fontId="37" numFmtId="0" xfId="0" applyAlignment="1" applyBorder="1" applyFill="1" applyFont="1">
      <alignment horizontal="center" shrinkToFit="0" vertical="center" wrapText="1"/>
    </xf>
    <xf borderId="118" fillId="5" fontId="40" numFmtId="0" xfId="0" applyAlignment="1" applyBorder="1" applyFill="1" applyFont="1">
      <alignment horizontal="center" shrinkToFit="0" vertical="bottom" wrapText="0"/>
    </xf>
    <xf borderId="68" fillId="4" fontId="69" numFmtId="0" xfId="0" applyAlignment="1" applyBorder="1" applyFill="1" applyFont="1">
      <alignment horizontal="center" shrinkToFit="0" vertical="center" wrapText="0"/>
    </xf>
    <xf borderId="140" fillId="4" fontId="52" numFmtId="0" xfId="0" applyAlignment="1" applyBorder="1" applyFill="1" applyFont="1">
      <alignment horizontal="center" shrinkToFit="0" vertical="center" wrapText="1"/>
    </xf>
    <xf borderId="10" fillId="16" fontId="40" numFmtId="0" xfId="0" applyAlignment="1" applyBorder="1" applyFill="1" applyFont="1">
      <alignment horizontal="center" shrinkToFit="0" vertical="center" wrapText="0"/>
    </xf>
    <xf borderId="136" fillId="4" fontId="69" numFmtId="0" xfId="0" applyAlignment="1" applyBorder="1" applyFill="1" applyFont="1">
      <alignment horizontal="center" shrinkToFit="0" vertical="center" wrapText="1"/>
    </xf>
    <xf borderId="10" fillId="4" fontId="64" numFmtId="167" xfId="0" applyAlignment="1" applyBorder="1" applyFill="1" applyFont="1" applyNumberFormat="1">
      <alignment shrinkToFit="0" vertical="center" wrapText="0"/>
    </xf>
    <xf borderId="122" fillId="4" fontId="52" numFmtId="0" xfId="0" applyAlignment="1" applyBorder="1" applyFill="1" applyFont="1">
      <alignment horizontal="center" readingOrder="0" shrinkToFit="0" vertical="center" wrapText="1"/>
    </xf>
    <xf borderId="10" fillId="16" fontId="40" numFmtId="0" xfId="0" applyAlignment="1" applyBorder="1" applyFill="1" applyFont="1">
      <alignment shrinkToFit="0" vertical="bottom" wrapText="0"/>
    </xf>
    <xf borderId="141" fillId="0" fontId="4" numFmtId="0" xfId="0" applyBorder="1" applyFont="1"/>
    <xf borderId="10" fillId="4" fontId="58" numFmtId="167" xfId="0" applyAlignment="1" applyBorder="1" applyFill="1" applyFont="1" applyNumberFormat="1">
      <alignment shrinkToFit="0" vertical="center" wrapText="0"/>
    </xf>
    <xf borderId="142" fillId="2" fontId="40" numFmtId="0" xfId="0" applyAlignment="1" applyBorder="1" applyFill="1" applyFont="1">
      <alignment horizontal="center" shrinkToFit="0" vertical="center" wrapText="0"/>
    </xf>
    <xf borderId="10" fillId="4" fontId="52" numFmtId="0" xfId="0" applyAlignment="1" applyBorder="1" applyFill="1" applyFont="1">
      <alignment horizontal="center" readingOrder="0" shrinkToFit="0" vertical="center" wrapText="1"/>
    </xf>
    <xf borderId="143" fillId="0" fontId="4" numFmtId="0" xfId="0" applyBorder="1" applyFont="1"/>
    <xf borderId="10" fillId="4" fontId="58" numFmtId="169" xfId="0" applyAlignment="1" applyBorder="1" applyFill="1" applyFont="1" applyNumberFormat="1">
      <alignment shrinkToFit="0" vertical="center" wrapText="0"/>
    </xf>
    <xf borderId="120" fillId="2" fontId="67" numFmtId="0" xfId="0" applyAlignment="1" applyBorder="1" applyFill="1" applyFont="1">
      <alignment shrinkToFit="0" vertical="center" wrapText="0"/>
    </xf>
    <xf borderId="10" fillId="4" fontId="64" numFmtId="169" xfId="0" applyAlignment="1" applyBorder="1" applyFill="1" applyFont="1" applyNumberFormat="1">
      <alignment shrinkToFit="0" vertical="center" wrapText="0"/>
    </xf>
    <xf borderId="10" fillId="4" fontId="52" numFmtId="0" xfId="0" applyAlignment="1" applyBorder="1" applyFill="1" applyFont="1">
      <alignment readingOrder="0" shrinkToFit="0" vertical="center" wrapText="1"/>
    </xf>
    <xf borderId="144" fillId="4" fontId="52" numFmtId="0" xfId="0" applyAlignment="1" applyBorder="1" applyFill="1" applyFont="1">
      <alignment horizontal="center" shrinkToFit="0" vertical="center" wrapText="1"/>
    </xf>
    <xf borderId="91" fillId="2" fontId="40" numFmtId="0" xfId="0" applyAlignment="1" applyBorder="1" applyFill="1" applyFont="1">
      <alignment shrinkToFit="0" vertical="center" wrapText="1"/>
    </xf>
    <xf borderId="10" fillId="4" fontId="58" numFmtId="178" xfId="0" applyAlignment="1" applyBorder="1" applyFill="1" applyFont="1" applyNumberFormat="1">
      <alignment shrinkToFit="0" vertical="center" wrapText="0"/>
    </xf>
    <xf borderId="13" fillId="4" fontId="52" numFmtId="0" xfId="0" applyAlignment="1" applyBorder="1" applyFill="1" applyFont="1">
      <alignment horizontal="center" readingOrder="0" shrinkToFit="0" vertical="center" wrapText="1"/>
    </xf>
    <xf borderId="145" fillId="4" fontId="52" numFmtId="0" xfId="0" applyAlignment="1" applyBorder="1" applyFill="1" applyFont="1">
      <alignment horizontal="center" shrinkToFit="0" vertical="center" wrapText="1"/>
    </xf>
    <xf borderId="91" fillId="2" fontId="40" numFmtId="0" xfId="0" applyAlignment="1" applyBorder="1" applyFill="1" applyFont="1">
      <alignment shrinkToFit="0" vertical="center" wrapText="0"/>
    </xf>
    <xf borderId="10" fillId="4" fontId="58" numFmtId="0" xfId="0" applyAlignment="1" applyBorder="1" applyFill="1" applyFont="1">
      <alignment horizontal="center" shrinkToFit="0" vertical="center" wrapText="1"/>
    </xf>
    <xf borderId="20" fillId="10" fontId="64" numFmtId="0" xfId="0" applyAlignment="1" applyBorder="1" applyFill="1" applyFont="1">
      <alignment shrinkToFit="0" vertical="center" wrapText="0"/>
    </xf>
    <xf borderId="146" fillId="0" fontId="4" numFmtId="0" xfId="0" applyBorder="1" applyFont="1"/>
    <xf borderId="91" fillId="2" fontId="40" numFmtId="177" xfId="0" applyAlignment="1" applyBorder="1" applyFill="1" applyFont="1" applyNumberFormat="1">
      <alignment shrinkToFit="0" vertical="center" wrapText="0"/>
    </xf>
    <xf borderId="30" fillId="10" fontId="40" numFmtId="0" xfId="0" applyAlignment="1" applyBorder="1" applyFill="1" applyFont="1">
      <alignment shrinkToFit="0" vertical="bottom" wrapText="0"/>
    </xf>
    <xf borderId="10" fillId="4" fontId="58" numFmtId="0" xfId="0" applyAlignment="1" applyBorder="1" applyFill="1" applyFont="1">
      <alignment shrinkToFit="0" vertical="bottom" wrapText="0"/>
    </xf>
    <xf borderId="91" fillId="2" fontId="40" numFmtId="180" xfId="0" applyAlignment="1" applyBorder="1" applyFill="1" applyFont="1" applyNumberFormat="1">
      <alignment shrinkToFit="0" vertical="center" wrapText="0"/>
    </xf>
    <xf borderId="91" fillId="2" fontId="40" numFmtId="169" xfId="0" applyAlignment="1" applyBorder="1" applyFill="1" applyFont="1" applyNumberFormat="1">
      <alignment shrinkToFit="0" vertical="center" wrapText="0"/>
    </xf>
    <xf borderId="147" fillId="0" fontId="25" numFmtId="0" xfId="0" applyAlignment="1" applyBorder="1" applyFont="1">
      <alignment shrinkToFit="0" vertical="center" wrapText="1"/>
    </xf>
    <xf borderId="20" fillId="10" fontId="58" numFmtId="0" xfId="0" applyAlignment="1" applyBorder="1" applyFill="1" applyFont="1">
      <alignment shrinkToFit="0" vertical="center" wrapText="0"/>
    </xf>
    <xf borderId="10" fillId="15" fontId="40" numFmtId="0" xfId="0" applyAlignment="1" applyBorder="1" applyFill="1" applyFont="1">
      <alignment horizontal="center" shrinkToFit="0" vertical="center" wrapText="0"/>
    </xf>
    <xf borderId="91" fillId="2" fontId="40" numFmtId="169" xfId="0" applyAlignment="1" applyBorder="1" applyFill="1" applyFont="1" applyNumberFormat="1">
      <alignment horizontal="center" shrinkToFit="0" vertical="center" wrapText="0"/>
    </xf>
    <xf borderId="147" fillId="0" fontId="25" numFmtId="0" xfId="0" applyAlignment="1" applyBorder="1" applyFont="1">
      <alignment shrinkToFit="0" vertical="bottom" wrapText="1"/>
    </xf>
    <xf borderId="20" fillId="10" fontId="58" numFmtId="169" xfId="0" applyAlignment="1" applyBorder="1" applyFill="1" applyFont="1" applyNumberFormat="1">
      <alignment shrinkToFit="0" vertical="center" wrapText="0"/>
    </xf>
    <xf borderId="10" fillId="15" fontId="64" numFmtId="0" xfId="0" applyAlignment="1" applyBorder="1" applyFill="1" applyFont="1">
      <alignment shrinkToFit="0" vertical="center" wrapText="0"/>
    </xf>
    <xf borderId="91" fillId="2" fontId="40" numFmtId="0" xfId="0" applyAlignment="1" applyBorder="1" applyFill="1" applyFont="1">
      <alignment horizontal="center" shrinkToFit="0" vertical="center" wrapText="1"/>
    </xf>
    <xf borderId="148" fillId="2" fontId="25" numFmtId="0" xfId="0" applyAlignment="1" applyBorder="1" applyFill="1" applyFont="1">
      <alignment shrinkToFit="0" vertical="bottom" wrapText="1"/>
    </xf>
    <xf borderId="20" fillId="10" fontId="12" numFmtId="0" xfId="0" applyAlignment="1" applyBorder="1" applyFill="1" applyFont="1">
      <alignment horizontal="center" shrinkToFit="0" vertical="center" wrapText="1"/>
    </xf>
    <xf borderId="10" fillId="15" fontId="58" numFmtId="0" xfId="0" applyAlignment="1" applyBorder="1" applyFill="1" applyFont="1">
      <alignment shrinkToFit="0" vertical="center" wrapText="0"/>
    </xf>
    <xf borderId="149" fillId="2" fontId="40" numFmtId="0" xfId="0" applyAlignment="1" applyBorder="1" applyFill="1" applyFont="1">
      <alignment horizontal="center" shrinkToFit="0" vertical="bottom" wrapText="0"/>
    </xf>
    <xf borderId="150" fillId="2" fontId="25" numFmtId="0" xfId="0" applyAlignment="1" applyBorder="1" applyFill="1" applyFont="1">
      <alignment shrinkToFit="0" vertical="bottom" wrapText="1"/>
    </xf>
    <xf borderId="20" fillId="10" fontId="40" numFmtId="0" xfId="0" applyAlignment="1" applyBorder="1" applyFill="1" applyFont="1">
      <alignment horizontal="center" shrinkToFit="0" vertical="center" wrapText="1"/>
    </xf>
    <xf borderId="10" fillId="15" fontId="58" numFmtId="169" xfId="0" applyAlignment="1" applyBorder="1" applyFill="1" applyFont="1" applyNumberFormat="1">
      <alignment shrinkToFit="0" vertical="center" wrapText="0"/>
    </xf>
    <xf borderId="94" fillId="2" fontId="40" numFmtId="0" xfId="0" applyAlignment="1" applyBorder="1" applyFill="1" applyFont="1">
      <alignment horizontal="center" shrinkToFit="0" vertical="center" wrapText="0"/>
    </xf>
    <xf borderId="151" fillId="2" fontId="25" numFmtId="0" xfId="0" applyAlignment="1" applyBorder="1" applyFill="1" applyFont="1">
      <alignment shrinkToFit="0" vertical="bottom" wrapText="1"/>
    </xf>
    <xf borderId="20" fillId="10" fontId="40" numFmtId="0" xfId="0" applyAlignment="1" applyBorder="1" applyFill="1" applyFont="1">
      <alignment horizontal="center" shrinkToFit="0" vertical="bottom" wrapText="0"/>
    </xf>
    <xf borderId="10" fillId="15" fontId="58" numFmtId="0" xfId="0" applyAlignment="1" applyBorder="1" applyFill="1" applyFont="1">
      <alignment horizontal="center" shrinkToFit="0" vertical="center" wrapText="0"/>
    </xf>
    <xf borderId="45" fillId="2" fontId="67" numFmtId="0" xfId="0" applyAlignment="1" applyBorder="1" applyFill="1" applyFont="1">
      <alignment shrinkToFit="0" vertical="center" wrapText="0"/>
    </xf>
    <xf borderId="10" fillId="0" fontId="25" numFmtId="0" xfId="0" applyAlignment="1" applyBorder="1" applyFont="1">
      <alignment shrinkToFit="0" vertical="bottom" wrapText="1"/>
    </xf>
    <xf borderId="20" fillId="10" fontId="40" numFmtId="0" xfId="0" applyAlignment="1" applyBorder="1" applyFill="1" applyFont="1">
      <alignment horizontal="center" shrinkToFit="0" vertical="center" wrapText="0"/>
    </xf>
    <xf borderId="10" fillId="15" fontId="40" numFmtId="0" xfId="0" applyAlignment="1" applyBorder="1" applyFill="1" applyFont="1">
      <alignment horizontal="center" shrinkToFit="0" vertical="center" wrapText="1"/>
    </xf>
    <xf borderId="10" fillId="2" fontId="40" numFmtId="177" xfId="0" applyAlignment="1" applyBorder="1" applyFill="1" applyFont="1" applyNumberFormat="1">
      <alignment shrinkToFit="0" vertical="center" wrapText="0"/>
    </xf>
    <xf borderId="26" fillId="17" fontId="52" numFmtId="0" xfId="0" applyAlignment="1" applyBorder="1" applyFill="1" applyFont="1">
      <alignment horizontal="center" shrinkToFit="0" vertical="bottom" wrapText="1"/>
    </xf>
    <xf borderId="20" fillId="10" fontId="40" numFmtId="0" xfId="0" applyAlignment="1" applyBorder="1" applyFill="1" applyFont="1">
      <alignment shrinkToFit="0" vertical="bottom" wrapText="0"/>
    </xf>
    <xf borderId="10" fillId="15" fontId="58" numFmtId="0" xfId="0" applyAlignment="1" applyBorder="1" applyFill="1" applyFont="1">
      <alignment horizontal="center" shrinkToFit="0" vertical="bottom" wrapText="0"/>
    </xf>
    <xf borderId="10" fillId="2" fontId="40" numFmtId="180" xfId="0" applyAlignment="1" applyBorder="1" applyFill="1" applyFont="1" applyNumberFormat="1">
      <alignment shrinkToFit="0" vertical="center" wrapText="0"/>
    </xf>
    <xf borderId="68" fillId="17" fontId="25" numFmtId="0" xfId="0" applyAlignment="1" applyBorder="1" applyFill="1" applyFont="1">
      <alignment shrinkToFit="0" vertical="bottom" wrapText="1"/>
    </xf>
    <xf borderId="35" fillId="10" fontId="40" numFmtId="0" xfId="0" applyAlignment="1" applyBorder="1" applyFill="1" applyFont="1">
      <alignment shrinkToFit="0" vertical="bottom" wrapText="0"/>
    </xf>
    <xf borderId="10" fillId="15" fontId="40" numFmtId="0" xfId="0" applyAlignment="1" applyBorder="1" applyFill="1" applyFont="1">
      <alignment horizontal="center" shrinkToFit="0" vertical="bottom" wrapText="0"/>
    </xf>
    <xf borderId="10" fillId="2" fontId="40" numFmtId="169" xfId="0" applyAlignment="1" applyBorder="1" applyFill="1" applyFont="1" applyNumberFormat="1">
      <alignment horizontal="center" shrinkToFit="0" vertical="center" wrapText="0"/>
    </xf>
    <xf borderId="68" fillId="17" fontId="25" numFmtId="0" xfId="0" applyAlignment="1" applyBorder="1" applyFill="1" applyFont="1">
      <alignment shrinkToFit="0" vertical="center" wrapText="1"/>
    </xf>
    <xf borderId="79" fillId="10" fontId="40" numFmtId="0" xfId="0" applyAlignment="1" applyBorder="1" applyFill="1" applyFont="1">
      <alignment shrinkToFit="0" vertical="bottom" wrapText="0"/>
    </xf>
    <xf borderId="10" fillId="5" fontId="40" numFmtId="0" xfId="0" applyAlignment="1" applyBorder="1" applyFill="1" applyFont="1">
      <alignment horizontal="center" shrinkToFit="0" vertical="center" wrapText="0"/>
    </xf>
    <xf borderId="68" fillId="18" fontId="25" numFmtId="0" xfId="0" applyAlignment="1" applyBorder="1" applyFill="1" applyFont="1">
      <alignment shrinkToFit="0" vertical="bottom" wrapText="1"/>
    </xf>
    <xf borderId="0" fillId="10" fontId="11" numFmtId="0" xfId="0" applyAlignment="1" applyFill="1" applyFont="1">
      <alignment horizontal="center" vertical="center"/>
    </xf>
    <xf borderId="73" fillId="2" fontId="40" numFmtId="0" xfId="0" applyAlignment="1" applyBorder="1" applyFill="1" applyFont="1">
      <alignment horizontal="center" shrinkToFit="0" vertical="center" wrapText="0"/>
    </xf>
    <xf borderId="10" fillId="5" fontId="40" numFmtId="0" xfId="0" applyAlignment="1" applyBorder="1" applyFill="1" applyFont="1">
      <alignment shrinkToFit="0" vertical="bottom" wrapText="0"/>
    </xf>
    <xf borderId="26" fillId="18" fontId="25" numFmtId="0" xfId="0" applyAlignment="1" applyBorder="1" applyFill="1" applyFont="1">
      <alignment shrinkToFit="0" vertical="bottom" wrapText="1"/>
    </xf>
    <xf borderId="0" fillId="10" fontId="11" numFmtId="0" xfId="0" applyFill="1" applyFont="1"/>
    <xf borderId="10" fillId="2" fontId="40" numFmtId="0" xfId="0" applyAlignment="1" applyBorder="1" applyFill="1" applyFont="1">
      <alignment horizontal="center" shrinkToFit="0" vertical="bottom" wrapText="0"/>
    </xf>
    <xf borderId="10" fillId="0" fontId="15" numFmtId="0" xfId="0" applyAlignment="1" applyBorder="1" applyFont="1">
      <alignment horizontal="center" shrinkToFit="0" vertical="center" wrapText="1"/>
    </xf>
    <xf borderId="10" fillId="2" fontId="40" numFmtId="0" xfId="0" applyAlignment="1" applyBorder="1" applyFill="1" applyFont="1">
      <alignment readingOrder="0" shrinkToFit="0" vertical="center" wrapText="1"/>
    </xf>
    <xf borderId="10" fillId="0" fontId="15" numFmtId="4" xfId="0" applyAlignment="1" applyBorder="1" applyFont="1" applyNumberFormat="1">
      <alignment horizontal="center" shrinkToFit="0" vertical="center" wrapText="1"/>
    </xf>
    <xf borderId="68" fillId="2" fontId="40" numFmtId="0" xfId="0" applyAlignment="1" applyBorder="1" applyFill="1" applyFont="1">
      <alignment horizontal="center" shrinkToFit="0" vertical="center" wrapText="1"/>
    </xf>
    <xf borderId="10" fillId="2" fontId="63" numFmtId="0" xfId="0" applyAlignment="1" applyBorder="1" applyFill="1" applyFont="1">
      <alignment shrinkToFit="0" vertical="center" wrapText="0"/>
    </xf>
    <xf borderId="10" fillId="2" fontId="40" numFmtId="4" xfId="0" applyAlignment="1" applyBorder="1" applyFill="1" applyFont="1" applyNumberFormat="1">
      <alignment horizontal="center" shrinkToFit="0" vertical="center" wrapText="0"/>
    </xf>
    <xf borderId="20" fillId="2" fontId="12" numFmtId="0" xfId="0" applyAlignment="1" applyBorder="1" applyFill="1" applyFont="1">
      <alignment horizontal="center" shrinkToFit="0" vertical="center" wrapText="1"/>
    </xf>
    <xf borderId="68" fillId="2" fontId="40" numFmtId="167" xfId="0" applyAlignment="1" applyBorder="1" applyFill="1" applyFont="1" applyNumberFormat="1">
      <alignment horizontal="center" shrinkToFit="0" vertical="center" wrapText="1"/>
    </xf>
    <xf borderId="10" fillId="2" fontId="26" numFmtId="0" xfId="0" applyAlignment="1" applyBorder="1" applyFill="1" applyFont="1">
      <alignment horizontal="center" shrinkToFit="0" vertical="center" wrapText="1"/>
    </xf>
    <xf borderId="10" fillId="2" fontId="58" numFmtId="169" xfId="0" applyAlignment="1" applyBorder="1" applyFill="1" applyFont="1" applyNumberFormat="1">
      <alignment horizontal="center" shrinkToFit="0" vertical="center" wrapText="0"/>
    </xf>
    <xf borderId="20" fillId="2" fontId="40" numFmtId="0" xfId="0" applyAlignment="1" applyBorder="1" applyFill="1" applyFont="1">
      <alignment horizontal="center" shrinkToFit="0" vertical="bottom" wrapText="0"/>
    </xf>
    <xf borderId="68" fillId="2" fontId="40" numFmtId="4" xfId="0" applyAlignment="1" applyBorder="1" applyFill="1" applyFont="1" applyNumberFormat="1">
      <alignment horizontal="center" shrinkToFit="0" vertical="center" wrapText="1"/>
    </xf>
    <xf borderId="10" fillId="2" fontId="26" numFmtId="0" xfId="0" applyAlignment="1" applyBorder="1" applyFill="1" applyFont="1">
      <alignment shrinkToFit="0" vertical="bottom" wrapText="1"/>
    </xf>
    <xf borderId="68" fillId="2" fontId="25" numFmtId="0" xfId="0" applyAlignment="1" applyBorder="1" applyFill="1" applyFont="1">
      <alignment shrinkToFit="0" vertical="center" wrapText="1"/>
    </xf>
    <xf borderId="98" fillId="2" fontId="40" numFmtId="0" xfId="0" applyAlignment="1" applyBorder="1" applyFill="1" applyFont="1">
      <alignment horizontal="center" shrinkToFit="0" vertical="center" wrapText="0"/>
    </xf>
    <xf borderId="9" fillId="0" fontId="40" numFmtId="0" xfId="0" applyAlignment="1" applyBorder="1" applyFont="1">
      <alignment shrinkToFit="0" vertical="bottom" wrapText="0"/>
    </xf>
    <xf borderId="45" fillId="2" fontId="67" numFmtId="167" xfId="0" applyAlignment="1" applyBorder="1" applyFill="1" applyFont="1" applyNumberFormat="1">
      <alignment shrinkToFit="0" vertical="center" wrapText="0"/>
    </xf>
    <xf borderId="10" fillId="2" fontId="40" numFmtId="0" xfId="0" applyAlignment="1" applyBorder="1" applyFill="1" applyFont="1">
      <alignment horizontal="center" shrinkToFit="0" vertical="bottom" wrapText="1"/>
    </xf>
    <xf borderId="68" fillId="2" fontId="37" numFmtId="0" xfId="0" applyAlignment="1" applyBorder="1" applyFill="1" applyFont="1">
      <alignment horizontal="center" shrinkToFit="0" vertical="center" wrapText="1"/>
    </xf>
    <xf borderId="106" fillId="0" fontId="40" numFmtId="0" xfId="0" applyAlignment="1" applyBorder="1" applyFont="1">
      <alignment shrinkToFit="0" vertical="bottom" wrapText="0"/>
    </xf>
    <xf borderId="10" fillId="2" fontId="40" numFmtId="174" xfId="0" applyAlignment="1" applyBorder="1" applyFill="1" applyFont="1" applyNumberFormat="1">
      <alignment shrinkToFit="0" vertical="center" wrapText="0"/>
    </xf>
    <xf borderId="10" fillId="6" fontId="40" numFmtId="0" xfId="0" applyAlignment="1" applyBorder="1" applyFill="1" applyFont="1">
      <alignment horizontal="center" shrinkToFit="0" vertical="bottom" wrapText="1"/>
    </xf>
    <xf borderId="26" fillId="2" fontId="25" numFmtId="0" xfId="0" applyAlignment="1" applyBorder="1" applyFill="1" applyFont="1">
      <alignment shrinkToFit="0" vertical="center" wrapText="1"/>
    </xf>
    <xf borderId="152" fillId="2" fontId="40" numFmtId="0" xfId="0" applyAlignment="1" applyBorder="1" applyFill="1" applyFont="1">
      <alignment horizontal="center" shrinkToFit="0" vertical="center" wrapText="0"/>
    </xf>
    <xf borderId="10" fillId="6" fontId="58" numFmtId="169" xfId="0" applyAlignment="1" applyBorder="1" applyFill="1" applyFont="1" applyNumberFormat="1">
      <alignment horizontal="center" shrinkToFit="0" vertical="center" wrapText="0"/>
    </xf>
    <xf borderId="68" fillId="6" fontId="40" numFmtId="0" xfId="0" applyAlignment="1" applyBorder="1" applyFill="1" applyFont="1">
      <alignment horizontal="center" shrinkToFit="0" vertical="center" wrapText="1"/>
    </xf>
    <xf borderId="56" fillId="2" fontId="67" numFmtId="0" xfId="0" applyAlignment="1" applyBorder="1" applyFill="1" applyFont="1">
      <alignment shrinkToFit="0" vertical="center" wrapText="0"/>
    </xf>
    <xf borderId="10" fillId="6" fontId="58" numFmtId="0" xfId="0" applyAlignment="1" applyBorder="1" applyFill="1" applyFont="1">
      <alignment horizontal="center" shrinkToFit="0" vertical="bottom" wrapText="0"/>
    </xf>
    <xf borderId="8" fillId="0" fontId="15" numFmtId="0" xfId="0" applyAlignment="1" applyBorder="1" applyFont="1">
      <alignment horizontal="center" shrinkToFit="0" vertical="center" wrapText="1"/>
    </xf>
    <xf borderId="68" fillId="6" fontId="40" numFmtId="167" xfId="0" applyAlignment="1" applyBorder="1" applyFill="1" applyFont="1" applyNumberFormat="1">
      <alignment horizontal="center" shrinkToFit="0" vertical="center" wrapText="1"/>
    </xf>
    <xf borderId="15" fillId="2" fontId="40" numFmtId="0" xfId="0" applyAlignment="1" applyBorder="1" applyFill="1" applyFont="1">
      <alignment shrinkToFit="0" vertical="center" wrapText="1"/>
    </xf>
    <xf borderId="10" fillId="6" fontId="40" numFmtId="173" xfId="0" applyAlignment="1" applyBorder="1" applyFill="1" applyFont="1" applyNumberFormat="1">
      <alignment horizontal="center" shrinkToFit="0" vertical="center" wrapText="0"/>
    </xf>
    <xf borderId="10" fillId="0" fontId="15" numFmtId="3" xfId="0" applyAlignment="1" applyBorder="1" applyFont="1" applyNumberFormat="1">
      <alignment horizontal="center" shrinkToFit="0" vertical="center" wrapText="1"/>
    </xf>
    <xf borderId="68" fillId="6" fontId="40" numFmtId="4" xfId="0" applyAlignment="1" applyBorder="1" applyFill="1" applyFont="1" applyNumberFormat="1">
      <alignment horizontal="center" shrinkToFit="0" vertical="center" wrapText="1"/>
    </xf>
    <xf borderId="9" fillId="0" fontId="15" numFmtId="0" xfId="0" applyAlignment="1" applyBorder="1" applyFont="1">
      <alignment horizontal="center" shrinkToFit="0" vertical="center" wrapText="1"/>
    </xf>
    <xf borderId="15" fillId="2" fontId="40" numFmtId="0" xfId="0" applyAlignment="1" applyBorder="1" applyFill="1" applyFont="1">
      <alignment shrinkToFit="0" vertical="center" wrapText="0"/>
    </xf>
    <xf borderId="20" fillId="6" fontId="25" numFmtId="167" xfId="0" applyAlignment="1" applyBorder="1" applyFill="1" applyFont="1" applyNumberFormat="1">
      <alignment horizontal="center" shrinkToFit="0" vertical="center" wrapText="1"/>
    </xf>
    <xf borderId="68" fillId="6" fontId="25" numFmtId="0" xfId="0" applyAlignment="1" applyBorder="1" applyFill="1" applyFont="1">
      <alignment shrinkToFit="0" vertical="center" wrapText="1"/>
    </xf>
    <xf borderId="153" fillId="0" fontId="15" numFmtId="0" xfId="0" applyAlignment="1" applyBorder="1" applyFont="1">
      <alignment horizontal="center" shrinkToFit="0" vertical="center" wrapText="1"/>
    </xf>
    <xf borderId="15" fillId="2" fontId="40" numFmtId="174" xfId="0" applyAlignment="1" applyBorder="1" applyFill="1" applyFont="1" applyNumberFormat="1">
      <alignment shrinkToFit="0" vertical="center" wrapText="0"/>
    </xf>
    <xf borderId="10" fillId="2" fontId="40" numFmtId="181" xfId="0" applyAlignment="1" applyBorder="1" applyFill="1" applyFont="1" applyNumberFormat="1">
      <alignment shrinkToFit="0" vertical="center" wrapText="0"/>
    </xf>
    <xf borderId="68" fillId="6" fontId="37" numFmtId="0" xfId="0" applyAlignment="1" applyBorder="1" applyFill="1" applyFont="1">
      <alignment horizontal="center" shrinkToFit="0" vertical="center" wrapText="1"/>
    </xf>
    <xf borderId="12" fillId="0" fontId="15" numFmtId="0" xfId="0" applyAlignment="1" applyBorder="1" applyFont="1">
      <alignment horizontal="center" shrinkToFit="0" vertical="center" wrapText="1"/>
    </xf>
    <xf borderId="68" fillId="6" fontId="40" numFmtId="167" xfId="0" applyAlignment="1" applyBorder="1" applyFill="1" applyFont="1" applyNumberFormat="1">
      <alignment horizontal="right" shrinkToFit="0" vertical="center" wrapText="1"/>
    </xf>
    <xf borderId="15" fillId="2" fontId="40" numFmtId="180" xfId="0" applyAlignment="1" applyBorder="1" applyFill="1" applyFont="1" applyNumberFormat="1">
      <alignment shrinkToFit="0" vertical="center" wrapText="0"/>
    </xf>
    <xf borderId="26" fillId="6" fontId="40" numFmtId="0" xfId="0" applyAlignment="1" applyBorder="1" applyFill="1" applyFont="1">
      <alignment horizontal="center" shrinkToFit="0" vertical="center" wrapText="1"/>
    </xf>
    <xf borderId="10" fillId="2" fontId="43" numFmtId="0" xfId="0" applyAlignment="1" applyBorder="1" applyFill="1" applyFont="1">
      <alignment shrinkToFit="0" vertical="bottom" wrapText="1"/>
    </xf>
    <xf borderId="15" fillId="2" fontId="40" numFmtId="169" xfId="0" applyAlignment="1" applyBorder="1" applyFill="1" applyFont="1" applyNumberFormat="1">
      <alignment shrinkToFit="0" vertical="center" wrapText="0"/>
    </xf>
    <xf borderId="154" fillId="0" fontId="15" numFmtId="0" xfId="0" applyAlignment="1" applyBorder="1" applyFont="1">
      <alignment horizontal="center" shrinkToFit="0" vertical="center" wrapText="1"/>
    </xf>
    <xf borderId="10" fillId="6" fontId="25" numFmtId="0" xfId="0" applyAlignment="1" applyBorder="1" applyFill="1" applyFont="1">
      <alignment horizontal="center" readingOrder="0" shrinkToFit="0" vertical="center" wrapText="1"/>
    </xf>
    <xf borderId="15" fillId="2" fontId="40" numFmtId="169" xfId="0" applyAlignment="1" applyBorder="1" applyFill="1" applyFont="1" applyNumberFormat="1">
      <alignment horizontal="center" shrinkToFit="0" vertical="center" wrapText="0"/>
    </xf>
    <xf borderId="68" fillId="2" fontId="25" numFmtId="0" xfId="0" applyAlignment="1" applyBorder="1" applyFill="1" applyFont="1">
      <alignment shrinkToFit="0" vertical="bottom" wrapText="1"/>
    </xf>
    <xf borderId="73" fillId="2" fontId="40" numFmtId="173" xfId="0" applyAlignment="1" applyBorder="1" applyFill="1" applyFont="1" applyNumberFormat="1">
      <alignment horizontal="center" shrinkToFit="0" vertical="center" wrapText="0"/>
    </xf>
    <xf borderId="13" fillId="0" fontId="15" numFmtId="0" xfId="0" applyAlignment="1" applyBorder="1" applyFont="1">
      <alignment horizontal="center" shrinkToFit="0" vertical="center" wrapText="1"/>
    </xf>
    <xf borderId="78" fillId="2" fontId="40" numFmtId="0" xfId="0" applyAlignment="1" applyBorder="1" applyFill="1" applyFont="1">
      <alignment horizontal="center" shrinkToFit="0" vertical="bottom" wrapText="0"/>
    </xf>
    <xf borderId="26" fillId="2" fontId="25" numFmtId="0" xfId="0" applyAlignment="1" applyBorder="1" applyFill="1" applyFont="1">
      <alignment shrinkToFit="0" vertical="bottom" wrapText="1"/>
    </xf>
    <xf borderId="10" fillId="2" fontId="40" numFmtId="173" xfId="0" applyAlignment="1" applyBorder="1" applyFill="1" applyFont="1" applyNumberFormat="1">
      <alignment shrinkToFit="0" vertical="bottom" wrapText="0"/>
    </xf>
    <xf borderId="68" fillId="2" fontId="40" numFmtId="167" xfId="0" applyAlignment="1" applyBorder="1" applyFill="1" applyFont="1" applyNumberFormat="1">
      <alignment horizontal="center" shrinkToFit="0" vertical="bottom" wrapText="1"/>
    </xf>
    <xf borderId="10" fillId="2" fontId="40" numFmtId="169" xfId="0" applyAlignment="1" applyBorder="1" applyFill="1" applyFont="1" applyNumberFormat="1">
      <alignment horizontal="right" shrinkToFit="0" vertical="center" wrapText="0"/>
    </xf>
    <xf borderId="68" fillId="2" fontId="40" numFmtId="0" xfId="0" applyAlignment="1" applyBorder="1" applyFill="1" applyFont="1">
      <alignment shrinkToFit="0" vertical="center" wrapText="1"/>
    </xf>
    <xf borderId="20" fillId="14" fontId="40" numFmtId="0" xfId="0" applyAlignment="1" applyBorder="1" applyFill="1" applyFont="1">
      <alignment horizontal="center" shrinkToFit="0" vertical="center" wrapText="1"/>
    </xf>
    <xf borderId="68" fillId="2" fontId="40" numFmtId="4" xfId="0" applyAlignment="1" applyBorder="1" applyFill="1" applyFont="1" applyNumberFormat="1">
      <alignment horizontal="center" shrinkToFit="0" vertical="bottom" wrapText="1"/>
    </xf>
    <xf borderId="10" fillId="2" fontId="40" numFmtId="169" xfId="0" applyAlignment="1" applyBorder="1" applyFill="1" applyFont="1" applyNumberFormat="1">
      <alignment horizontal="center" shrinkToFit="0" vertical="center" wrapText="1"/>
    </xf>
    <xf borderId="0" fillId="0" fontId="8" numFmtId="0" xfId="0" applyAlignment="1" applyFont="1">
      <alignment horizontal="center" readingOrder="0" vertical="center"/>
    </xf>
    <xf borderId="68" fillId="2" fontId="40" numFmtId="0" xfId="0" applyAlignment="1" applyBorder="1" applyFill="1" applyFont="1">
      <alignment horizontal="center" shrinkToFit="0" vertical="bottom" wrapText="1"/>
    </xf>
    <xf borderId="10" fillId="2" fontId="67" numFmtId="0" xfId="0" applyAlignment="1" applyBorder="1" applyFill="1" applyFont="1">
      <alignment horizontal="left" shrinkToFit="0" vertical="center" wrapText="0"/>
    </xf>
    <xf borderId="68" fillId="2" fontId="40" numFmtId="167" xfId="0" applyAlignment="1" applyBorder="1" applyFill="1" applyFont="1" applyNumberFormat="1">
      <alignment horizontal="right" shrinkToFit="0" vertical="bottom" wrapText="1"/>
    </xf>
    <xf borderId="10" fillId="0" fontId="15" numFmtId="167" xfId="0" applyAlignment="1" applyBorder="1" applyFont="1" applyNumberFormat="1">
      <alignment horizontal="center" shrinkToFit="0" vertical="center" wrapText="1"/>
    </xf>
    <xf borderId="10" fillId="6" fontId="67" numFmtId="0" xfId="0" applyAlignment="1" applyBorder="1" applyFill="1" applyFont="1">
      <alignment shrinkToFit="0" vertical="center" wrapText="1"/>
    </xf>
    <xf borderId="10" fillId="2" fontId="40" numFmtId="0" xfId="0" applyAlignment="1" applyBorder="1" applyFill="1" applyFont="1">
      <alignment horizontal="right" shrinkToFit="0" vertical="center" wrapText="0"/>
    </xf>
    <xf borderId="10" fillId="0" fontId="37" numFmtId="0" xfId="0" applyAlignment="1" applyBorder="1" applyFont="1">
      <alignment shrinkToFit="0" vertical="bottom" wrapText="1"/>
    </xf>
    <xf borderId="10" fillId="6" fontId="40" numFmtId="177" xfId="0" applyAlignment="1" applyBorder="1" applyFill="1" applyFont="1" applyNumberFormat="1">
      <alignment shrinkToFit="0" vertical="center" wrapText="0"/>
    </xf>
    <xf borderId="73" fillId="6" fontId="15" numFmtId="0" xfId="0" applyAlignment="1" applyBorder="1" applyFill="1" applyFont="1">
      <alignment horizontal="center" shrinkToFit="0" vertical="center" wrapText="1"/>
    </xf>
    <xf borderId="10" fillId="2" fontId="40" numFmtId="2" xfId="0" applyAlignment="1" applyBorder="1" applyFill="1" applyFont="1" applyNumberFormat="1">
      <alignment horizontal="right" shrinkToFit="0" vertical="center" wrapText="0"/>
    </xf>
    <xf borderId="10" fillId="6" fontId="40" numFmtId="180" xfId="0" applyAlignment="1" applyBorder="1" applyFill="1" applyFont="1" applyNumberFormat="1">
      <alignment shrinkToFit="0" vertical="center" wrapText="0"/>
    </xf>
    <xf borderId="68" fillId="2" fontId="70" numFmtId="0" xfId="0" applyAlignment="1" applyBorder="1" applyFill="1" applyFont="1">
      <alignment horizontal="center" shrinkToFit="0" vertical="center" wrapText="1"/>
    </xf>
    <xf borderId="68" fillId="6" fontId="15" numFmtId="0" xfId="0" applyAlignment="1" applyBorder="1" applyFill="1" applyFont="1">
      <alignment horizontal="center" shrinkToFit="0" vertical="center" wrapText="1"/>
    </xf>
    <xf borderId="10" fillId="2" fontId="58" numFmtId="178" xfId="0" applyAlignment="1" applyBorder="1" applyFill="1" applyFont="1" applyNumberFormat="1">
      <alignment horizontal="center" shrinkToFit="0" vertical="center" wrapText="0"/>
    </xf>
    <xf borderId="10" fillId="6" fontId="40" numFmtId="169" xfId="0" applyAlignment="1" applyBorder="1" applyFill="1" applyFont="1" applyNumberFormat="1">
      <alignment horizontal="center" shrinkToFit="0" vertical="center" wrapText="0"/>
    </xf>
    <xf borderId="26" fillId="2" fontId="40" numFmtId="0" xfId="0" applyAlignment="1" applyBorder="1" applyFill="1" applyFont="1">
      <alignment horizontal="center" shrinkToFit="0" vertical="bottom" wrapText="1"/>
    </xf>
    <xf borderId="99" fillId="6" fontId="15" numFmtId="0" xfId="0" applyAlignment="1" applyBorder="1" applyFill="1" applyFont="1">
      <alignment horizontal="center" shrinkToFit="0" vertical="center" wrapText="1"/>
    </xf>
    <xf borderId="10" fillId="14" fontId="40" numFmtId="0" xfId="0" applyAlignment="1" applyBorder="1" applyFill="1" applyFont="1">
      <alignment horizontal="center" shrinkToFit="0" vertical="bottom" wrapText="0"/>
    </xf>
    <xf borderId="45" fillId="2" fontId="40" numFmtId="0" xfId="0" applyAlignment="1" applyBorder="1" applyFill="1" applyFont="1">
      <alignment horizontal="center" readingOrder="0" shrinkToFit="0" vertical="center" wrapText="0"/>
    </xf>
    <xf borderId="0" fillId="0" fontId="37" numFmtId="173" xfId="0" applyAlignment="1" applyFont="1" applyNumberFormat="1">
      <alignment shrinkToFit="0" vertical="bottom" wrapText="1"/>
    </xf>
    <xf borderId="10" fillId="6" fontId="15" numFmtId="3" xfId="0" applyAlignment="1" applyBorder="1" applyFill="1" applyFont="1" applyNumberFormat="1">
      <alignment horizontal="center" shrinkToFit="0" vertical="center" wrapText="1"/>
    </xf>
    <xf borderId="10" fillId="6" fontId="15" numFmtId="4" xfId="0" applyAlignment="1" applyBorder="1" applyFill="1" applyFont="1" applyNumberFormat="1">
      <alignment horizontal="center" shrinkToFit="0" vertical="center" wrapText="1"/>
    </xf>
    <xf borderId="20" fillId="6" fontId="40" numFmtId="0" xfId="0" applyAlignment="1" applyBorder="1" applyFill="1" applyFont="1">
      <alignment horizontal="center" shrinkToFit="0" vertical="center" wrapText="1"/>
    </xf>
    <xf borderId="20" fillId="6" fontId="12" numFmtId="0" xfId="0" applyAlignment="1" applyBorder="1" applyFill="1" applyFont="1">
      <alignment horizontal="center" shrinkToFit="0" vertical="center" wrapText="1"/>
    </xf>
    <xf borderId="68" fillId="2" fontId="71" numFmtId="0" xfId="0" applyAlignment="1" applyBorder="1" applyFill="1" applyFont="1">
      <alignment horizontal="center" shrinkToFit="0" vertical="center" wrapText="1"/>
    </xf>
    <xf borderId="20" fillId="6" fontId="40" numFmtId="0" xfId="0" applyAlignment="1" applyBorder="1" applyFill="1" applyFont="1">
      <alignment horizontal="center" shrinkToFit="0" vertical="bottom" wrapText="0"/>
    </xf>
    <xf borderId="68" fillId="2" fontId="72" numFmtId="0" xfId="0" applyAlignment="1" applyBorder="1" applyFill="1" applyFont="1">
      <alignment horizontal="center" shrinkToFit="0" vertical="center" wrapText="1"/>
    </xf>
    <xf borderId="155" fillId="2" fontId="67" numFmtId="0" xfId="0" applyAlignment="1" applyBorder="1" applyFill="1" applyFont="1">
      <alignment shrinkToFit="0" vertical="center" wrapText="0"/>
    </xf>
    <xf borderId="20" fillId="6" fontId="40" numFmtId="0" xfId="0" applyAlignment="1" applyBorder="1" applyFill="1" applyFont="1">
      <alignment horizontal="center" shrinkToFit="0" vertical="center" wrapText="0"/>
    </xf>
    <xf borderId="10" fillId="0" fontId="58" numFmtId="0" xfId="0" applyAlignment="1" applyBorder="1" applyFont="1">
      <alignment horizontal="center" shrinkToFit="0" vertical="center" wrapText="0"/>
    </xf>
    <xf borderId="68" fillId="2" fontId="58" numFmtId="0" xfId="0" applyAlignment="1" applyBorder="1" applyFill="1" applyFont="1">
      <alignment horizontal="center" shrinkToFit="0" vertical="center" wrapText="1"/>
    </xf>
    <xf borderId="155" fillId="6" fontId="67" numFmtId="0" xfId="0" applyAlignment="1" applyBorder="1" applyFill="1" applyFont="1">
      <alignment shrinkToFit="0" vertical="center" wrapText="1"/>
    </xf>
    <xf borderId="20" fillId="6" fontId="40" numFmtId="0" xfId="0" applyAlignment="1" applyBorder="1" applyFill="1" applyFont="1">
      <alignment shrinkToFit="0" vertical="bottom" wrapText="0"/>
    </xf>
    <xf borderId="10" fillId="0" fontId="40" numFmtId="0" xfId="0" applyAlignment="1" applyBorder="1" applyFont="1">
      <alignment horizontal="center" shrinkToFit="0" vertical="bottom" wrapText="0"/>
    </xf>
    <xf borderId="68" fillId="2" fontId="58" numFmtId="4" xfId="0" applyAlignment="1" applyBorder="1" applyFill="1" applyFont="1" applyNumberFormat="1">
      <alignment horizontal="center" shrinkToFit="0" vertical="center" wrapText="1"/>
    </xf>
    <xf borderId="10" fillId="6" fontId="40" numFmtId="181" xfId="0" applyAlignment="1" applyBorder="1" applyFill="1" applyFont="1" applyNumberFormat="1">
      <alignment shrinkToFit="0" vertical="center" wrapText="0"/>
    </xf>
    <xf borderId="20" fillId="6" fontId="40" numFmtId="0" xfId="0" applyAlignment="1" applyBorder="1" applyFill="1" applyFont="1">
      <alignment shrinkToFit="0" vertical="bottom" wrapText="1"/>
    </xf>
    <xf borderId="9" fillId="0" fontId="40" numFmtId="173" xfId="0" applyAlignment="1" applyBorder="1" applyFont="1" applyNumberFormat="1">
      <alignment horizontal="center" shrinkToFit="0" vertical="center" wrapText="0"/>
    </xf>
    <xf borderId="68" fillId="2" fontId="40" numFmtId="0" xfId="0" applyAlignment="1" applyBorder="1" applyFill="1" applyFont="1">
      <alignment shrinkToFit="0" vertical="bottom" wrapText="1"/>
    </xf>
    <xf borderId="10" fillId="6" fontId="40" numFmtId="0" xfId="0" applyAlignment="1" applyBorder="1" applyFill="1" applyFont="1">
      <alignment horizontal="center" shrinkToFit="0" vertical="bottom" wrapText="0"/>
    </xf>
    <xf borderId="20" fillId="6" fontId="40" numFmtId="167" xfId="0" applyAlignment="1" applyBorder="1" applyFill="1" applyFont="1" applyNumberFormat="1">
      <alignment shrinkToFit="0" vertical="bottom" wrapText="0"/>
    </xf>
    <xf borderId="10" fillId="0" fontId="40" numFmtId="167" xfId="0" applyAlignment="1" applyBorder="1" applyFont="1" applyNumberFormat="1">
      <alignment shrinkToFit="0" vertical="bottom" wrapText="0"/>
    </xf>
    <xf borderId="68" fillId="2" fontId="40" numFmtId="0" xfId="0" applyAlignment="1" applyBorder="1" applyFill="1" applyFont="1">
      <alignment horizontal="right" shrinkToFit="0" vertical="bottom" wrapText="1"/>
    </xf>
    <xf borderId="155" fillId="2" fontId="67" numFmtId="0" xfId="0" applyAlignment="1" applyBorder="1" applyFill="1" applyFont="1">
      <alignment shrinkToFit="0" vertical="center" wrapText="1"/>
    </xf>
    <xf borderId="9" fillId="6" fontId="40" numFmtId="0" xfId="0" applyAlignment="1" applyBorder="1" applyFill="1" applyFont="1">
      <alignment shrinkToFit="0" vertical="bottom" wrapText="1"/>
    </xf>
    <xf borderId="68" fillId="2" fontId="40" numFmtId="4" xfId="0" applyAlignment="1" applyBorder="1" applyFill="1" applyFont="1" applyNumberFormat="1">
      <alignment horizontal="right" shrinkToFit="0" vertical="bottom" wrapText="1"/>
    </xf>
    <xf borderId="10" fillId="2" fontId="58" numFmtId="169" xfId="0" applyAlignment="1" applyBorder="1" applyFill="1" applyFont="1" applyNumberFormat="1">
      <alignment horizontal="center" shrinkToFit="0" vertical="center" wrapText="1"/>
    </xf>
    <xf borderId="101" fillId="4" fontId="62" numFmtId="178" xfId="0" applyAlignment="1" applyBorder="1" applyFill="1" applyFont="1" applyNumberFormat="1">
      <alignment shrinkToFit="0" vertical="center" wrapText="0"/>
    </xf>
    <xf borderId="68" fillId="2" fontId="73" numFmtId="0" xfId="0" applyAlignment="1" applyBorder="1" applyFill="1" applyFont="1">
      <alignment horizontal="center" shrinkToFit="0" vertical="center" wrapText="1"/>
    </xf>
    <xf borderId="30" fillId="4" fontId="74" numFmtId="167" xfId="0" applyAlignment="1" applyBorder="1" applyFill="1" applyFont="1" applyNumberFormat="1">
      <alignment shrinkToFit="0" vertical="center" wrapText="0"/>
    </xf>
    <xf borderId="73" fillId="6" fontId="40" numFmtId="0" xfId="0" applyAlignment="1" applyBorder="1" applyFill="1" applyFont="1">
      <alignment horizontal="center" shrinkToFit="0" vertical="center" wrapText="0"/>
    </xf>
    <xf borderId="10" fillId="2" fontId="15" numFmtId="182" xfId="0" applyAlignment="1" applyBorder="1" applyFill="1" applyFont="1" applyNumberFormat="1">
      <alignment horizontal="center" shrinkToFit="0" vertical="center" wrapText="1"/>
    </xf>
    <xf borderId="156" fillId="4" fontId="62" numFmtId="167" xfId="0" applyAlignment="1" applyBorder="1" applyFill="1" applyFont="1" applyNumberFormat="1">
      <alignment shrinkToFit="0" vertical="center" wrapText="0"/>
    </xf>
    <xf borderId="19" fillId="4" fontId="62" numFmtId="167" xfId="0" applyAlignment="1" applyBorder="1" applyFill="1" applyFont="1" applyNumberFormat="1">
      <alignment shrinkToFit="0" vertical="center" wrapText="0"/>
    </xf>
    <xf borderId="70" fillId="2" fontId="40" numFmtId="0" xfId="0" applyAlignment="1" applyBorder="1" applyFill="1" applyFont="1">
      <alignment horizontal="center" shrinkToFit="0" vertical="center" wrapText="1"/>
    </xf>
    <xf borderId="10" fillId="6" fontId="40" numFmtId="0" xfId="0" applyAlignment="1" applyBorder="1" applyFill="1" applyFont="1">
      <alignment shrinkToFit="0" vertical="bottom" wrapText="1"/>
    </xf>
    <xf borderId="10" fillId="2" fontId="15" numFmtId="0" xfId="0" applyAlignment="1" applyBorder="1" applyFill="1" applyFont="1">
      <alignment horizontal="center" shrinkToFit="0" vertical="center" wrapText="1"/>
    </xf>
    <xf borderId="19" fillId="4" fontId="58" numFmtId="169" xfId="0" applyAlignment="1" applyBorder="1" applyFill="1" applyFont="1" applyNumberFormat="1">
      <alignment shrinkToFit="0" vertical="center" wrapText="0"/>
    </xf>
    <xf borderId="70" fillId="2" fontId="40" numFmtId="167" xfId="0" applyAlignment="1" applyBorder="1" applyFill="1" applyFont="1" applyNumberFormat="1">
      <alignment horizontal="center" shrinkToFit="0" vertical="center" wrapText="1"/>
    </xf>
    <xf borderId="30" fillId="6" fontId="40" numFmtId="0" xfId="0" applyAlignment="1" applyBorder="1" applyFill="1" applyFont="1">
      <alignment shrinkToFit="0" vertical="bottom" wrapText="0"/>
    </xf>
    <xf borderId="73" fillId="2" fontId="15" numFmtId="0" xfId="0" applyAlignment="1" applyBorder="1" applyFill="1" applyFont="1">
      <alignment horizontal="center" shrinkToFit="0" vertical="center" wrapText="1"/>
    </xf>
    <xf borderId="19" fillId="4" fontId="58" numFmtId="178" xfId="0" applyAlignment="1" applyBorder="1" applyFill="1" applyFont="1" applyNumberFormat="1">
      <alignment shrinkToFit="0" vertical="center" wrapText="0"/>
    </xf>
    <xf borderId="70" fillId="2" fontId="40" numFmtId="4" xfId="0" applyAlignment="1" applyBorder="1" applyFill="1" applyFont="1" applyNumberFormat="1">
      <alignment horizontal="center" shrinkToFit="0" vertical="center" wrapText="1"/>
    </xf>
    <xf borderId="10" fillId="2" fontId="40" numFmtId="178" xfId="0" applyAlignment="1" applyBorder="1" applyFill="1" applyFont="1" applyNumberFormat="1">
      <alignment shrinkToFit="0" vertical="center" wrapText="0"/>
    </xf>
    <xf borderId="68" fillId="2" fontId="15" numFmtId="0" xfId="0" applyAlignment="1" applyBorder="1" applyFill="1" applyFont="1">
      <alignment horizontal="center" shrinkToFit="0" vertical="center" wrapText="1"/>
    </xf>
    <xf borderId="19" fillId="4" fontId="62" numFmtId="178" xfId="0" applyAlignment="1" applyBorder="1" applyFill="1" applyFont="1" applyNumberFormat="1">
      <alignment horizontal="right" shrinkToFit="0" vertical="center" wrapText="0"/>
    </xf>
    <xf borderId="70" fillId="2" fontId="71" numFmtId="0" xfId="0" applyAlignment="1" applyBorder="1" applyFill="1" applyFont="1">
      <alignment horizontal="center" shrinkToFit="0" vertical="center" wrapText="1"/>
    </xf>
    <xf borderId="10" fillId="2" fontId="40" numFmtId="167" xfId="0" applyAlignment="1" applyBorder="1" applyFill="1" applyFont="1" applyNumberFormat="1">
      <alignment shrinkToFit="0" vertical="center" wrapText="1"/>
    </xf>
    <xf borderId="99" fillId="2" fontId="15" numFmtId="183" xfId="0" applyAlignment="1" applyBorder="1" applyFill="1" applyFont="1" applyNumberFormat="1">
      <alignment horizontal="center" shrinkToFit="0" vertical="center" wrapText="1"/>
    </xf>
    <xf borderId="157" fillId="4" fontId="50" numFmtId="0" xfId="0" applyAlignment="1" applyBorder="1" applyFill="1" applyFont="1">
      <alignment horizontal="center" shrinkToFit="0" vertical="center" wrapText="1"/>
    </xf>
    <xf borderId="70" fillId="2" fontId="25" numFmtId="0" xfId="0" applyAlignment="1" applyBorder="1" applyFill="1" applyFont="1">
      <alignment shrinkToFit="0" vertical="center" wrapText="1"/>
    </xf>
    <xf borderId="10" fillId="2" fontId="40" numFmtId="167" xfId="0" applyAlignment="1" applyBorder="1" applyFill="1" applyFont="1" applyNumberFormat="1">
      <alignment shrinkToFit="0" vertical="center" wrapText="0"/>
    </xf>
    <xf borderId="10" fillId="2" fontId="15" numFmtId="4" xfId="0" applyAlignment="1" applyBorder="1" applyFill="1" applyFont="1" applyNumberFormat="1">
      <alignment horizontal="center" shrinkToFit="0" vertical="center" wrapText="1"/>
    </xf>
    <xf borderId="157" fillId="4" fontId="58" numFmtId="178" xfId="0" applyAlignment="1" applyBorder="1" applyFill="1" applyFont="1" applyNumberFormat="1">
      <alignment horizontal="center" shrinkToFit="0" vertical="center" wrapText="0"/>
    </xf>
    <xf borderId="70" fillId="2" fontId="25" numFmtId="0" xfId="0" applyAlignment="1" applyBorder="1" applyFill="1" applyFont="1">
      <alignment shrinkToFit="0" vertical="bottom" wrapText="1"/>
    </xf>
    <xf borderId="10" fillId="2" fontId="40" numFmtId="49" xfId="0" applyAlignment="1" applyBorder="1" applyFill="1" applyFont="1" applyNumberFormat="1">
      <alignment horizontal="right" shrinkToFit="0" vertical="center" wrapText="0"/>
    </xf>
    <xf borderId="10" fillId="2" fontId="75" numFmtId="0" xfId="0" applyAlignment="1" applyBorder="1" applyFill="1" applyFont="1">
      <alignment horizontal="center" shrinkToFit="0" vertical="center" wrapText="1"/>
    </xf>
    <xf borderId="10" fillId="4" fontId="62" numFmtId="178" xfId="0" applyAlignment="1" applyBorder="1" applyFill="1" applyFont="1" applyNumberFormat="1">
      <alignment horizontal="center" shrinkToFit="0" vertical="center" wrapText="0"/>
    </xf>
    <xf borderId="158" fillId="5" fontId="40" numFmtId="0" xfId="0" applyAlignment="1" applyBorder="1" applyFill="1" applyFont="1">
      <alignment horizontal="center" shrinkToFit="0" vertical="center" wrapText="1"/>
    </xf>
    <xf borderId="10" fillId="0" fontId="15" numFmtId="182" xfId="0" applyAlignment="1" applyBorder="1" applyFont="1" applyNumberFormat="1">
      <alignment horizontal="center" shrinkToFit="0" vertical="center" wrapText="1"/>
    </xf>
    <xf borderId="10" fillId="2" fontId="58" numFmtId="178" xfId="0" applyAlignment="1" applyBorder="1" applyFill="1" applyFont="1" applyNumberFormat="1">
      <alignment shrinkToFit="0" vertical="center" wrapText="0"/>
    </xf>
    <xf borderId="122" fillId="2" fontId="25" numFmtId="0" xfId="0" applyAlignment="1" applyBorder="1" applyFill="1" applyFont="1">
      <alignment shrinkToFit="0" vertical="bottom" wrapText="1"/>
    </xf>
    <xf borderId="120" fillId="2" fontId="40" numFmtId="0" xfId="0" applyAlignment="1" applyBorder="1" applyFill="1" applyFont="1">
      <alignment horizontal="center" shrinkToFit="0" vertical="center" wrapText="0"/>
    </xf>
    <xf borderId="10" fillId="2" fontId="58" numFmtId="178" xfId="0" applyAlignment="1" applyBorder="1" applyFill="1" applyFont="1" applyNumberFormat="1">
      <alignment horizontal="right" shrinkToFit="0" vertical="center" wrapText="0"/>
    </xf>
    <xf borderId="91" fillId="2" fontId="67" numFmtId="0" xfId="0" applyAlignment="1" applyBorder="1" applyFill="1" applyFont="1">
      <alignment shrinkToFit="0" vertical="center" wrapText="0"/>
    </xf>
    <xf borderId="10" fillId="2" fontId="58" numFmtId="167" xfId="0" applyAlignment="1" applyBorder="1" applyFill="1" applyFont="1" applyNumberFormat="1">
      <alignment shrinkToFit="0" vertical="center" wrapText="0"/>
    </xf>
    <xf borderId="91" fillId="2" fontId="40" numFmtId="168" xfId="0" applyAlignment="1" applyBorder="1" applyFill="1" applyFont="1" applyNumberFormat="1">
      <alignment shrinkToFit="0" vertical="center" wrapText="0"/>
    </xf>
    <xf borderId="73" fillId="2" fontId="58" numFmtId="0" xfId="0" applyAlignment="1" applyBorder="1" applyFill="1" applyFont="1">
      <alignment horizontal="center" shrinkToFit="0" vertical="center" wrapText="0"/>
    </xf>
    <xf borderId="91" fillId="2" fontId="40" numFmtId="184" xfId="0" applyAlignment="1" applyBorder="1" applyFill="1" applyFont="1" applyNumberFormat="1">
      <alignment shrinkToFit="0" vertical="center" wrapText="0"/>
    </xf>
    <xf borderId="10" fillId="2" fontId="58" numFmtId="0" xfId="0" applyAlignment="1" applyBorder="1" applyFill="1" applyFont="1">
      <alignment shrinkToFit="0" vertical="bottom" wrapText="0"/>
    </xf>
    <xf borderId="68" fillId="0" fontId="40" numFmtId="0" xfId="0" applyAlignment="1" applyBorder="1" applyFont="1">
      <alignment horizontal="center" shrinkToFit="0" vertical="center" wrapText="1"/>
    </xf>
    <xf borderId="68" fillId="0" fontId="40" numFmtId="167" xfId="0" applyAlignment="1" applyBorder="1" applyFont="1" applyNumberFormat="1">
      <alignment horizontal="center" shrinkToFit="0" vertical="bottom" wrapText="1"/>
    </xf>
    <xf borderId="10" fillId="2" fontId="15" numFmtId="173" xfId="0" applyAlignment="1" applyBorder="1" applyFill="1" applyFont="1" applyNumberFormat="1">
      <alignment horizontal="center" shrinkToFit="0" vertical="center" wrapText="1"/>
    </xf>
    <xf borderId="10" fillId="2" fontId="58" numFmtId="178" xfId="0" applyAlignment="1" applyBorder="1" applyFill="1" applyFont="1" applyNumberFormat="1">
      <alignment shrinkToFit="0" vertical="center" wrapText="1"/>
    </xf>
    <xf borderId="68" fillId="0" fontId="40" numFmtId="0" xfId="0" applyAlignment="1" applyBorder="1" applyFont="1">
      <alignment horizontal="center" shrinkToFit="0" vertical="bottom" wrapText="1"/>
    </xf>
    <xf borderId="15" fillId="2" fontId="15" numFmtId="0" xfId="0" applyAlignment="1" applyBorder="1" applyFill="1" applyFont="1">
      <alignment horizontal="center" shrinkToFit="0" vertical="center" wrapText="1"/>
    </xf>
    <xf borderId="10" fillId="2" fontId="50" numFmtId="0" xfId="0" applyAlignment="1" applyBorder="1" applyFill="1" applyFont="1">
      <alignment shrinkToFit="0" vertical="center" wrapText="0"/>
    </xf>
    <xf borderId="68" fillId="0" fontId="40" numFmtId="4" xfId="0" applyAlignment="1" applyBorder="1" applyFont="1" applyNumberFormat="1">
      <alignment horizontal="center" shrinkToFit="0" vertical="center" wrapText="1"/>
    </xf>
    <xf borderId="10" fillId="2" fontId="15" numFmtId="49" xfId="0" applyAlignment="1" applyBorder="1" applyFill="1" applyFont="1" applyNumberFormat="1">
      <alignment horizontal="center" shrinkToFit="0" vertical="center" wrapText="1"/>
    </xf>
    <xf borderId="10" fillId="2" fontId="58" numFmtId="178" xfId="0" applyAlignment="1" applyBorder="1" applyFill="1" applyFont="1" applyNumberFormat="1">
      <alignment horizontal="right" shrinkToFit="0" vertical="center" wrapText="1"/>
    </xf>
    <xf borderId="68" fillId="0" fontId="25" numFmtId="0" xfId="0" applyAlignment="1" applyBorder="1" applyFont="1">
      <alignment shrinkToFit="0" vertical="center" wrapText="1"/>
    </xf>
    <xf borderId="10" fillId="6" fontId="50" numFmtId="0" xfId="0" applyAlignment="1" applyBorder="1" applyFill="1" applyFont="1">
      <alignment shrinkToFit="0" vertical="center" wrapText="0"/>
    </xf>
    <xf borderId="99" fillId="2" fontId="15" numFmtId="49" xfId="0" applyAlignment="1" applyBorder="1" applyFill="1" applyFont="1" applyNumberFormat="1">
      <alignment horizontal="center" shrinkToFit="0" vertical="center" wrapText="1"/>
    </xf>
    <xf borderId="10" fillId="0" fontId="40" numFmtId="169" xfId="0" applyAlignment="1" applyBorder="1" applyFont="1" applyNumberFormat="1">
      <alignment horizontal="center" shrinkToFit="0" vertical="center" wrapText="0"/>
    </xf>
    <xf borderId="10" fillId="6" fontId="40" numFmtId="178" xfId="0" applyAlignment="1" applyBorder="1" applyFill="1" applyFont="1" applyNumberFormat="1">
      <alignment shrinkToFit="0" vertical="center" wrapText="0"/>
    </xf>
    <xf borderId="68" fillId="0" fontId="71" numFmtId="0" xfId="0" applyAlignment="1" applyBorder="1" applyFont="1">
      <alignment horizontal="center" shrinkToFit="0" vertical="center" wrapText="1"/>
    </xf>
    <xf borderId="10" fillId="2" fontId="15" numFmtId="3" xfId="0" applyAlignment="1" applyBorder="1" applyFill="1" applyFont="1" applyNumberFormat="1">
      <alignment horizontal="center" shrinkToFit="0" vertical="center" wrapText="1"/>
    </xf>
    <xf borderId="10" fillId="0" fontId="40" numFmtId="167" xfId="0" applyAlignment="1" applyBorder="1" applyFont="1" applyNumberFormat="1">
      <alignment horizontal="center" shrinkToFit="0" vertical="center" wrapText="0"/>
    </xf>
    <xf borderId="10" fillId="6" fontId="40" numFmtId="167" xfId="0" applyAlignment="1" applyBorder="1" applyFill="1" applyFont="1" applyNumberFormat="1">
      <alignment shrinkToFit="0" vertical="center" wrapText="1"/>
    </xf>
    <xf borderId="19" fillId="2" fontId="15" numFmtId="0" xfId="0" applyAlignment="1" applyBorder="1" applyFill="1" applyFont="1">
      <alignment horizontal="center" shrinkToFit="0" vertical="center" wrapText="1"/>
    </xf>
    <xf borderId="68" fillId="0" fontId="25" numFmtId="0" xfId="0" applyAlignment="1" applyBorder="1" applyFont="1">
      <alignment shrinkToFit="0" vertical="bottom" wrapText="1"/>
    </xf>
    <xf borderId="10" fillId="6" fontId="40" numFmtId="167" xfId="0" applyAlignment="1" applyBorder="1" applyFill="1" applyFont="1" applyNumberFormat="1">
      <alignment shrinkToFit="0" vertical="center" wrapText="0"/>
    </xf>
    <xf borderId="8" fillId="0" fontId="40" numFmtId="169" xfId="0" applyAlignment="1" applyBorder="1" applyFont="1" applyNumberFormat="1">
      <alignment horizontal="center" shrinkToFit="0" vertical="center" wrapText="0"/>
    </xf>
    <xf borderId="68" fillId="0" fontId="37" numFmtId="0" xfId="0" applyAlignment="1" applyBorder="1" applyFont="1">
      <alignment horizontal="center" shrinkToFit="0" vertical="center" wrapText="1"/>
    </xf>
    <xf borderId="10" fillId="6" fontId="15" numFmtId="49" xfId="0" applyAlignment="1" applyBorder="1" applyFill="1" applyFont="1" applyNumberFormat="1">
      <alignment horizontal="center" shrinkToFit="0" vertical="center" wrapText="1"/>
    </xf>
    <xf borderId="10" fillId="6" fontId="40" numFmtId="49" xfId="0" applyAlignment="1" applyBorder="1" applyFill="1" applyFont="1" applyNumberFormat="1">
      <alignment horizontal="right" shrinkToFit="0" vertical="center" wrapText="0"/>
    </xf>
    <xf borderId="8" fillId="0" fontId="76" numFmtId="0" xfId="0" applyAlignment="1" applyBorder="1" applyFont="1">
      <alignment shrinkToFit="0" vertical="center" wrapText="1"/>
    </xf>
    <xf borderId="10" fillId="6" fontId="75" numFmtId="0" xfId="0" applyAlignment="1" applyBorder="1" applyFill="1" applyFont="1">
      <alignment horizontal="center" shrinkToFit="0" vertical="center" wrapText="1"/>
    </xf>
    <xf borderId="68" fillId="0" fontId="73" numFmtId="0" xfId="0" applyAlignment="1" applyBorder="1" applyFont="1">
      <alignment horizontal="center" shrinkToFit="0" vertical="center" wrapText="1"/>
    </xf>
    <xf borderId="10" fillId="6" fontId="58" numFmtId="178" xfId="0" applyAlignment="1" applyBorder="1" applyFill="1" applyFont="1" applyNumberFormat="1">
      <alignment shrinkToFit="0" vertical="center" wrapText="1"/>
    </xf>
    <xf borderId="15" fillId="6" fontId="67" numFmtId="167" xfId="0" applyAlignment="1" applyBorder="1" applyFill="1" applyFont="1" applyNumberFormat="1">
      <alignment horizontal="center" shrinkToFit="0" vertical="center" wrapText="1"/>
    </xf>
    <xf borderId="9" fillId="6" fontId="40" numFmtId="0" xfId="0" applyAlignment="1" applyBorder="1" applyFill="1" applyFont="1">
      <alignment shrinkToFit="0" vertical="bottom" wrapText="0"/>
    </xf>
    <xf borderId="79" fillId="6" fontId="40" numFmtId="167" xfId="0" applyAlignment="1" applyBorder="1" applyFill="1" applyFont="1" applyNumberFormat="1">
      <alignment shrinkToFit="0" vertical="bottom" wrapText="0"/>
    </xf>
    <xf borderId="68" fillId="0" fontId="58" numFmtId="0" xfId="0" applyAlignment="1" applyBorder="1" applyFont="1">
      <alignment horizontal="center" shrinkToFit="0" vertical="center" wrapText="1"/>
    </xf>
    <xf borderId="10" fillId="6" fontId="58" numFmtId="178" xfId="0" applyAlignment="1" applyBorder="1" applyFill="1" applyFont="1" applyNumberFormat="1">
      <alignment horizontal="right" shrinkToFit="0" vertical="center" wrapText="1"/>
    </xf>
    <xf borderId="112" fillId="6" fontId="40" numFmtId="0" xfId="0" applyAlignment="1" applyBorder="1" applyFill="1" applyFont="1">
      <alignment shrinkToFit="0" vertical="center" wrapText="0"/>
    </xf>
    <xf borderId="10" fillId="6" fontId="58" numFmtId="178" xfId="0" applyAlignment="1" applyBorder="1" applyFill="1" applyFont="1" applyNumberFormat="1">
      <alignment horizontal="right" shrinkToFit="0" vertical="center" wrapText="0"/>
    </xf>
    <xf borderId="9" fillId="2" fontId="40" numFmtId="0" xfId="0" applyAlignment="1" applyBorder="1" applyFill="1" applyFont="1">
      <alignment shrinkToFit="0" vertical="bottom" wrapText="0"/>
    </xf>
    <xf borderId="68" fillId="0" fontId="37" numFmtId="0" xfId="0" applyAlignment="1" applyBorder="1" applyFont="1">
      <alignment horizontal="center" shrinkToFit="0" vertical="bottom" wrapText="1"/>
    </xf>
    <xf borderId="93" fillId="6" fontId="40" numFmtId="169" xfId="0" applyAlignment="1" applyBorder="1" applyFill="1" applyFont="1" applyNumberFormat="1">
      <alignment horizontal="center" shrinkToFit="0" vertical="center" wrapText="1"/>
    </xf>
    <xf borderId="10" fillId="6" fontId="58" numFmtId="167" xfId="0" applyAlignment="1" applyBorder="1" applyFill="1" applyFont="1" applyNumberFormat="1">
      <alignment shrinkToFit="0" vertical="center" wrapText="0"/>
    </xf>
    <xf borderId="73" fillId="2" fontId="40" numFmtId="0" xfId="0" applyAlignment="1" applyBorder="1" applyFill="1" applyFont="1">
      <alignment shrinkToFit="0" vertical="bottom" wrapText="0"/>
    </xf>
    <xf borderId="15" fillId="6" fontId="40" numFmtId="169" xfId="0" applyAlignment="1" applyBorder="1" applyFill="1" applyFont="1" applyNumberFormat="1">
      <alignment horizontal="center" shrinkToFit="0" vertical="center" wrapText="0"/>
    </xf>
    <xf borderId="68" fillId="0" fontId="40" numFmtId="167" xfId="0" applyAlignment="1" applyBorder="1" applyFont="1" applyNumberFormat="1">
      <alignment horizontal="center" shrinkToFit="0" vertical="center" wrapText="1"/>
    </xf>
    <xf borderId="10" fillId="6" fontId="58" numFmtId="178" xfId="0" applyAlignment="1" applyBorder="1" applyFill="1" applyFont="1" applyNumberFormat="1">
      <alignment shrinkToFit="0" vertical="center" wrapText="0"/>
    </xf>
    <xf borderId="10" fillId="0" fontId="75" numFmtId="0" xfId="0" applyAlignment="1" applyBorder="1" applyFont="1">
      <alignment horizontal="center" shrinkToFit="0" vertical="center" wrapText="1"/>
    </xf>
    <xf borderId="112" fillId="6" fontId="40" numFmtId="0" xfId="0" applyAlignment="1" applyBorder="1" applyFill="1" applyFont="1">
      <alignment shrinkToFit="0" vertical="center" wrapText="1"/>
    </xf>
    <xf borderId="73" fillId="6" fontId="58" numFmtId="0" xfId="0" applyAlignment="1" applyBorder="1" applyFill="1" applyFont="1">
      <alignment horizontal="center" shrinkToFit="0" vertical="center" wrapText="0"/>
    </xf>
    <xf borderId="68" fillId="0" fontId="72" numFmtId="0" xfId="0" applyAlignment="1" applyBorder="1" applyFont="1">
      <alignment horizontal="center" shrinkToFit="0" vertical="center" wrapText="1"/>
    </xf>
    <xf borderId="10" fillId="0" fontId="58" numFmtId="0" xfId="0" applyAlignment="1" applyBorder="1" applyFont="1">
      <alignment shrinkToFit="0" vertical="bottom" wrapText="0"/>
    </xf>
    <xf borderId="68" fillId="4" fontId="25" numFmtId="0" xfId="0" applyAlignment="1" applyBorder="1" applyFill="1" applyFont="1">
      <alignment shrinkToFit="0" vertical="center" wrapText="1"/>
    </xf>
    <xf borderId="112" fillId="6" fontId="40" numFmtId="0" xfId="0" applyAlignment="1" applyBorder="1" applyFill="1" applyFont="1">
      <alignment horizontal="center" shrinkToFit="0" vertical="bottom" wrapText="0"/>
    </xf>
    <xf borderId="10" fillId="6" fontId="58" numFmtId="0" xfId="0" applyAlignment="1" applyBorder="1" applyFill="1" applyFont="1">
      <alignment shrinkToFit="0" vertical="bottom" wrapText="0"/>
    </xf>
    <xf borderId="57" fillId="0" fontId="40" numFmtId="0" xfId="0" applyAlignment="1" applyBorder="1" applyFont="1">
      <alignment horizontal="center" shrinkToFit="0" vertical="center" wrapText="0"/>
    </xf>
    <xf borderId="9" fillId="0" fontId="58" numFmtId="0" xfId="0" applyAlignment="1" applyBorder="1" applyFont="1">
      <alignment shrinkToFit="0" vertical="bottom" wrapText="0"/>
    </xf>
    <xf borderId="68" fillId="4" fontId="52" numFmtId="0" xfId="0" applyAlignment="1" applyBorder="1" applyFill="1" applyFont="1">
      <alignment horizontal="center" shrinkToFit="0" vertical="bottom" wrapText="1"/>
    </xf>
    <xf borderId="13" fillId="0" fontId="67" numFmtId="167" xfId="0" applyAlignment="1" applyBorder="1" applyFont="1" applyNumberFormat="1">
      <alignment horizontal="center" shrinkToFit="0" vertical="center" wrapText="1"/>
    </xf>
    <xf borderId="10" fillId="2" fontId="58" numFmtId="0" xfId="0" applyAlignment="1" applyBorder="1" applyFill="1" applyFont="1">
      <alignment shrinkToFit="0" vertical="bottom" wrapText="1"/>
    </xf>
    <xf borderId="10" fillId="0" fontId="62" numFmtId="0" xfId="0" applyAlignment="1" applyBorder="1" applyFont="1">
      <alignment shrinkToFit="0" vertical="bottom" wrapText="0"/>
    </xf>
    <xf borderId="68" fillId="4" fontId="25" numFmtId="0" xfId="0" applyAlignment="1" applyBorder="1" applyFill="1" applyFont="1">
      <alignment shrinkToFit="0" vertical="bottom" wrapText="1"/>
    </xf>
    <xf borderId="29" fillId="0" fontId="40" numFmtId="0" xfId="0" applyAlignment="1" applyBorder="1" applyFont="1">
      <alignment shrinkToFit="0" vertical="center" wrapText="0"/>
    </xf>
    <xf borderId="10" fillId="6" fontId="15" numFmtId="182" xfId="0" applyAlignment="1" applyBorder="1" applyFill="1" applyFont="1" applyNumberFormat="1">
      <alignment horizontal="center" shrinkToFit="0" vertical="center" wrapText="1"/>
    </xf>
    <xf borderId="68" fillId="4" fontId="52" numFmtId="0" xfId="0" applyAlignment="1" applyBorder="1" applyFill="1" applyFont="1">
      <alignment horizontal="center" shrinkToFit="0" vertical="center" wrapText="1"/>
    </xf>
    <xf borderId="10" fillId="6" fontId="58" numFmtId="178" xfId="0" applyAlignment="1" applyBorder="1" applyFill="1" applyFont="1" applyNumberFormat="1">
      <alignment horizontal="center" shrinkToFit="0" vertical="center" wrapText="0"/>
    </xf>
    <xf borderId="13" fillId="0" fontId="40" numFmtId="2" xfId="0" applyAlignment="1" applyBorder="1" applyFont="1" applyNumberFormat="1">
      <alignment shrinkToFit="0" vertical="center" wrapText="0"/>
    </xf>
    <xf borderId="10" fillId="2" fontId="58" numFmtId="185" xfId="0" applyAlignment="1" applyBorder="1" applyFill="1" applyFont="1" applyNumberFormat="1">
      <alignment shrinkToFit="0" vertical="bottom" wrapText="0"/>
    </xf>
    <xf borderId="68" fillId="4" fontId="52" numFmtId="4" xfId="0" applyAlignment="1" applyBorder="1" applyFill="1" applyFont="1" applyNumberFormat="1">
      <alignment horizontal="center" shrinkToFit="0" vertical="center" wrapText="1"/>
    </xf>
    <xf borderId="10" fillId="6" fontId="40" numFmtId="167" xfId="0" applyAlignment="1" applyBorder="1" applyFill="1" applyFont="1" applyNumberFormat="1">
      <alignment shrinkToFit="0" vertical="bottom" wrapText="0"/>
    </xf>
    <xf borderId="119" fillId="0" fontId="40" numFmtId="169" xfId="0" applyAlignment="1" applyBorder="1" applyFont="1" applyNumberFormat="1">
      <alignment horizontal="center" shrinkToFit="0" vertical="center" wrapText="1"/>
    </xf>
    <xf borderId="9" fillId="6" fontId="40" numFmtId="0" xfId="0" applyAlignment="1" applyBorder="1" applyFill="1" applyFont="1">
      <alignment horizontal="center" shrinkToFit="0" vertical="bottom" wrapText="1"/>
    </xf>
    <xf borderId="68" fillId="4" fontId="52" numFmtId="4" xfId="0" applyAlignment="1" applyBorder="1" applyFill="1" applyFont="1" applyNumberFormat="1">
      <alignment horizontal="center" shrinkToFit="0" vertical="bottom" wrapText="1"/>
    </xf>
    <xf borderId="10" fillId="4" fontId="58" numFmtId="178" xfId="0" applyAlignment="1" applyBorder="1" applyFill="1" applyFont="1" applyNumberFormat="1">
      <alignment horizontal="right" shrinkToFit="0" vertical="center" wrapText="0"/>
    </xf>
    <xf borderId="13" fillId="0" fontId="40" numFmtId="169" xfId="0" applyAlignment="1" applyBorder="1" applyFont="1" applyNumberFormat="1">
      <alignment horizontal="center" shrinkToFit="0" vertical="center" wrapText="0"/>
    </xf>
    <xf borderId="10" fillId="6" fontId="62" numFmtId="0" xfId="0" applyAlignment="1" applyBorder="1" applyFill="1" applyFont="1">
      <alignment shrinkToFit="0" vertical="bottom" wrapText="0"/>
    </xf>
    <xf borderId="68" fillId="4" fontId="37" numFmtId="4" xfId="0" applyAlignment="1" applyBorder="1" applyFill="1" applyFont="1" applyNumberFormat="1">
      <alignment horizontal="center" shrinkToFit="0" vertical="bottom" wrapText="1"/>
    </xf>
    <xf borderId="10" fillId="4" fontId="40" numFmtId="0" xfId="0" applyAlignment="1" applyBorder="1" applyFill="1" applyFont="1">
      <alignment horizontal="center" shrinkToFit="0" vertical="center" wrapText="1"/>
    </xf>
    <xf borderId="29" fillId="0" fontId="40" numFmtId="0" xfId="0" applyAlignment="1" applyBorder="1" applyFont="1">
      <alignment shrinkToFit="0" vertical="center" wrapText="1"/>
    </xf>
    <xf borderId="26" fillId="4" fontId="25" numFmtId="0" xfId="0" applyAlignment="1" applyBorder="1" applyFill="1" applyFont="1">
      <alignment shrinkToFit="0" vertical="bottom" wrapText="1"/>
    </xf>
    <xf borderId="10" fillId="0" fontId="40" numFmtId="0" xfId="0" applyAlignment="1" applyBorder="1" applyFont="1">
      <alignment shrinkToFit="0" vertical="bottom" wrapText="1"/>
    </xf>
    <xf borderId="82" fillId="0" fontId="40" numFmtId="0" xfId="0" applyAlignment="1" applyBorder="1" applyFont="1">
      <alignment horizontal="center" shrinkToFit="0" vertical="bottom" wrapText="0"/>
    </xf>
    <xf borderId="10" fillId="5" fontId="40" numFmtId="0" xfId="0" applyAlignment="1" applyBorder="1" applyFill="1" applyFont="1">
      <alignment horizontal="center" shrinkToFit="0" vertical="bottom" wrapText="0"/>
    </xf>
    <xf borderId="10" fillId="4" fontId="77" numFmtId="0" xfId="0" applyAlignment="1" applyBorder="1" applyFill="1" applyFont="1">
      <alignment horizontal="center" shrinkToFit="0" vertical="center" wrapText="1"/>
    </xf>
    <xf borderId="68" fillId="19" fontId="25" numFmtId="0" xfId="0" applyAlignment="1" applyBorder="1" applyFill="1" applyFont="1">
      <alignment shrinkToFit="0" vertical="bottom" wrapText="1"/>
    </xf>
    <xf borderId="73" fillId="5" fontId="40" numFmtId="0" xfId="0" applyAlignment="1" applyBorder="1" applyFill="1" applyFont="1">
      <alignment horizontal="center" shrinkToFit="0" vertical="center" wrapText="0"/>
    </xf>
    <xf borderId="10" fillId="4" fontId="16" numFmtId="0" xfId="0" applyAlignment="1" applyBorder="1" applyFill="1" applyFont="1">
      <alignment horizontal="center" shrinkToFit="0" vertical="center" wrapText="1"/>
    </xf>
    <xf borderId="56" fillId="2" fontId="40" numFmtId="0" xfId="0" applyAlignment="1" applyBorder="1" applyFill="1" applyFont="1">
      <alignment horizontal="center" shrinkToFit="0" vertical="center" wrapText="0"/>
    </xf>
    <xf borderId="10" fillId="4" fontId="16" numFmtId="4" xfId="0" applyAlignment="1" applyBorder="1" applyFill="1" applyFont="1" applyNumberFormat="1">
      <alignment horizontal="center" shrinkToFit="0" vertical="center" wrapText="1"/>
    </xf>
    <xf borderId="26" fillId="19" fontId="25" numFmtId="0" xfId="0" applyAlignment="1" applyBorder="1" applyFill="1" applyFont="1">
      <alignment shrinkToFit="0" vertical="bottom" wrapText="1"/>
    </xf>
    <xf borderId="73" fillId="2" fontId="40" numFmtId="173" xfId="0" applyAlignment="1" applyBorder="1" applyFill="1" applyFont="1" applyNumberFormat="1">
      <alignment horizontal="center" shrinkToFit="0" vertical="center" wrapText="1"/>
    </xf>
    <xf borderId="15" fillId="2" fontId="67" numFmtId="167" xfId="0" applyAlignment="1" applyBorder="1" applyFill="1" applyFont="1" applyNumberFormat="1">
      <alignment shrinkToFit="0" vertical="center" wrapText="0"/>
    </xf>
    <xf borderId="9" fillId="4" fontId="58" numFmtId="0" xfId="0" applyAlignment="1" applyBorder="1" applyFill="1" applyFont="1">
      <alignment shrinkToFit="0" vertical="bottom" wrapText="0"/>
    </xf>
    <xf borderId="68" fillId="2" fontId="37" numFmtId="167" xfId="0" applyAlignment="1" applyBorder="1" applyFill="1" applyFont="1" applyNumberFormat="1">
      <alignment horizontal="center" shrinkToFit="0" vertical="center" wrapText="1"/>
    </xf>
    <xf borderId="30" fillId="2" fontId="40" numFmtId="0" xfId="0" applyAlignment="1" applyBorder="1" applyFill="1" applyFont="1">
      <alignment shrinkToFit="0" vertical="center" wrapText="0"/>
    </xf>
    <xf borderId="30" fillId="2" fontId="40" numFmtId="169" xfId="0" applyAlignment="1" applyBorder="1" applyFill="1" applyFont="1" applyNumberFormat="1">
      <alignment horizontal="center" shrinkToFit="0" vertical="center" wrapText="0"/>
    </xf>
    <xf borderId="73" fillId="4" fontId="58" numFmtId="0" xfId="0" applyAlignment="1" applyBorder="1" applyFill="1" applyFont="1">
      <alignment shrinkToFit="0" vertical="bottom" wrapText="0"/>
    </xf>
    <xf borderId="30" fillId="2" fontId="40" numFmtId="169" xfId="0" applyAlignment="1" applyBorder="1" applyFill="1" applyFont="1" applyNumberFormat="1">
      <alignment shrinkToFit="0" vertical="bottom" wrapText="0"/>
    </xf>
    <xf borderId="68" fillId="2" fontId="37" numFmtId="0" xfId="0" applyAlignment="1" applyBorder="1" applyFill="1" applyFont="1">
      <alignment shrinkToFit="0" vertical="center" wrapText="1"/>
    </xf>
    <xf borderId="15" fillId="2" fontId="40" numFmtId="0" xfId="0" applyAlignment="1" applyBorder="1" applyFill="1" applyFont="1">
      <alignment horizontal="center" shrinkToFit="0" vertical="center" wrapText="0"/>
    </xf>
    <xf borderId="10" fillId="10" fontId="40" numFmtId="0" xfId="0" applyAlignment="1" applyBorder="1" applyFill="1" applyFont="1">
      <alignment horizontal="center" shrinkToFit="0" vertical="center" wrapText="0"/>
    </xf>
    <xf borderId="68" fillId="2" fontId="52" numFmtId="0" xfId="0" applyAlignment="1" applyBorder="1" applyFill="1" applyFont="1">
      <alignment horizontal="center" shrinkToFit="0" vertical="center" wrapText="1"/>
    </xf>
    <xf borderId="10" fillId="10" fontId="64" numFmtId="0" xfId="0" applyAlignment="1" applyBorder="1" applyFill="1" applyFont="1">
      <alignment shrinkToFit="0" vertical="center" wrapText="0"/>
    </xf>
    <xf borderId="10" fillId="2" fontId="26" numFmtId="0" xfId="0" applyAlignment="1" applyBorder="1" applyFill="1" applyFont="1">
      <alignment horizontal="center" shrinkToFit="0" vertical="center" wrapText="0"/>
    </xf>
    <xf borderId="10" fillId="2" fontId="40" numFmtId="0" xfId="0" applyAlignment="1" applyBorder="1" applyFill="1" applyFont="1">
      <alignment shrinkToFit="0" vertical="bottom" wrapText="1"/>
    </xf>
    <xf borderId="10" fillId="10" fontId="58" numFmtId="0" xfId="0" applyAlignment="1" applyBorder="1" applyFill="1" applyFont="1">
      <alignment shrinkToFit="0" vertical="center" wrapText="0"/>
    </xf>
    <xf borderId="10" fillId="2" fontId="26" numFmtId="4" xfId="0" applyAlignment="1" applyBorder="1" applyFill="1" applyFont="1" applyNumberFormat="1">
      <alignment horizontal="center" shrinkToFit="0" vertical="center" wrapText="0"/>
    </xf>
    <xf borderId="68" fillId="2" fontId="37" numFmtId="4" xfId="0" applyAlignment="1" applyBorder="1" applyFill="1" applyFont="1" applyNumberFormat="1">
      <alignment horizontal="center" shrinkToFit="0" vertical="center" wrapText="1"/>
    </xf>
    <xf borderId="10" fillId="10" fontId="58" numFmtId="169" xfId="0" applyAlignment="1" applyBorder="1" applyFill="1" applyFont="1" applyNumberFormat="1">
      <alignment shrinkToFit="0" vertical="center" wrapText="0"/>
    </xf>
    <xf borderId="10" fillId="2" fontId="40" numFmtId="2" xfId="0" applyAlignment="1" applyBorder="1" applyFill="1" applyFont="1" applyNumberFormat="1">
      <alignment shrinkToFit="0" vertical="center" wrapText="1"/>
    </xf>
    <xf borderId="10" fillId="14" fontId="15" numFmtId="0" xfId="0" applyAlignment="1" applyBorder="1" applyFill="1" applyFont="1">
      <alignment horizontal="center" shrinkToFit="0" vertical="center" wrapText="1"/>
    </xf>
    <xf borderId="26" fillId="2" fontId="37" numFmtId="0" xfId="0" applyAlignment="1" applyBorder="1" applyFill="1" applyFont="1">
      <alignment horizontal="center" shrinkToFit="0" vertical="center" wrapText="1"/>
    </xf>
    <xf borderId="10" fillId="10" fontId="58" numFmtId="0" xfId="0" applyAlignment="1" applyBorder="1" applyFill="1" applyFont="1">
      <alignment horizontal="center" shrinkToFit="0" vertical="center" wrapText="0"/>
    </xf>
    <xf borderId="10" fillId="2" fontId="58" numFmtId="178" xfId="0" applyAlignment="1" applyBorder="1" applyFill="1" applyFont="1" applyNumberFormat="1">
      <alignment horizontal="center" shrinkToFit="0" vertical="center" wrapText="1"/>
    </xf>
    <xf borderId="73" fillId="2" fontId="15" numFmtId="0" xfId="0" applyAlignment="1" applyBorder="1" applyFill="1" applyFont="1">
      <alignment horizontal="center" shrinkToFit="0" vertical="bottom" wrapText="0"/>
    </xf>
    <xf borderId="0" fillId="0" fontId="37" numFmtId="173" xfId="0" applyAlignment="1" applyFont="1" applyNumberFormat="1">
      <alignment horizontal="center" shrinkToFit="0" vertical="center" wrapText="1"/>
    </xf>
    <xf borderId="10" fillId="10" fontId="40" numFmtId="0" xfId="0" applyAlignment="1" applyBorder="1" applyFill="1" applyFont="1">
      <alignment horizontal="center" shrinkToFit="0" vertical="center" wrapText="1"/>
    </xf>
    <xf borderId="10" fillId="2" fontId="67" numFmtId="167" xfId="0" applyAlignment="1" applyBorder="1" applyFill="1" applyFont="1" applyNumberFormat="1">
      <alignment horizontal="center" shrinkToFit="0" vertical="center" wrapText="1"/>
    </xf>
    <xf borderId="10" fillId="2" fontId="15" numFmtId="0" xfId="0" applyAlignment="1" applyBorder="1" applyFill="1" applyFont="1">
      <alignment horizontal="center" shrinkToFit="0" vertical="center" wrapText="0"/>
    </xf>
    <xf borderId="10" fillId="10" fontId="58" numFmtId="0" xfId="0" applyAlignment="1" applyBorder="1" applyFill="1" applyFont="1">
      <alignment horizontal="center" shrinkToFit="0" vertical="bottom" wrapText="0"/>
    </xf>
    <xf borderId="68" fillId="6" fontId="37" numFmtId="167" xfId="0" applyAlignment="1" applyBorder="1" applyFill="1" applyFont="1" applyNumberFormat="1">
      <alignment horizontal="center" shrinkToFit="0" vertical="center" wrapText="1"/>
    </xf>
    <xf borderId="10" fillId="10" fontId="40" numFmtId="0" xfId="0" applyAlignment="1" applyBorder="1" applyFill="1" applyFont="1">
      <alignment horizontal="center" shrinkToFit="0" vertical="bottom" wrapText="0"/>
    </xf>
    <xf borderId="68" fillId="6" fontId="37" numFmtId="0" xfId="0" applyAlignment="1" applyBorder="1" applyFill="1" applyFont="1">
      <alignment shrinkToFit="0" vertical="center" wrapText="1"/>
    </xf>
    <xf borderId="101" fillId="2" fontId="40" numFmtId="0" xfId="0" applyAlignment="1" applyBorder="1" applyFill="1" applyFont="1">
      <alignment horizontal="center" shrinkToFit="0" vertical="center" wrapText="0"/>
    </xf>
    <xf borderId="10" fillId="10" fontId="40" numFmtId="0" xfId="0" applyAlignment="1" applyBorder="1" applyFill="1" applyFont="1">
      <alignment shrinkToFit="0" vertical="bottom" wrapText="0"/>
    </xf>
    <xf borderId="68" fillId="6" fontId="37" numFmtId="4" xfId="0" applyAlignment="1" applyBorder="1" applyFill="1" applyFont="1" applyNumberFormat="1">
      <alignment horizontal="center" shrinkToFit="0" vertical="center" wrapText="1"/>
    </xf>
    <xf borderId="10" fillId="2" fontId="58" numFmtId="1" xfId="0" applyAlignment="1" applyBorder="1" applyFill="1" applyFont="1" applyNumberFormat="1">
      <alignment horizontal="center" shrinkToFit="0" vertical="center" wrapText="0"/>
    </xf>
    <xf borderId="19" fillId="2" fontId="67" numFmtId="167" xfId="0" applyAlignment="1" applyBorder="1" applyFill="1" applyFont="1" applyNumberFormat="1">
      <alignment shrinkToFit="0" vertical="center" wrapText="1"/>
    </xf>
    <xf borderId="15" fillId="10" fontId="40" numFmtId="0" xfId="0" applyAlignment="1" applyBorder="1" applyFill="1" applyFont="1">
      <alignment shrinkToFit="0" vertical="bottom" wrapText="0"/>
    </xf>
    <xf borderId="68" fillId="6" fontId="72" numFmtId="0" xfId="0" applyAlignment="1" applyBorder="1" applyFill="1" applyFont="1">
      <alignment horizontal="center" shrinkToFit="0" vertical="center" wrapText="1"/>
    </xf>
    <xf borderId="10" fillId="2" fontId="58" numFmtId="169" xfId="0" applyAlignment="1" applyBorder="1" applyFill="1" applyFont="1" applyNumberFormat="1">
      <alignment shrinkToFit="0" vertical="center" wrapText="0"/>
    </xf>
    <xf borderId="19" fillId="2" fontId="40" numFmtId="0" xfId="0" applyAlignment="1" applyBorder="1" applyFill="1" applyFont="1">
      <alignment horizontal="center" shrinkToFit="0" vertical="center" wrapText="1"/>
    </xf>
    <xf borderId="9" fillId="10" fontId="40" numFmtId="0" xfId="0" applyAlignment="1" applyBorder="1" applyFill="1" applyFont="1">
      <alignment shrinkToFit="0" vertical="bottom" wrapText="0"/>
    </xf>
    <xf borderId="26" fillId="6" fontId="25" numFmtId="0" xfId="0" applyAlignment="1" applyBorder="1" applyFill="1" applyFont="1">
      <alignment shrinkToFit="0" vertical="center" wrapText="1"/>
    </xf>
    <xf borderId="10" fillId="2" fontId="40" numFmtId="1" xfId="0" applyAlignment="1" applyBorder="1" applyFill="1" applyFont="1" applyNumberFormat="1">
      <alignment horizontal="center" shrinkToFit="0" vertical="center" wrapText="0"/>
    </xf>
    <xf borderId="19" fillId="2" fontId="40" numFmtId="0" xfId="0" applyAlignment="1" applyBorder="1" applyFill="1" applyFont="1">
      <alignment shrinkToFit="0" vertical="center" wrapText="1"/>
    </xf>
    <xf borderId="68" fillId="2" fontId="25" numFmtId="167" xfId="0" applyAlignment="1" applyBorder="1" applyFill="1" applyFont="1" applyNumberFormat="1">
      <alignment horizontal="center" shrinkToFit="0" vertical="bottom" wrapText="1"/>
    </xf>
    <xf borderId="73" fillId="10" fontId="40" numFmtId="0" xfId="0" applyAlignment="1" applyBorder="1" applyFill="1" applyFont="1">
      <alignment shrinkToFit="0" vertical="bottom" wrapText="0"/>
    </xf>
    <xf borderId="10" fillId="2" fontId="67" numFmtId="49" xfId="0" applyAlignment="1" applyBorder="1" applyFill="1" applyFont="1" applyNumberFormat="1">
      <alignment shrinkToFit="0" vertical="center" wrapText="0"/>
    </xf>
    <xf borderId="19" fillId="2" fontId="40" numFmtId="0" xfId="0" applyAlignment="1" applyBorder="1" applyFill="1" applyFont="1">
      <alignment shrinkToFit="0" vertical="center" wrapText="0"/>
    </xf>
    <xf borderId="10" fillId="6" fontId="49" numFmtId="0" xfId="0" applyAlignment="1" applyBorder="1" applyFill="1" applyFont="1">
      <alignment shrinkToFit="0" vertical="center" wrapText="0"/>
    </xf>
    <xf borderId="19" fillId="2" fontId="40" numFmtId="169" xfId="0" applyAlignment="1" applyBorder="1" applyFill="1" applyFont="1" applyNumberFormat="1">
      <alignment shrinkToFit="0" vertical="center" wrapText="0"/>
    </xf>
    <xf borderId="10" fillId="4" fontId="58" numFmtId="1" xfId="0" applyAlignment="1" applyBorder="1" applyFill="1" applyFont="1" applyNumberFormat="1">
      <alignment horizontal="center" shrinkToFit="0" vertical="center" wrapText="0"/>
    </xf>
    <xf borderId="19" fillId="2" fontId="40" numFmtId="169" xfId="0" applyAlignment="1" applyBorder="1" applyFill="1" applyFont="1" applyNumberFormat="1">
      <alignment horizontal="center" shrinkToFit="0" vertical="center" wrapText="0"/>
    </xf>
    <xf borderId="68" fillId="2" fontId="37" numFmtId="167" xfId="0" applyAlignment="1" applyBorder="1" applyFill="1" applyFont="1" applyNumberFormat="1">
      <alignment horizontal="right" shrinkToFit="0" vertical="bottom" wrapText="1"/>
    </xf>
    <xf borderId="10" fillId="6" fontId="40" numFmtId="3" xfId="0" applyAlignment="1" applyBorder="1" applyFill="1" applyFont="1" applyNumberFormat="1">
      <alignment horizontal="center" shrinkToFit="0" vertical="center" wrapText="0"/>
    </xf>
    <xf borderId="68" fillId="2" fontId="37" numFmtId="4" xfId="0" applyAlignment="1" applyBorder="1" applyFill="1" applyFont="1" applyNumberFormat="1">
      <alignment horizontal="center" shrinkToFit="0" vertical="bottom" wrapText="1"/>
    </xf>
    <xf borderId="10" fillId="15" fontId="58" numFmtId="186" xfId="0" applyAlignment="1" applyBorder="1" applyFill="1" applyFont="1" applyNumberFormat="1">
      <alignment shrinkToFit="0" vertical="center" wrapText="0"/>
    </xf>
    <xf borderId="157" fillId="2" fontId="40" numFmtId="0" xfId="0" applyAlignment="1" applyBorder="1" applyFill="1" applyFont="1">
      <alignment horizontal="center" shrinkToFit="0" vertical="center" wrapText="1"/>
    </xf>
    <xf borderId="10" fillId="6" fontId="58" numFmtId="0" xfId="0" applyAlignment="1" applyBorder="1" applyFill="1" applyFont="1">
      <alignment shrinkToFit="0" vertical="center" wrapText="1"/>
    </xf>
    <xf borderId="30" fillId="6" fontId="58" numFmtId="0" xfId="0" applyAlignment="1" applyBorder="1" applyFill="1" applyFont="1">
      <alignment horizontal="center" shrinkToFit="0" vertical="bottom" wrapText="0"/>
    </xf>
    <xf borderId="68" fillId="2" fontId="37" numFmtId="0" xfId="0" applyAlignment="1" applyBorder="1" applyFill="1" applyFont="1">
      <alignment horizontal="center" shrinkToFit="0" vertical="bottom" wrapText="1"/>
    </xf>
    <xf borderId="157" fillId="2" fontId="40" numFmtId="0" xfId="0" applyAlignment="1" applyBorder="1" applyFill="1" applyFont="1">
      <alignment horizontal="center" shrinkToFit="0" vertical="bottom" wrapText="0"/>
    </xf>
    <xf borderId="73" fillId="6" fontId="40" numFmtId="173" xfId="0" applyAlignment="1" applyBorder="1" applyFill="1" applyFont="1" applyNumberFormat="1">
      <alignment horizontal="center" shrinkToFit="0" vertical="center" wrapText="1"/>
    </xf>
    <xf borderId="73" fillId="6" fontId="40" numFmtId="0" xfId="0" applyAlignment="1" applyBorder="1" applyFill="1" applyFont="1">
      <alignment shrinkToFit="0" vertical="bottom" wrapText="0"/>
    </xf>
    <xf borderId="15" fillId="2" fontId="40" numFmtId="0" xfId="0" applyAlignment="1" applyBorder="1" applyFill="1" applyFont="1">
      <alignment shrinkToFit="0" vertical="bottom" wrapText="0"/>
    </xf>
    <xf borderId="155" fillId="6" fontId="40" numFmtId="0" xfId="0" applyAlignment="1" applyBorder="1" applyFill="1" applyFont="1">
      <alignment shrinkToFit="0" vertical="bottom" wrapText="0"/>
    </xf>
    <xf borderId="10" fillId="2" fontId="58" numFmtId="3" xfId="0" applyAlignment="1" applyBorder="1" applyFill="1" applyFont="1" applyNumberFormat="1">
      <alignment horizontal="center" shrinkToFit="0" vertical="center" wrapText="0"/>
    </xf>
    <xf borderId="10" fillId="4" fontId="62" numFmtId="1" xfId="0" applyAlignment="1" applyBorder="1" applyFill="1" applyFont="1" applyNumberFormat="1">
      <alignment horizontal="center" shrinkToFit="0" vertical="center" wrapText="0"/>
    </xf>
    <xf borderId="68" fillId="0" fontId="37" numFmtId="0" xfId="0" applyAlignment="1" applyBorder="1" applyFont="1">
      <alignment shrinkToFit="0" vertical="center" wrapText="1"/>
    </xf>
    <xf borderId="9" fillId="6" fontId="40" numFmtId="0" xfId="0" applyAlignment="1" applyBorder="1" applyFill="1" applyFont="1">
      <alignment horizontal="center" shrinkToFit="0" vertical="bottom" wrapText="0"/>
    </xf>
    <xf borderId="10" fillId="4" fontId="74" numFmtId="167" xfId="0" applyAlignment="1" applyBorder="1" applyFill="1" applyFont="1" applyNumberFormat="1">
      <alignment shrinkToFit="0" vertical="center" wrapText="0"/>
    </xf>
    <xf borderId="15" fillId="2" fontId="67" numFmtId="0" xfId="0" applyAlignment="1" applyBorder="1" applyFill="1" applyFont="1">
      <alignment shrinkToFit="0" vertical="center" wrapText="0"/>
    </xf>
    <xf borderId="68" fillId="0" fontId="37" numFmtId="4" xfId="0" applyAlignment="1" applyBorder="1" applyFont="1" applyNumberFormat="1">
      <alignment horizontal="center" shrinkToFit="0" vertical="bottom" wrapText="1"/>
    </xf>
    <xf borderId="15" fillId="2" fontId="40" numFmtId="2" xfId="0" applyAlignment="1" applyBorder="1" applyFill="1" applyFont="1" applyNumberFormat="1">
      <alignment shrinkToFit="0" vertical="center" wrapText="0"/>
    </xf>
    <xf borderId="30" fillId="6" fontId="40" numFmtId="0" xfId="0" applyAlignment="1" applyBorder="1" applyFill="1" applyFont="1">
      <alignment horizontal="center" shrinkToFit="0" vertical="bottom" wrapText="1"/>
    </xf>
    <xf borderId="10" fillId="4" fontId="62" numFmtId="167" xfId="0" applyAlignment="1" applyBorder="1" applyFill="1" applyFont="1" applyNumberFormat="1">
      <alignment shrinkToFit="0" vertical="center" wrapText="0"/>
    </xf>
    <xf borderId="15" fillId="2" fontId="58" numFmtId="3" xfId="0" applyAlignment="1" applyBorder="1" applyFill="1" applyFont="1" applyNumberFormat="1">
      <alignment horizontal="center" shrinkToFit="0" vertical="center" wrapText="0"/>
    </xf>
    <xf borderId="68" fillId="4" fontId="52" numFmtId="3" xfId="0" applyAlignment="1" applyBorder="1" applyFill="1" applyFont="1" applyNumberFormat="1">
      <alignment horizontal="center" shrinkToFit="0" vertical="center" wrapText="1"/>
    </xf>
    <xf borderId="99" fillId="6" fontId="40" numFmtId="0" xfId="0" applyAlignment="1" applyBorder="1" applyFill="1" applyFont="1">
      <alignment shrinkToFit="0" vertical="bottom" wrapText="0"/>
    </xf>
    <xf borderId="15" fillId="2" fontId="58" numFmtId="0" xfId="0" applyAlignment="1" applyBorder="1" applyFill="1" applyFont="1">
      <alignment horizontal="center" shrinkToFit="0" vertical="bottom" wrapText="0"/>
    </xf>
    <xf borderId="68" fillId="4" fontId="52" numFmtId="3" xfId="0" applyAlignment="1" applyBorder="1" applyFill="1" applyFont="1" applyNumberFormat="1">
      <alignment horizontal="center" shrinkToFit="0" vertical="bottom" wrapText="1"/>
    </xf>
    <xf borderId="15" fillId="6" fontId="40" numFmtId="0" xfId="0" applyAlignment="1" applyBorder="1" applyFill="1" applyFont="1">
      <alignment shrinkToFit="0" vertical="bottom" wrapText="1"/>
    </xf>
    <xf borderId="10" fillId="4" fontId="62" numFmtId="169" xfId="0" applyAlignment="1" applyBorder="1" applyFill="1" applyFont="1" applyNumberFormat="1">
      <alignment shrinkToFit="0" vertical="center" wrapText="0"/>
    </xf>
    <xf borderId="10" fillId="6" fontId="76" numFmtId="0" xfId="0" applyAlignment="1" applyBorder="1" applyFill="1" applyFont="1">
      <alignment shrinkToFit="0" vertical="center" wrapText="1"/>
    </xf>
    <xf borderId="15" fillId="2" fontId="40" numFmtId="0" xfId="0" applyAlignment="1" applyBorder="1" applyFill="1" applyFont="1">
      <alignment horizontal="center" shrinkToFit="0" vertical="bottom" wrapText="0"/>
    </xf>
    <xf borderId="26" fillId="17" fontId="37" numFmtId="0" xfId="0" applyAlignment="1" applyBorder="1" applyFill="1" applyFont="1">
      <alignment horizontal="center" shrinkToFit="0" vertical="bottom" wrapText="1"/>
    </xf>
    <xf borderId="10" fillId="4" fontId="50" numFmtId="0" xfId="0" applyAlignment="1" applyBorder="1" applyFill="1" applyFont="1">
      <alignment horizontal="center" shrinkToFit="0" vertical="center" wrapText="1"/>
    </xf>
    <xf borderId="156" fillId="6" fontId="40" numFmtId="0" xfId="0" applyAlignment="1" applyBorder="1" applyFill="1" applyFont="1">
      <alignment shrinkToFit="0" vertical="bottom" wrapText="0"/>
    </xf>
    <xf borderId="78" fillId="2" fontId="40" numFmtId="173" xfId="0" applyAlignment="1" applyBorder="1" applyFill="1" applyFont="1" applyNumberFormat="1">
      <alignment horizontal="center" shrinkToFit="0" vertical="center" wrapText="0"/>
    </xf>
    <xf borderId="68" fillId="2" fontId="26" numFmtId="0" xfId="0" applyAlignment="1" applyBorder="1" applyFill="1" applyFont="1">
      <alignment shrinkToFit="0" vertical="bottom" wrapText="0"/>
    </xf>
    <xf borderId="159" fillId="5" fontId="40" numFmtId="0" xfId="0" applyAlignment="1" applyBorder="1" applyFill="1" applyFont="1">
      <alignment horizontal="center" shrinkToFit="0" vertical="center" wrapText="0"/>
    </xf>
    <xf borderId="19" fillId="6" fontId="40" numFmtId="0" xfId="0" applyAlignment="1" applyBorder="1" applyFill="1" applyFont="1">
      <alignment shrinkToFit="0" vertical="bottom" wrapText="1"/>
    </xf>
    <xf borderId="68" fillId="10" fontId="37" numFmtId="0" xfId="0" applyAlignment="1" applyBorder="1" applyFill="1" applyFont="1">
      <alignment horizontal="center" shrinkToFit="0" vertical="center" wrapText="1"/>
    </xf>
    <xf borderId="15" fillId="2" fontId="40" numFmtId="3" xfId="0" applyAlignment="1" applyBorder="1" applyFill="1" applyFont="1" applyNumberFormat="1">
      <alignment shrinkToFit="0" vertical="center" wrapText="0"/>
    </xf>
    <xf borderId="30" fillId="5" fontId="58" numFmtId="0" xfId="0" applyAlignment="1" applyBorder="1" applyFill="1" applyFont="1">
      <alignment horizontal="center" shrinkToFit="0" vertical="center" wrapText="0"/>
    </xf>
    <xf borderId="68" fillId="2" fontId="37" numFmtId="3" xfId="0" applyAlignment="1" applyBorder="1" applyFill="1" applyFont="1" applyNumberFormat="1">
      <alignment horizontal="center" shrinkToFit="0" vertical="center" wrapText="1"/>
    </xf>
    <xf borderId="119" fillId="0" fontId="40" numFmtId="0" xfId="0" applyAlignment="1" applyBorder="1" applyFont="1">
      <alignment shrinkToFit="0" vertical="bottom" wrapText="1"/>
    </xf>
    <xf borderId="30" fillId="5" fontId="40" numFmtId="0" xfId="0" applyAlignment="1" applyBorder="1" applyFill="1" applyFont="1">
      <alignment horizontal="center" shrinkToFit="0" vertical="center" wrapText="1"/>
    </xf>
    <xf borderId="68" fillId="2" fontId="37" numFmtId="167" xfId="0" applyAlignment="1" applyBorder="1" applyFill="1" applyFont="1" applyNumberFormat="1">
      <alignment horizontal="center" shrinkToFit="0" vertical="bottom" wrapText="1"/>
    </xf>
    <xf borderId="8" fillId="0" fontId="40" numFmtId="0" xfId="0" applyAlignment="1" applyBorder="1" applyFont="1">
      <alignment shrinkToFit="0" vertical="bottom" wrapText="1"/>
    </xf>
    <xf borderId="10" fillId="0" fontId="40" numFmtId="3" xfId="0" applyAlignment="1" applyBorder="1" applyFont="1" applyNumberFormat="1">
      <alignment horizontal="center" shrinkToFit="0" vertical="center" wrapText="0"/>
    </xf>
    <xf borderId="160" fillId="0" fontId="40" numFmtId="0" xfId="0" applyAlignment="1" applyBorder="1" applyFont="1">
      <alignment horizontal="center" shrinkToFit="0" vertical="center" wrapText="0"/>
    </xf>
    <xf borderId="119" fillId="0" fontId="67" numFmtId="0" xfId="0" applyAlignment="1" applyBorder="1" applyFont="1">
      <alignment shrinkToFit="0" vertical="center" wrapText="0"/>
    </xf>
    <xf borderId="14" fillId="0" fontId="40" numFmtId="0" xfId="0" applyAlignment="1" applyBorder="1" applyFont="1">
      <alignment shrinkToFit="0" vertical="center" wrapText="1"/>
    </xf>
    <xf borderId="10" fillId="2" fontId="37" numFmtId="167" xfId="0" applyAlignment="1" applyBorder="1" applyFill="1" applyFont="1" applyNumberFormat="1">
      <alignment horizontal="center" shrinkToFit="0" vertical="center" wrapText="1"/>
    </xf>
    <xf borderId="68" fillId="2" fontId="37" numFmtId="3" xfId="0" applyAlignment="1" applyBorder="1" applyFill="1" applyFont="1" applyNumberFormat="1">
      <alignment horizontal="center" shrinkToFit="0" vertical="bottom" wrapText="1"/>
    </xf>
    <xf borderId="20" fillId="2" fontId="40" numFmtId="0" xfId="0" applyAlignment="1" applyBorder="1" applyFill="1" applyFont="1">
      <alignment horizontal="center" shrinkToFit="0" vertical="center" wrapText="0"/>
    </xf>
    <xf borderId="12" fillId="0" fontId="40" numFmtId="0" xfId="0" applyAlignment="1" applyBorder="1" applyFont="1">
      <alignment shrinkToFit="0" vertical="bottom" wrapText="0"/>
    </xf>
    <xf borderId="20" fillId="2" fontId="67" numFmtId="0" xfId="0" applyAlignment="1" applyBorder="1" applyFill="1" applyFont="1">
      <alignment shrinkToFit="0" vertical="center" wrapText="0"/>
    </xf>
    <xf borderId="20" fillId="2" fontId="40" numFmtId="0" xfId="0" applyAlignment="1" applyBorder="1" applyFill="1" applyFont="1">
      <alignment shrinkToFit="0" vertical="center" wrapText="1"/>
    </xf>
    <xf borderId="10" fillId="0" fontId="25" numFmtId="0" xfId="0" applyAlignment="1" applyBorder="1" applyFont="1">
      <alignment readingOrder="0" shrinkToFit="0" vertical="bottom" wrapText="1"/>
    </xf>
    <xf borderId="119" fillId="0" fontId="40" numFmtId="0" xfId="0" applyAlignment="1" applyBorder="1" applyFont="1">
      <alignment horizontal="center" shrinkToFit="0" vertical="center" wrapText="1"/>
    </xf>
    <xf borderId="20" fillId="2" fontId="40" numFmtId="0" xfId="0" applyAlignment="1" applyBorder="1" applyFill="1" applyFont="1">
      <alignment horizontal="left" shrinkToFit="0" vertical="center" wrapText="1"/>
    </xf>
    <xf borderId="20" fillId="2" fontId="40" numFmtId="169" xfId="0" applyAlignment="1" applyBorder="1" applyFill="1" applyFont="1" applyNumberFormat="1">
      <alignment shrinkToFit="0" vertical="center" wrapText="0"/>
    </xf>
    <xf borderId="161" fillId="0" fontId="40" numFmtId="0" xfId="0" applyAlignment="1" applyBorder="1" applyFont="1">
      <alignment horizontal="center" shrinkToFit="0" vertical="center" wrapText="0"/>
    </xf>
    <xf borderId="9" fillId="0" fontId="26" numFmtId="0" xfId="0" applyAlignment="1" applyBorder="1" applyFont="1">
      <alignment shrinkToFit="0" vertical="bottom" wrapText="0"/>
    </xf>
    <xf borderId="68" fillId="2" fontId="37" numFmtId="167" xfId="0" applyAlignment="1" applyBorder="1" applyFill="1" applyFont="1" applyNumberFormat="1">
      <alignment horizontal="right" shrinkToFit="0" vertical="center" wrapText="1"/>
    </xf>
    <xf borderId="20" fillId="2" fontId="40" numFmtId="4" xfId="0" applyAlignment="1" applyBorder="1" applyFill="1" applyFont="1" applyNumberFormat="1">
      <alignment shrinkToFit="0" vertical="center" wrapText="0"/>
    </xf>
    <xf borderId="12" fillId="0" fontId="67" numFmtId="0" xfId="0" applyAlignment="1" applyBorder="1" applyFont="1">
      <alignment shrinkToFit="0" vertical="center" wrapText="0"/>
    </xf>
    <xf borderId="20" fillId="2" fontId="58" numFmtId="3" xfId="0" applyAlignment="1" applyBorder="1" applyFill="1" applyFont="1" applyNumberFormat="1">
      <alignment horizontal="center" shrinkToFit="0" vertical="center" wrapText="0"/>
    </xf>
    <xf borderId="20" fillId="2" fontId="40" numFmtId="0" xfId="0" applyAlignment="1" applyBorder="1" applyFill="1" applyFont="1">
      <alignment shrinkToFit="0" vertical="bottom" wrapText="0"/>
    </xf>
    <xf borderId="10" fillId="0" fontId="40" numFmtId="0" xfId="0" applyAlignment="1" applyBorder="1" applyFont="1">
      <alignment horizontal="left" shrinkToFit="0" vertical="top" wrapText="0"/>
    </xf>
    <xf borderId="20" fillId="2" fontId="37" numFmtId="0" xfId="0" applyAlignment="1" applyBorder="1" applyFill="1" applyFont="1">
      <alignment horizontal="center" shrinkToFit="0" vertical="center" wrapText="1"/>
    </xf>
    <xf borderId="162" fillId="6" fontId="40" numFmtId="0" xfId="0" applyAlignment="1" applyBorder="1" applyFill="1" applyFont="1">
      <alignment horizontal="center" shrinkToFit="0" vertical="center" wrapText="0"/>
    </xf>
    <xf borderId="10" fillId="2" fontId="40" numFmtId="3" xfId="0" applyAlignment="1" applyBorder="1" applyFill="1" applyFont="1" applyNumberFormat="1">
      <alignment horizontal="center" shrinkToFit="0" vertical="center" wrapText="0"/>
    </xf>
    <xf borderId="20" fillId="2" fontId="58" numFmtId="0" xfId="0" applyAlignment="1" applyBorder="1" applyFill="1" applyFont="1">
      <alignment horizontal="center" shrinkToFit="0" vertical="bottom" wrapText="0"/>
    </xf>
    <xf borderId="156" fillId="6" fontId="67" numFmtId="0" xfId="0" applyAlignment="1" applyBorder="1" applyFill="1" applyFont="1">
      <alignment shrinkToFit="0" vertical="center" wrapText="0"/>
    </xf>
    <xf borderId="68" fillId="2" fontId="25" numFmtId="0" xfId="0" applyAlignment="1" applyBorder="1" applyFill="1" applyFont="1">
      <alignment horizontal="right" shrinkToFit="0" vertical="bottom" wrapText="1"/>
    </xf>
    <xf borderId="79" fillId="2" fontId="40" numFmtId="0" xfId="0" applyAlignment="1" applyBorder="1" applyFill="1" applyFont="1">
      <alignment horizontal="center" shrinkToFit="0" vertical="center" wrapText="0"/>
    </xf>
    <xf borderId="19" fillId="6" fontId="40" numFmtId="0" xfId="0" applyAlignment="1" applyBorder="1" applyFill="1" applyFont="1">
      <alignment shrinkToFit="0" vertical="center" wrapText="1"/>
    </xf>
    <xf borderId="10" fillId="4" fontId="58" numFmtId="0" xfId="0" applyAlignment="1" applyBorder="1" applyFill="1" applyFont="1">
      <alignment horizontal="center" shrinkToFit="0" vertical="center" wrapText="0"/>
    </xf>
    <xf borderId="68" fillId="2" fontId="72" numFmtId="4" xfId="0" applyAlignment="1" applyBorder="1" applyFill="1" applyFont="1" applyNumberFormat="1">
      <alignment horizontal="center" shrinkToFit="0" vertical="center" wrapText="1"/>
    </xf>
    <xf borderId="20" fillId="6" fontId="40" numFmtId="0" xfId="0" applyAlignment="1" applyBorder="1" applyFill="1" applyFont="1">
      <alignment shrinkToFit="0" vertical="center" wrapText="1"/>
    </xf>
    <xf borderId="20" fillId="2" fontId="58" numFmtId="3" xfId="0" applyAlignment="1" applyBorder="1" applyFill="1" applyFont="1" applyNumberFormat="1">
      <alignment horizontal="center" shrinkToFit="0" vertical="center" wrapText="1"/>
    </xf>
    <xf borderId="10" fillId="4" fontId="64" numFmtId="0" xfId="0" applyAlignment="1" applyBorder="1" applyFill="1" applyFont="1">
      <alignment shrinkToFit="0" vertical="center" wrapText="0"/>
    </xf>
    <xf borderId="20" fillId="6" fontId="40" numFmtId="0" xfId="0" applyAlignment="1" applyBorder="1" applyFill="1" applyFont="1">
      <alignment horizontal="left" shrinkToFit="0" vertical="top" wrapText="0"/>
    </xf>
    <xf borderId="68" fillId="2" fontId="9" numFmtId="0" xfId="0" applyAlignment="1" applyBorder="1" applyFill="1" applyFont="1">
      <alignment horizontal="center" shrinkToFit="0" vertical="bottom" wrapText="1"/>
    </xf>
    <xf borderId="20" fillId="6" fontId="67" numFmtId="0" xfId="0" applyAlignment="1" applyBorder="1" applyFill="1" applyFont="1">
      <alignment shrinkToFit="0" vertical="center" wrapText="0"/>
    </xf>
    <xf borderId="10" fillId="4" fontId="58" numFmtId="0" xfId="0" applyAlignment="1" applyBorder="1" applyFill="1" applyFont="1">
      <alignment shrinkToFit="0" vertical="center" wrapText="1"/>
    </xf>
    <xf borderId="20" fillId="6" fontId="40" numFmtId="0" xfId="0" applyAlignment="1" applyBorder="1" applyFill="1" applyFont="1">
      <alignment shrinkToFit="0" vertical="center" wrapText="0"/>
    </xf>
    <xf borderId="68" fillId="2" fontId="37" numFmtId="4" xfId="0" applyAlignment="1" applyBorder="1" applyFill="1" applyFont="1" applyNumberFormat="1">
      <alignment horizontal="right" shrinkToFit="0" vertical="center" wrapText="1"/>
    </xf>
    <xf borderId="10" fillId="4" fontId="58" numFmtId="3" xfId="0" applyAlignment="1" applyBorder="1" applyFill="1" applyFont="1" applyNumberFormat="1">
      <alignment horizontal="center" shrinkToFit="0" vertical="center" wrapText="0"/>
    </xf>
    <xf borderId="20" fillId="6" fontId="40" numFmtId="0" xfId="0" applyAlignment="1" applyBorder="1" applyFill="1" applyFont="1">
      <alignment horizontal="left" shrinkToFit="0" vertical="center" wrapText="1"/>
    </xf>
    <xf borderId="20" fillId="6" fontId="40" numFmtId="168" xfId="0" applyAlignment="1" applyBorder="1" applyFill="1" applyFont="1" applyNumberFormat="1">
      <alignment shrinkToFit="0" vertical="center" wrapText="0"/>
    </xf>
    <xf borderId="68" fillId="2" fontId="37" numFmtId="0" xfId="0" applyAlignment="1" applyBorder="1" applyFill="1" applyFont="1">
      <alignment horizontal="right" shrinkToFit="0" vertical="center" wrapText="1"/>
    </xf>
    <xf borderId="10" fillId="4" fontId="58" numFmtId="0" xfId="0" applyAlignment="1" applyBorder="1" applyFill="1" applyFont="1">
      <alignment horizontal="center" shrinkToFit="0" vertical="bottom" wrapText="0"/>
    </xf>
    <xf borderId="20" fillId="6" fontId="40" numFmtId="169" xfId="0" applyAlignment="1" applyBorder="1" applyFill="1" applyFont="1" applyNumberFormat="1">
      <alignment shrinkToFit="0" vertical="center" wrapText="0"/>
    </xf>
    <xf borderId="10" fillId="4" fontId="58" numFmtId="0" xfId="0" applyAlignment="1" applyBorder="1" applyFill="1" applyFont="1">
      <alignment shrinkToFit="0" vertical="bottom" wrapText="1"/>
    </xf>
    <xf borderId="26" fillId="19" fontId="37" numFmtId="0" xfId="0" applyAlignment="1" applyBorder="1" applyFill="1" applyFont="1">
      <alignment horizontal="center" shrinkToFit="0" vertical="bottom" wrapText="1"/>
    </xf>
    <xf borderId="20" fillId="6" fontId="40" numFmtId="4" xfId="0" applyAlignment="1" applyBorder="1" applyFill="1" applyFont="1" applyNumberFormat="1">
      <alignment shrinkToFit="0" vertical="center" wrapText="0"/>
    </xf>
    <xf borderId="20" fillId="6" fontId="58" numFmtId="3" xfId="0" applyAlignment="1" applyBorder="1" applyFill="1" applyFont="1" applyNumberFormat="1">
      <alignment horizontal="center" shrinkToFit="0" vertical="center" wrapText="1"/>
    </xf>
    <xf borderId="99" fillId="4" fontId="58" numFmtId="0" xfId="0" applyAlignment="1" applyBorder="1" applyFill="1" applyFont="1">
      <alignment shrinkToFit="0" vertical="bottom" wrapText="0"/>
    </xf>
    <xf borderId="68" fillId="19" fontId="25" numFmtId="0" xfId="0" applyAlignment="1" applyBorder="1" applyFill="1" applyFont="1">
      <alignment shrinkToFit="0" vertical="center" wrapText="1"/>
    </xf>
    <xf borderId="20" fillId="6" fontId="40" numFmtId="3" xfId="0" applyAlignment="1" applyBorder="1" applyFill="1" applyFont="1" applyNumberFormat="1">
      <alignment horizontal="center" shrinkToFit="0" vertical="center" wrapText="0"/>
    </xf>
    <xf borderId="20" fillId="6" fontId="37" numFmtId="0" xfId="0" applyAlignment="1" applyBorder="1" applyFill="1" applyFont="1">
      <alignment horizontal="center" shrinkToFit="0" vertical="center" wrapText="1"/>
    </xf>
    <xf borderId="10" fillId="4" fontId="40" numFmtId="0" xfId="0" applyAlignment="1" applyBorder="1" applyFill="1" applyFont="1">
      <alignment shrinkToFit="0" vertical="bottom" wrapText="0"/>
    </xf>
    <xf borderId="68" fillId="2" fontId="52" numFmtId="3" xfId="0" applyAlignment="1" applyBorder="1" applyFill="1" applyFont="1" applyNumberFormat="1">
      <alignment horizontal="center" shrinkToFit="0" vertical="center" wrapText="1"/>
    </xf>
    <xf borderId="79" fillId="6" fontId="40" numFmtId="0" xfId="0" applyAlignment="1" applyBorder="1" applyFill="1" applyFont="1">
      <alignment horizontal="center" shrinkToFit="0" vertical="bottom" wrapText="0"/>
    </xf>
    <xf borderId="20" fillId="6" fontId="58" numFmtId="0" xfId="0" applyAlignment="1" applyBorder="1" applyFill="1" applyFont="1">
      <alignment horizontal="center" shrinkToFit="0" vertical="bottom" wrapText="0"/>
    </xf>
    <xf borderId="161" fillId="2" fontId="40" numFmtId="0" xfId="0" applyAlignment="1" applyBorder="1" applyFill="1" applyFont="1">
      <alignment horizontal="center" shrinkToFit="0" vertical="center" wrapText="0"/>
    </xf>
    <xf borderId="93" fillId="2" fontId="67" numFmtId="0" xfId="0" applyAlignment="1" applyBorder="1" applyFill="1" applyFont="1">
      <alignment shrinkToFit="0" vertical="center" wrapText="0"/>
    </xf>
    <xf borderId="68" fillId="6" fontId="52" numFmtId="0" xfId="0" applyAlignment="1" applyBorder="1" applyFill="1" applyFont="1">
      <alignment horizontal="center" shrinkToFit="0" vertical="center" wrapText="1"/>
    </xf>
    <xf borderId="79" fillId="6" fontId="40" numFmtId="0" xfId="0" applyAlignment="1" applyBorder="1" applyFill="1" applyFont="1">
      <alignment horizontal="center" shrinkToFit="0" vertical="center" wrapText="0"/>
    </xf>
    <xf borderId="10" fillId="2" fontId="40" numFmtId="0" xfId="0" applyAlignment="1" applyBorder="1" applyFill="1" applyFont="1">
      <alignment horizontal="left" shrinkToFit="0" vertical="top" wrapText="0"/>
    </xf>
    <xf borderId="68" fillId="6" fontId="52" numFmtId="3" xfId="0" applyAlignment="1" applyBorder="1" applyFill="1" applyFont="1" applyNumberFormat="1">
      <alignment horizontal="center" shrinkToFit="0" vertical="center" wrapText="1"/>
    </xf>
    <xf borderId="10" fillId="2" fontId="40" numFmtId="0" xfId="0" applyAlignment="1" applyBorder="1" applyFill="1" applyFont="1">
      <alignment horizontal="center" readingOrder="0" shrinkToFit="0" vertical="center" wrapText="0"/>
    </xf>
    <xf borderId="10" fillId="2" fontId="40" numFmtId="168" xfId="0" applyAlignment="1" applyBorder="1" applyFill="1" applyFont="1" applyNumberFormat="1">
      <alignment shrinkToFit="0" vertical="center" wrapText="0"/>
    </xf>
    <xf borderId="10" fillId="4" fontId="40" numFmtId="167" xfId="0" applyAlignment="1" applyBorder="1" applyFill="1" applyFont="1" applyNumberFormat="1">
      <alignment shrinkToFit="0" vertical="center" wrapText="0"/>
    </xf>
    <xf borderId="10" fillId="2" fontId="67" numFmtId="0" xfId="0" applyAlignment="1" applyBorder="1" applyFill="1" applyFont="1">
      <alignment shrinkToFit="0" vertical="bottom" wrapText="1"/>
    </xf>
    <xf borderId="30" fillId="6" fontId="26" numFmtId="0" xfId="0" applyAlignment="1" applyBorder="1" applyFill="1" applyFont="1">
      <alignment horizontal="center" shrinkToFit="0" vertical="center" wrapText="0"/>
    </xf>
    <xf borderId="163" fillId="2" fontId="40" numFmtId="0" xfId="0" applyAlignment="1" applyBorder="1" applyFill="1" applyFont="1">
      <alignment horizontal="center" shrinkToFit="0" vertical="center" wrapText="0"/>
    </xf>
    <xf borderId="15" fillId="2" fontId="40" numFmtId="0" xfId="0" applyAlignment="1" applyBorder="1" applyFill="1" applyFont="1">
      <alignment horizontal="left" shrinkToFit="0" vertical="top" wrapText="0"/>
    </xf>
    <xf borderId="10" fillId="4" fontId="58" numFmtId="169" xfId="0" applyAlignment="1" applyBorder="1" applyFill="1" applyFont="1" applyNumberFormat="1">
      <alignment horizontal="center" shrinkToFit="0" vertical="center" wrapText="0"/>
    </xf>
    <xf borderId="10" fillId="4" fontId="40" numFmtId="0" xfId="0" applyAlignment="1" applyBorder="1" applyFill="1" applyFont="1">
      <alignment shrinkToFit="0" vertical="center" wrapText="1"/>
    </xf>
    <xf borderId="15" fillId="2" fontId="40" numFmtId="168" xfId="0" applyAlignment="1" applyBorder="1" applyFill="1" applyFont="1" applyNumberFormat="1">
      <alignment shrinkToFit="0" vertical="center" wrapText="0"/>
    </xf>
    <xf borderId="10" fillId="4" fontId="58" numFmtId="0" xfId="0" applyAlignment="1" applyBorder="1" applyFill="1" applyFont="1">
      <alignment horizontal="right" shrinkToFit="0" vertical="center" wrapText="0"/>
    </xf>
    <xf borderId="10" fillId="2" fontId="25" numFmtId="0" xfId="0" applyAlignment="1" applyBorder="1" applyFill="1" applyFont="1">
      <alignment shrinkToFit="0" vertical="center" wrapText="1"/>
    </xf>
    <xf borderId="10" fillId="4" fontId="40" numFmtId="169" xfId="0" applyAlignment="1" applyBorder="1" applyFill="1" applyFont="1" applyNumberFormat="1">
      <alignment shrinkToFit="0" vertical="center" wrapText="0"/>
    </xf>
    <xf borderId="15" fillId="2" fontId="40" numFmtId="4" xfId="0" applyAlignment="1" applyBorder="1" applyFill="1" applyFont="1" applyNumberFormat="1">
      <alignment shrinkToFit="0" vertical="center" wrapText="0"/>
    </xf>
    <xf borderId="10" fillId="4" fontId="40" numFmtId="167" xfId="0" applyAlignment="1" applyBorder="1" applyFill="1" applyFont="1" applyNumberFormat="1">
      <alignment horizontal="right" shrinkToFit="0" vertical="center" wrapText="0"/>
    </xf>
    <xf borderId="68" fillId="0" fontId="37" numFmtId="167" xfId="0" applyAlignment="1" applyBorder="1" applyFont="1" applyNumberFormat="1">
      <alignment horizontal="center" shrinkToFit="0" vertical="center" wrapText="1"/>
    </xf>
    <xf borderId="10" fillId="4" fontId="40" numFmtId="4" xfId="0" applyAlignment="1" applyBorder="1" applyFill="1" applyFont="1" applyNumberFormat="1">
      <alignment shrinkToFit="0" vertical="center" wrapText="0"/>
    </xf>
    <xf borderId="10" fillId="15" fontId="58" numFmtId="1" xfId="0" applyAlignment="1" applyBorder="1" applyFill="1" applyFont="1" applyNumberFormat="1">
      <alignment horizontal="center" shrinkToFit="0" vertical="center" wrapText="0"/>
    </xf>
    <xf borderId="10" fillId="4" fontId="40" numFmtId="0" xfId="0" applyAlignment="1" applyBorder="1" applyFill="1" applyFont="1">
      <alignment horizontal="center" shrinkToFit="0" vertical="bottom" wrapText="0"/>
    </xf>
    <xf borderId="15" fillId="2" fontId="40" numFmtId="3" xfId="0" applyAlignment="1" applyBorder="1" applyFill="1" applyFont="1" applyNumberFormat="1">
      <alignment horizontal="center" shrinkToFit="0" vertical="center" wrapText="0"/>
    </xf>
    <xf borderId="68" fillId="0" fontId="37" numFmtId="3" xfId="0" applyAlignment="1" applyBorder="1" applyFont="1" applyNumberFormat="1">
      <alignment horizontal="center" shrinkToFit="0" vertical="center" wrapText="1"/>
    </xf>
    <xf borderId="10" fillId="15" fontId="58" numFmtId="167" xfId="0" applyAlignment="1" applyBorder="1" applyFill="1" applyFont="1" applyNumberFormat="1">
      <alignment shrinkToFit="0" vertical="center" wrapText="0"/>
    </xf>
    <xf borderId="10" fillId="4" fontId="40" numFmtId="167" xfId="0" applyAlignment="1" applyBorder="1" applyFill="1" applyFont="1" applyNumberFormat="1">
      <alignment shrinkToFit="0" vertical="bottom" wrapText="0"/>
    </xf>
    <xf borderId="15" fillId="2" fontId="67" numFmtId="0" xfId="0" applyAlignment="1" applyBorder="1" applyFill="1" applyFont="1">
      <alignment shrinkToFit="0" vertical="top" wrapText="1"/>
    </xf>
    <xf borderId="68" fillId="0" fontId="70" numFmtId="0" xfId="0" applyAlignment="1" applyBorder="1" applyFont="1">
      <alignment horizontal="center" shrinkToFit="0" vertical="center" wrapText="1"/>
    </xf>
    <xf borderId="10" fillId="15" fontId="40" numFmtId="167" xfId="0" applyAlignment="1" applyBorder="1" applyFill="1" applyFont="1" applyNumberFormat="1">
      <alignment shrinkToFit="0" vertical="center" wrapText="0"/>
    </xf>
    <xf borderId="73" fillId="4" fontId="40" numFmtId="0" xfId="0" applyAlignment="1" applyBorder="1" applyFill="1" applyFont="1">
      <alignment shrinkToFit="0" vertical="bottom" wrapText="0"/>
    </xf>
    <xf borderId="10" fillId="2" fontId="76" numFmtId="0" xfId="0" applyAlignment="1" applyBorder="1" applyFill="1" applyFont="1">
      <alignment horizontal="center" shrinkToFit="0" vertical="center" wrapText="1"/>
    </xf>
    <xf borderId="68" fillId="0" fontId="37" numFmtId="167" xfId="0" applyAlignment="1" applyBorder="1" applyFont="1" applyNumberFormat="1">
      <alignment horizontal="center" shrinkToFit="0" vertical="bottom" wrapText="1"/>
    </xf>
    <xf borderId="10" fillId="15" fontId="40" numFmtId="169" xfId="0" applyAlignment="1" applyBorder="1" applyFill="1" applyFont="1" applyNumberFormat="1">
      <alignment shrinkToFit="0" vertical="center" wrapText="0"/>
    </xf>
    <xf borderId="99" fillId="4" fontId="40" numFmtId="0" xfId="0" applyAlignment="1" applyBorder="1" applyFill="1" applyFont="1">
      <alignment shrinkToFit="0" vertical="bottom" wrapText="0"/>
    </xf>
    <xf borderId="68" fillId="0" fontId="52" numFmtId="0" xfId="0" applyAlignment="1" applyBorder="1" applyFont="1">
      <alignment horizontal="center" shrinkToFit="0" vertical="center" wrapText="1"/>
    </xf>
    <xf borderId="10" fillId="2" fontId="67" numFmtId="0" xfId="0" applyAlignment="1" applyBorder="1" applyFill="1" applyFont="1">
      <alignment shrinkToFit="0" vertical="top" wrapText="1"/>
    </xf>
    <xf borderId="10" fillId="15" fontId="40" numFmtId="2" xfId="0" applyAlignment="1" applyBorder="1" applyFill="1" applyFont="1" applyNumberFormat="1">
      <alignment shrinkToFit="0" vertical="center" wrapText="0"/>
    </xf>
    <xf borderId="10" fillId="5" fontId="58" numFmtId="0" xfId="0" applyAlignment="1" applyBorder="1" applyFill="1" applyFont="1">
      <alignment shrinkToFit="0" vertical="center" wrapText="0"/>
    </xf>
    <xf borderId="0" fillId="0" fontId="37" numFmtId="0" xfId="0" applyAlignment="1" applyFont="1">
      <alignment shrinkToFit="0" vertical="bottom" wrapText="1"/>
    </xf>
    <xf borderId="152" fillId="6" fontId="40" numFmtId="0" xfId="0" applyAlignment="1" applyBorder="1" applyFill="1" applyFont="1">
      <alignment horizontal="center" shrinkToFit="0" vertical="center" wrapText="0"/>
    </xf>
    <xf borderId="10" fillId="15" fontId="58" numFmtId="2" xfId="0" applyAlignment="1" applyBorder="1" applyFill="1" applyFont="1" applyNumberFormat="1">
      <alignment horizontal="center" shrinkToFit="0" vertical="center" wrapText="0"/>
    </xf>
    <xf borderId="10" fillId="0" fontId="40" numFmtId="0" xfId="0" applyAlignment="1" applyBorder="1" applyFont="1">
      <alignment readingOrder="0" shrinkToFit="0" vertical="center" wrapText="0"/>
    </xf>
    <xf borderId="10" fillId="0" fontId="40" numFmtId="167" xfId="0" applyAlignment="1" applyBorder="1" applyFont="1" applyNumberFormat="1">
      <alignment shrinkToFit="0" vertical="center" wrapText="0"/>
    </xf>
    <xf borderId="164" fillId="2" fontId="25" numFmtId="0" xfId="0" applyAlignment="1" applyBorder="1" applyFill="1" applyFont="1">
      <alignment shrinkToFit="0" vertical="center" wrapText="1"/>
    </xf>
    <xf borderId="15" fillId="6" fontId="40" numFmtId="0" xfId="0" applyAlignment="1" applyBorder="1" applyFill="1" applyFont="1">
      <alignment horizontal="left" shrinkToFit="0" vertical="top" wrapText="0"/>
    </xf>
    <xf borderId="10" fillId="14" fontId="40" numFmtId="0" xfId="0" applyAlignment="1" applyBorder="1" applyFill="1" applyFont="1">
      <alignment shrinkToFit="0" vertical="center" wrapText="1"/>
    </xf>
    <xf borderId="10" fillId="6" fontId="40" numFmtId="173" xfId="0" applyAlignment="1" applyBorder="1" applyFill="1" applyFont="1" applyNumberFormat="1">
      <alignment shrinkToFit="0" vertical="bottom" wrapText="0"/>
    </xf>
    <xf borderId="10" fillId="2" fontId="40" numFmtId="2" xfId="0" applyAlignment="1" applyBorder="1" applyFill="1" applyFont="1" applyNumberFormat="1">
      <alignment shrinkToFit="0" vertical="bottom" wrapText="0"/>
    </xf>
    <xf borderId="165" fillId="2" fontId="25" numFmtId="0" xfId="0" applyAlignment="1" applyBorder="1" applyFill="1" applyFont="1">
      <alignment shrinkToFit="0" vertical="bottom" wrapText="1"/>
    </xf>
    <xf borderId="15" fillId="6" fontId="40" numFmtId="168" xfId="0" applyAlignment="1" applyBorder="1" applyFill="1" applyFont="1" applyNumberFormat="1">
      <alignment shrinkToFit="0" vertical="center" wrapText="0"/>
    </xf>
    <xf borderId="9" fillId="0" fontId="40" numFmtId="0" xfId="0" applyAlignment="1" applyBorder="1" applyFont="1">
      <alignment shrinkToFit="0" vertical="center" wrapText="0"/>
    </xf>
    <xf borderId="164" fillId="2" fontId="25" numFmtId="0" xfId="0" applyAlignment="1" applyBorder="1" applyFill="1" applyFont="1">
      <alignment shrinkToFit="0" vertical="bottom" wrapText="1"/>
    </xf>
    <xf borderId="10" fillId="4" fontId="67" numFmtId="167" xfId="0" applyAlignment="1" applyBorder="1" applyFill="1" applyFont="1" applyNumberFormat="1">
      <alignment shrinkToFit="0" vertical="center" wrapText="0"/>
    </xf>
    <xf borderId="10" fillId="4" fontId="58" numFmtId="2" xfId="0" applyAlignment="1" applyBorder="1" applyFill="1" applyFont="1" applyNumberFormat="1">
      <alignment shrinkToFit="0" vertical="center" wrapText="0"/>
    </xf>
    <xf borderId="15" fillId="6" fontId="40" numFmtId="4" xfId="0" applyAlignment="1" applyBorder="1" applyFill="1" applyFont="1" applyNumberFormat="1">
      <alignment shrinkToFit="0" vertical="center" wrapText="0"/>
    </xf>
    <xf borderId="10" fillId="4" fontId="58" numFmtId="1" xfId="0" applyAlignment="1" applyBorder="1" applyFill="1" applyFont="1" applyNumberFormat="1">
      <alignment shrinkToFit="0" vertical="center" wrapText="0"/>
    </xf>
    <xf borderId="12" fillId="0" fontId="40" numFmtId="0" xfId="0" applyAlignment="1" applyBorder="1" applyFont="1">
      <alignment shrinkToFit="0" vertical="center" wrapText="0"/>
    </xf>
    <xf borderId="166" fillId="2" fontId="25" numFmtId="0" xfId="0" applyAlignment="1" applyBorder="1" applyFill="1" applyFont="1">
      <alignment shrinkToFit="0" vertical="bottom" wrapText="1"/>
    </xf>
    <xf borderId="15" fillId="6" fontId="40" numFmtId="3" xfId="0" applyAlignment="1" applyBorder="1" applyFill="1" applyFont="1" applyNumberFormat="1">
      <alignment horizontal="center" shrinkToFit="0" vertical="center" wrapText="0"/>
    </xf>
    <xf borderId="10" fillId="4" fontId="40" numFmtId="2" xfId="0" applyAlignment="1" applyBorder="1" applyFill="1" applyFont="1" applyNumberFormat="1">
      <alignment horizontal="center" shrinkToFit="0" vertical="center" wrapText="1"/>
    </xf>
    <xf borderId="167" fillId="2" fontId="25" numFmtId="0" xfId="0" applyAlignment="1" applyBorder="1" applyFill="1" applyFont="1">
      <alignment shrinkToFit="0" vertical="bottom" wrapText="1"/>
    </xf>
    <xf borderId="15" fillId="6" fontId="78" numFmtId="0" xfId="0" applyAlignment="1" applyBorder="1" applyFill="1" applyFont="1">
      <alignment shrinkToFit="0" vertical="top" wrapText="1"/>
    </xf>
    <xf borderId="21" fillId="4" fontId="58" numFmtId="178" xfId="0" applyAlignment="1" applyBorder="1" applyFill="1" applyFont="1" applyNumberFormat="1">
      <alignment shrinkToFit="0" vertical="center" wrapText="0"/>
    </xf>
    <xf borderId="10" fillId="6" fontId="40" numFmtId="0" xfId="0" applyAlignment="1" applyBorder="1" applyFill="1" applyFont="1">
      <alignment horizontal="center" readingOrder="0" shrinkToFit="0" vertical="center" wrapText="0"/>
    </xf>
    <xf borderId="168" fillId="4" fontId="52" numFmtId="0" xfId="0" applyAlignment="1" applyBorder="1" applyFill="1" applyFont="1">
      <alignment horizontal="center" shrinkToFit="0" vertical="center" wrapText="1"/>
    </xf>
    <xf borderId="10" fillId="6" fontId="78" numFmtId="0" xfId="0" applyAlignment="1" applyBorder="1" applyFill="1" applyFont="1">
      <alignment shrinkToFit="0" vertical="top" wrapText="1"/>
    </xf>
    <xf borderId="10" fillId="0" fontId="40" numFmtId="0" xfId="0" applyAlignment="1" applyBorder="1" applyFont="1">
      <alignment horizontal="center" readingOrder="0" shrinkToFit="0" vertical="center" wrapText="0"/>
    </xf>
    <xf borderId="169" fillId="4" fontId="58" numFmtId="167" xfId="0" applyAlignment="1" applyBorder="1" applyFill="1" applyFont="1" applyNumberFormat="1">
      <alignment horizontal="center" shrinkToFit="0" vertical="center" wrapText="0"/>
    </xf>
    <xf borderId="144" fillId="4" fontId="52" numFmtId="0" xfId="0" applyAlignment="1" applyBorder="1" applyFill="1" applyFont="1">
      <alignment horizontal="center" shrinkToFit="0" vertical="bottom" wrapText="1"/>
    </xf>
    <xf borderId="10" fillId="6" fontId="76" numFmtId="0" xfId="0" applyAlignment="1" applyBorder="1" applyFill="1" applyFont="1">
      <alignment horizontal="center" shrinkToFit="0" vertical="center" wrapText="1"/>
    </xf>
    <xf borderId="22" fillId="4" fontId="58" numFmtId="167" xfId="0" applyAlignment="1" applyBorder="1" applyFill="1" applyFont="1" applyNumberFormat="1">
      <alignment shrinkToFit="0" vertical="center" wrapText="0"/>
    </xf>
    <xf borderId="168" fillId="4" fontId="25" numFmtId="0" xfId="0" applyAlignment="1" applyBorder="1" applyFill="1" applyFont="1">
      <alignment shrinkToFit="0" vertical="bottom" wrapText="1"/>
    </xf>
    <xf borderId="8" fillId="0" fontId="67" numFmtId="0" xfId="0" applyAlignment="1" applyBorder="1" applyFont="1">
      <alignment shrinkToFit="0" vertical="bottom" wrapText="0"/>
    </xf>
    <xf borderId="22" fillId="4" fontId="58" numFmtId="169" xfId="0" applyAlignment="1" applyBorder="1" applyFill="1" applyFont="1" applyNumberFormat="1">
      <alignment shrinkToFit="0" vertical="center" wrapText="0"/>
    </xf>
    <xf borderId="15" fillId="2" fontId="40" numFmtId="0" xfId="0" applyAlignment="1" applyBorder="1" applyFill="1" applyFont="1">
      <alignment horizontal="left" shrinkToFit="0" vertical="top" wrapText="1"/>
    </xf>
    <xf borderId="170" fillId="4" fontId="25" numFmtId="0" xfId="0" applyAlignment="1" applyBorder="1" applyFill="1" applyFont="1">
      <alignment shrinkToFit="0" vertical="bottom" wrapText="1"/>
    </xf>
    <xf borderId="8" fillId="0" fontId="40" numFmtId="0" xfId="0" applyAlignment="1" applyBorder="1" applyFont="1">
      <alignment shrinkToFit="0" vertical="bottom" wrapText="0"/>
    </xf>
    <xf borderId="22" fillId="4" fontId="58" numFmtId="170" xfId="0" applyAlignment="1" applyBorder="1" applyFill="1" applyFont="1" applyNumberFormat="1">
      <alignment shrinkToFit="0" vertical="center" wrapText="0"/>
    </xf>
    <xf borderId="170" fillId="4" fontId="25" numFmtId="0" xfId="0" applyAlignment="1" applyBorder="1" applyFill="1" applyFont="1">
      <alignment shrinkToFit="0" vertical="center" wrapText="1"/>
    </xf>
    <xf borderId="8" fillId="0" fontId="40" numFmtId="169" xfId="0" applyAlignment="1" applyBorder="1" applyFont="1" applyNumberFormat="1">
      <alignment shrinkToFit="0" vertical="bottom" wrapText="0"/>
    </xf>
    <xf borderId="15" fillId="2" fontId="40" numFmtId="0" xfId="0" applyAlignment="1" applyBorder="1" applyFill="1" applyFont="1">
      <alignment horizontal="left" shrinkToFit="0" vertical="center" wrapText="1"/>
    </xf>
    <xf borderId="22" fillId="4" fontId="58" numFmtId="178" xfId="0" applyAlignment="1" applyBorder="1" applyFill="1" applyFont="1" applyNumberFormat="1">
      <alignment horizontal="center" shrinkToFit="0" vertical="center" wrapText="0"/>
    </xf>
    <xf borderId="15" fillId="2" fontId="67" numFmtId="0" xfId="0" applyAlignment="1" applyBorder="1" applyFill="1" applyFont="1">
      <alignment horizontal="center" shrinkToFit="0" vertical="center" wrapText="1"/>
    </xf>
    <xf borderId="170" fillId="4" fontId="52" numFmtId="0" xfId="0" applyAlignment="1" applyBorder="1" applyFill="1" applyFont="1">
      <alignment horizontal="center" shrinkToFit="0" vertical="center" wrapText="1"/>
    </xf>
    <xf borderId="8" fillId="0" fontId="58" numFmtId="0" xfId="0" applyAlignment="1" applyBorder="1" applyFont="1">
      <alignment horizontal="center" shrinkToFit="0" vertical="bottom" wrapText="0"/>
    </xf>
    <xf borderId="22" fillId="4" fontId="58" numFmtId="178" xfId="0" applyAlignment="1" applyBorder="1" applyFill="1" applyFont="1" applyNumberFormat="1">
      <alignment shrinkToFit="0" vertical="center" wrapText="0"/>
    </xf>
    <xf borderId="170" fillId="4" fontId="52" numFmtId="4" xfId="0" applyAlignment="1" applyBorder="1" applyFill="1" applyFont="1" applyNumberFormat="1">
      <alignment horizontal="center" shrinkToFit="0" vertical="center" wrapText="1"/>
    </xf>
    <xf borderId="93" fillId="2" fontId="67" numFmtId="167" xfId="0" applyAlignment="1" applyBorder="1" applyFill="1" applyFont="1" applyNumberFormat="1">
      <alignment shrinkToFit="0" vertical="center" wrapText="0"/>
    </xf>
    <xf borderId="15" fillId="14" fontId="40" numFmtId="0" xfId="0" applyAlignment="1" applyBorder="1" applyFill="1" applyFont="1">
      <alignment horizontal="center" shrinkToFit="0" vertical="center" wrapText="1"/>
    </xf>
    <xf borderId="22" fillId="4" fontId="40" numFmtId="167" xfId="0" applyAlignment="1" applyBorder="1" applyFill="1" applyFont="1" applyNumberFormat="1">
      <alignment shrinkToFit="0" vertical="center" wrapText="0"/>
    </xf>
    <xf borderId="22" fillId="4" fontId="40" numFmtId="0" xfId="0" applyAlignment="1" applyBorder="1" applyFill="1" applyFont="1">
      <alignment horizontal="center" shrinkToFit="0" vertical="center" wrapText="1"/>
    </xf>
    <xf borderId="170" fillId="4" fontId="52" numFmtId="4" xfId="0" applyAlignment="1" applyBorder="1" applyFill="1" applyFont="1" applyNumberFormat="1">
      <alignment horizontal="center" shrinkToFit="0" vertical="bottom" wrapText="1"/>
    </xf>
    <xf borderId="78" fillId="2" fontId="40" numFmtId="0" xfId="0" applyAlignment="1" applyBorder="1" applyFill="1" applyFont="1">
      <alignment horizontal="center" shrinkToFit="0" vertical="center" wrapText="0"/>
    </xf>
    <xf borderId="8" fillId="0" fontId="40" numFmtId="0" xfId="0" applyAlignment="1" applyBorder="1" applyFont="1">
      <alignment horizontal="center" shrinkToFit="0" vertical="bottom" wrapText="0"/>
    </xf>
    <xf borderId="170" fillId="4" fontId="52" numFmtId="0" xfId="0" applyAlignment="1" applyBorder="1" applyFill="1" applyFont="1">
      <alignment horizontal="center" shrinkToFit="0" vertical="bottom" wrapText="1"/>
    </xf>
    <xf borderId="171" fillId="4" fontId="40" numFmtId="0" xfId="0" applyAlignment="1" applyBorder="1" applyFill="1" applyFont="1">
      <alignment horizontal="center" shrinkToFit="0" vertical="center" wrapText="0"/>
    </xf>
    <xf borderId="10" fillId="2" fontId="67" numFmtId="168" xfId="0" applyAlignment="1" applyBorder="1" applyFill="1" applyFont="1" applyNumberFormat="1">
      <alignment horizontal="center" shrinkToFit="0" vertical="center" wrapText="1"/>
    </xf>
    <xf borderId="168" fillId="4" fontId="25" numFmtId="0" xfId="0" applyAlignment="1" applyBorder="1" applyFill="1" applyFont="1">
      <alignment shrinkToFit="0" vertical="center" wrapText="1"/>
    </xf>
    <xf borderId="15" fillId="6" fontId="67" numFmtId="0" xfId="0" applyAlignment="1" applyBorder="1" applyFill="1" applyFont="1">
      <alignment shrinkToFit="0" vertical="bottom" wrapText="0"/>
    </xf>
    <xf borderId="15" fillId="2" fontId="67" numFmtId="168" xfId="0" applyAlignment="1" applyBorder="1" applyFill="1" applyFont="1" applyNumberFormat="1">
      <alignment horizontal="center" shrinkToFit="0" vertical="center" wrapText="1"/>
    </xf>
    <xf borderId="168" fillId="4" fontId="52" numFmtId="3" xfId="0" applyAlignment="1" applyBorder="1" applyFill="1" applyFont="1" applyNumberFormat="1">
      <alignment horizontal="center" shrinkToFit="0" vertical="center" wrapText="1"/>
    </xf>
    <xf borderId="15" fillId="6" fontId="40" numFmtId="0" xfId="0" applyAlignment="1" applyBorder="1" applyFill="1" applyFont="1">
      <alignment shrinkToFit="0" vertical="bottom" wrapText="0"/>
    </xf>
    <xf borderId="168" fillId="4" fontId="52" numFmtId="4" xfId="0" applyAlignment="1" applyBorder="1" applyFill="1" applyFont="1" applyNumberFormat="1">
      <alignment horizontal="center" shrinkToFit="0" vertical="bottom" wrapText="1"/>
    </xf>
    <xf borderId="156" fillId="2" fontId="67" numFmtId="167" xfId="0" applyAlignment="1" applyBorder="1" applyFill="1" applyFont="1" applyNumberFormat="1">
      <alignment shrinkToFit="0" vertical="center" wrapText="1"/>
    </xf>
    <xf borderId="15" fillId="6" fontId="40" numFmtId="169" xfId="0" applyAlignment="1" applyBorder="1" applyFill="1" applyFont="1" applyNumberFormat="1">
      <alignment shrinkToFit="0" vertical="bottom" wrapText="0"/>
    </xf>
    <xf borderId="172" fillId="4" fontId="25" numFmtId="0" xfId="0" applyAlignment="1" applyBorder="1" applyFill="1" applyFont="1">
      <alignment shrinkToFit="0" vertical="bottom" wrapText="1"/>
    </xf>
    <xf borderId="19" fillId="2" fontId="40" numFmtId="167" xfId="0" applyAlignment="1" applyBorder="1" applyFill="1" applyFont="1" applyNumberFormat="1">
      <alignment shrinkToFit="0" vertical="center" wrapText="1"/>
    </xf>
    <xf borderId="15" fillId="6" fontId="40" numFmtId="4" xfId="0" applyAlignment="1" applyBorder="1" applyFill="1" applyFont="1" applyNumberFormat="1">
      <alignment shrinkToFit="0" vertical="bottom" wrapText="0"/>
    </xf>
    <xf borderId="19" fillId="2" fontId="40" numFmtId="0" xfId="0" applyAlignment="1" applyBorder="1" applyFill="1" applyFont="1">
      <alignment horizontal="left" shrinkToFit="0" vertical="top" wrapText="1"/>
    </xf>
    <xf borderId="128" fillId="0" fontId="25" numFmtId="0" xfId="0" applyAlignment="1" applyBorder="1" applyFont="1">
      <alignment shrinkToFit="0" vertical="center" wrapText="1"/>
    </xf>
    <xf borderId="15" fillId="6" fontId="40" numFmtId="0" xfId="0" applyAlignment="1" applyBorder="1" applyFill="1" applyFont="1">
      <alignment horizontal="center" shrinkToFit="0" vertical="bottom" wrapText="1"/>
    </xf>
    <xf borderId="15" fillId="2" fontId="40" numFmtId="167" xfId="0" applyAlignment="1" applyBorder="1" applyFill="1" applyFont="1" applyNumberFormat="1">
      <alignment shrinkToFit="0" vertical="center" wrapText="1"/>
    </xf>
    <xf borderId="128" fillId="2" fontId="25" numFmtId="0" xfId="0" applyAlignment="1" applyBorder="1" applyFill="1" applyFont="1">
      <alignment shrinkToFit="0" vertical="bottom" wrapText="1"/>
    </xf>
    <xf borderId="15" fillId="6" fontId="58" numFmtId="0" xfId="0" applyAlignment="1" applyBorder="1" applyFill="1" applyFont="1">
      <alignment horizontal="center" shrinkToFit="0" vertical="bottom" wrapText="0"/>
    </xf>
    <xf borderId="19" fillId="2" fontId="40" numFmtId="168" xfId="0" applyAlignment="1" applyBorder="1" applyFill="1" applyFont="1" applyNumberFormat="1">
      <alignment shrinkToFit="0" vertical="center" wrapText="0"/>
    </xf>
    <xf borderId="173" fillId="2" fontId="25" numFmtId="0" xfId="0" applyAlignment="1" applyBorder="1" applyFill="1" applyFont="1">
      <alignment shrinkToFit="0" vertical="bottom" wrapText="1"/>
    </xf>
    <xf borderId="15" fillId="6" fontId="40" numFmtId="0" xfId="0" applyAlignment="1" applyBorder="1" applyFill="1" applyFont="1">
      <alignment horizontal="center" shrinkToFit="0" vertical="bottom" wrapText="0"/>
    </xf>
    <xf borderId="19" fillId="2" fontId="40" numFmtId="4" xfId="0" applyAlignment="1" applyBorder="1" applyFill="1" applyFont="1" applyNumberFormat="1">
      <alignment shrinkToFit="0" vertical="center" wrapText="0"/>
    </xf>
    <xf borderId="174" fillId="0" fontId="25" numFmtId="0" xfId="0" applyAlignment="1" applyBorder="1" applyFont="1">
      <alignment shrinkToFit="0" vertical="bottom" wrapText="1"/>
    </xf>
    <xf borderId="15" fillId="6" fontId="40" numFmtId="167" xfId="0" applyAlignment="1" applyBorder="1" applyFill="1" applyFont="1" applyNumberFormat="1">
      <alignment shrinkToFit="0" vertical="bottom" wrapText="0"/>
    </xf>
    <xf borderId="19" fillId="2" fontId="40" numFmtId="3" xfId="0" applyAlignment="1" applyBorder="1" applyFill="1" applyFont="1" applyNumberFormat="1">
      <alignment horizontal="center" shrinkToFit="0" vertical="center" wrapText="0"/>
    </xf>
    <xf borderId="19" fillId="2" fontId="67" numFmtId="0" xfId="0" applyAlignment="1" applyBorder="1" applyFill="1" applyFont="1">
      <alignment horizontal="center" shrinkToFit="0" vertical="center" wrapText="1"/>
    </xf>
    <xf borderId="8" fillId="0" fontId="40" numFmtId="4" xfId="0" applyAlignment="1" applyBorder="1" applyFont="1" applyNumberFormat="1">
      <alignment shrinkToFit="0" vertical="bottom" wrapText="0"/>
    </xf>
    <xf borderId="175" fillId="0" fontId="25" numFmtId="0" xfId="0" applyAlignment="1" applyBorder="1" applyFont="1">
      <alignment shrinkToFit="0" vertical="bottom" wrapText="1"/>
    </xf>
    <xf borderId="126" fillId="0" fontId="4" numFmtId="0" xfId="0" applyBorder="1" applyFont="1"/>
    <xf borderId="8" fillId="0" fontId="40" numFmtId="0" xfId="0" applyAlignment="1" applyBorder="1" applyFont="1">
      <alignment horizontal="center" shrinkToFit="0" vertical="bottom" wrapText="1"/>
    </xf>
    <xf borderId="10" fillId="4" fontId="62" numFmtId="178" xfId="0" applyAlignment="1" applyBorder="1" applyFill="1" applyFont="1" applyNumberFormat="1">
      <alignment shrinkToFit="0" vertical="center" wrapText="0"/>
    </xf>
    <xf borderId="15" fillId="4" fontId="40" numFmtId="167" xfId="0" applyAlignment="1" applyBorder="1" applyFill="1" applyFont="1" applyNumberFormat="1">
      <alignment shrinkToFit="0" vertical="center" wrapText="0"/>
    </xf>
    <xf borderId="10" fillId="0" fontId="67" numFmtId="0" xfId="0" applyAlignment="1" applyBorder="1" applyFont="1">
      <alignment shrinkToFit="0" vertical="bottom" wrapText="0"/>
    </xf>
    <xf borderId="10" fillId="0" fontId="40" numFmtId="169" xfId="0" applyAlignment="1" applyBorder="1" applyFont="1" applyNumberFormat="1">
      <alignment shrinkToFit="0" vertical="bottom" wrapText="0"/>
    </xf>
    <xf borderId="10" fillId="0" fontId="40" numFmtId="0" xfId="0" applyAlignment="1" applyBorder="1" applyFont="1">
      <alignment horizontal="center" shrinkToFit="0" vertical="bottom" wrapText="1"/>
    </xf>
    <xf borderId="10" fillId="0" fontId="58" numFmtId="0" xfId="0" applyAlignment="1" applyBorder="1" applyFont="1">
      <alignment horizontal="center" shrinkToFit="0" vertical="bottom" wrapText="0"/>
    </xf>
    <xf borderId="0" fillId="0" fontId="59" numFmtId="0" xfId="0" applyAlignment="1" applyFont="1">
      <alignment horizontal="center" readingOrder="0" shrinkToFit="0" vertical="center" wrapText="1"/>
    </xf>
    <xf borderId="171" fillId="4" fontId="58" numFmtId="167" xfId="0" applyAlignment="1" applyBorder="1" applyFill="1" applyFont="1" applyNumberFormat="1">
      <alignment shrinkToFit="0" vertical="top" wrapText="0"/>
    </xf>
    <xf borderId="124" fillId="4" fontId="58" numFmtId="167" xfId="0" applyAlignment="1" applyBorder="1" applyFill="1" applyFont="1" applyNumberFormat="1">
      <alignment shrinkToFit="0" vertical="center" wrapText="0"/>
    </xf>
    <xf borderId="9" fillId="4" fontId="40" numFmtId="0" xfId="0" applyAlignment="1" applyBorder="1" applyFill="1" applyFont="1">
      <alignment shrinkToFit="0" vertical="bottom" wrapText="0"/>
    </xf>
    <xf borderId="10" fillId="10" fontId="58" numFmtId="1" xfId="0" applyAlignment="1" applyBorder="1" applyFill="1" applyFont="1" applyNumberFormat="1">
      <alignment horizontal="center" shrinkToFit="0" vertical="center" wrapText="0"/>
    </xf>
    <xf borderId="10" fillId="10" fontId="58" numFmtId="167" xfId="0" applyAlignment="1" applyBorder="1" applyFill="1" applyFont="1" applyNumberFormat="1">
      <alignment shrinkToFit="0" vertical="center" wrapText="0"/>
    </xf>
    <xf borderId="10" fillId="10" fontId="40" numFmtId="167" xfId="0" applyAlignment="1" applyBorder="1" applyFill="1" applyFont="1" applyNumberFormat="1">
      <alignment shrinkToFit="0" vertical="center" wrapText="0"/>
    </xf>
    <xf borderId="10" fillId="10" fontId="40" numFmtId="169" xfId="0" applyAlignment="1" applyBorder="1" applyFill="1" applyFont="1" applyNumberFormat="1">
      <alignment shrinkToFit="0" vertical="center" wrapText="0"/>
    </xf>
    <xf borderId="10" fillId="10" fontId="40" numFmtId="2" xfId="0" applyAlignment="1" applyBorder="1" applyFill="1" applyFont="1" applyNumberFormat="1">
      <alignment shrinkToFit="0" vertical="center" wrapText="0"/>
    </xf>
    <xf borderId="10" fillId="10" fontId="58" numFmtId="2" xfId="0" applyAlignment="1" applyBorder="1" applyFill="1" applyFont="1" applyNumberFormat="1">
      <alignment horizontal="center" shrinkToFit="0" vertical="center" wrapText="0"/>
    </xf>
    <xf borderId="73" fillId="10" fontId="40" numFmtId="0" xfId="0" applyAlignment="1" applyBorder="1" applyFill="1" applyFont="1">
      <alignment horizontal="center" shrinkToFit="0" vertical="center" wrapText="0"/>
    </xf>
    <xf borderId="10" fillId="6" fontId="58" numFmtId="178" xfId="0" applyAlignment="1" applyBorder="1" applyFill="1" applyFont="1" applyNumberFormat="1">
      <alignment readingOrder="0" shrinkToFit="0" vertical="center" wrapText="0"/>
    </xf>
    <xf borderId="10" fillId="6" fontId="58" numFmtId="169" xfId="0" applyAlignment="1" applyBorder="1" applyFill="1" applyFont="1" applyNumberFormat="1">
      <alignment shrinkToFit="0" vertical="center" wrapText="0"/>
    </xf>
    <xf borderId="10" fillId="6" fontId="58" numFmtId="2" xfId="0" applyAlignment="1" applyBorder="1" applyFill="1" applyFont="1" applyNumberFormat="1">
      <alignment shrinkToFit="0" vertical="center" wrapText="0"/>
    </xf>
    <xf borderId="10" fillId="6" fontId="58" numFmtId="1" xfId="0" applyAlignment="1" applyBorder="1" applyFill="1" applyFont="1" applyNumberFormat="1">
      <alignment shrinkToFit="0" vertical="center" wrapText="0"/>
    </xf>
    <xf borderId="9" fillId="6" fontId="26" numFmtId="0" xfId="0" applyAlignment="1" applyBorder="1" applyFill="1" applyFont="1">
      <alignment horizontal="center" shrinkToFit="0" vertical="bottom" wrapText="1"/>
    </xf>
    <xf borderId="10" fillId="2" fontId="58" numFmtId="178" xfId="0" applyAlignment="1" applyBorder="1" applyFill="1" applyFont="1" applyNumberFormat="1">
      <alignment readingOrder="0" shrinkToFit="0" vertical="center" wrapText="0"/>
    </xf>
    <xf borderId="10" fillId="2" fontId="58" numFmtId="2" xfId="0" applyAlignment="1" applyBorder="1" applyFill="1" applyFont="1" applyNumberFormat="1">
      <alignment shrinkToFit="0" vertical="center" wrapText="0"/>
    </xf>
    <xf borderId="10" fillId="2" fontId="58" numFmtId="1" xfId="0" applyAlignment="1" applyBorder="1" applyFill="1" applyFont="1" applyNumberFormat="1">
      <alignment shrinkToFit="0" vertical="center" wrapText="0"/>
    </xf>
    <xf borderId="10" fillId="2" fontId="40" numFmtId="1" xfId="0" applyAlignment="1" applyBorder="1" applyFill="1" applyFont="1" applyNumberFormat="1">
      <alignment shrinkToFit="0" vertical="center" wrapText="0"/>
    </xf>
    <xf borderId="0" fillId="0" fontId="40" numFmtId="0" xfId="0" applyAlignment="1" applyFont="1">
      <alignment shrinkToFit="0" vertical="bottom" wrapText="0"/>
    </xf>
    <xf borderId="9" fillId="0" fontId="26" numFmtId="0" xfId="0" applyAlignment="1" applyBorder="1" applyFont="1">
      <alignment horizontal="center" shrinkToFit="0" vertical="bottom" wrapText="1"/>
    </xf>
    <xf borderId="10" fillId="0" fontId="58" numFmtId="178" xfId="0" applyAlignment="1" applyBorder="1" applyFont="1" applyNumberFormat="1">
      <alignment readingOrder="0" shrinkToFit="0" vertical="center" wrapText="0"/>
    </xf>
    <xf borderId="10" fillId="0" fontId="40" numFmtId="167" xfId="0" applyAlignment="1" applyBorder="1" applyFont="1" applyNumberFormat="1">
      <alignment shrinkToFit="0" vertical="center" wrapText="1"/>
    </xf>
    <xf borderId="10" fillId="0" fontId="58" numFmtId="169" xfId="0" applyAlignment="1" applyBorder="1" applyFont="1" applyNumberFormat="1">
      <alignment shrinkToFit="0" vertical="center" wrapText="0"/>
    </xf>
    <xf borderId="10" fillId="0" fontId="58" numFmtId="2" xfId="0" applyAlignment="1" applyBorder="1" applyFont="1" applyNumberFormat="1">
      <alignment shrinkToFit="0" vertical="center" wrapText="0"/>
    </xf>
    <xf borderId="10" fillId="0" fontId="58" numFmtId="1" xfId="0" applyAlignment="1" applyBorder="1" applyFont="1" applyNumberFormat="1">
      <alignment shrinkToFit="0" vertical="center" wrapText="1"/>
    </xf>
    <xf borderId="10" fillId="14" fontId="40" numFmtId="2" xfId="0" applyAlignment="1" applyBorder="1" applyFill="1" applyFont="1" applyNumberFormat="1">
      <alignment horizontal="center" shrinkToFit="0" vertical="center" wrapText="1"/>
    </xf>
    <xf borderId="10" fillId="0" fontId="58" numFmtId="1" xfId="0" applyAlignment="1" applyBorder="1" applyFont="1" applyNumberFormat="1">
      <alignment shrinkToFit="0" vertical="center" wrapText="0"/>
    </xf>
    <xf borderId="10" fillId="2" fontId="58" numFmtId="2" xfId="0" applyAlignment="1" applyBorder="1" applyFill="1" applyFont="1" applyNumberFormat="1">
      <alignment shrinkToFit="0" vertical="center" wrapText="1"/>
    </xf>
    <xf borderId="9" fillId="4" fontId="58" numFmtId="167" xfId="0" applyAlignment="1" applyBorder="1" applyFill="1" applyFont="1" applyNumberFormat="1">
      <alignment horizontal="left" shrinkToFit="0" vertical="center" wrapText="0"/>
    </xf>
    <xf borderId="10" fillId="4" fontId="58" numFmtId="170" xfId="0" applyAlignment="1" applyBorder="1" applyFill="1" applyFont="1" applyNumberFormat="1">
      <alignment shrinkToFit="0" vertical="center" wrapText="0"/>
    </xf>
    <xf borderId="0" fillId="0" fontId="62" numFmtId="1" xfId="0" applyAlignment="1" applyFont="1" applyNumberFormat="1">
      <alignment shrinkToFit="0" vertical="center" wrapText="0"/>
    </xf>
    <xf borderId="0" fillId="0" fontId="67" numFmtId="0" xfId="0" applyAlignment="1" applyFont="1">
      <alignment horizontal="left" shrinkToFit="0" vertical="bottom" wrapText="0"/>
    </xf>
    <xf borderId="0" fillId="0" fontId="40" numFmtId="0" xfId="0" applyAlignment="1" applyFont="1">
      <alignment horizontal="center" shrinkToFit="0" vertical="bottom" wrapText="0"/>
    </xf>
    <xf borderId="0" fillId="0" fontId="40" numFmtId="169" xfId="0" applyAlignment="1" applyFont="1" applyNumberFormat="1">
      <alignment horizontal="center" shrinkToFit="0" vertical="center" wrapText="0"/>
    </xf>
    <xf borderId="0" fillId="0" fontId="40" numFmtId="2" xfId="0" applyAlignment="1" applyFont="1" applyNumberFormat="1">
      <alignment horizontal="center" shrinkToFit="0" vertical="center" wrapText="0"/>
    </xf>
    <xf borderId="0" fillId="0" fontId="62" numFmtId="169" xfId="0" applyAlignment="1" applyFont="1" applyNumberFormat="1">
      <alignment horizontal="center" shrinkToFit="0" vertical="center" wrapText="0"/>
    </xf>
    <xf borderId="0" fillId="0" fontId="40" numFmtId="0" xfId="0" applyAlignment="1" applyFont="1">
      <alignment horizontal="center" shrinkToFit="0" vertical="center" wrapText="1"/>
    </xf>
    <xf borderId="0" fillId="0" fontId="63" numFmtId="0" xfId="0" applyAlignment="1" applyFont="1">
      <alignment horizontal="center" shrinkToFit="0" vertical="bottom" wrapText="0"/>
    </xf>
    <xf borderId="0" fillId="0" fontId="40" numFmtId="0" xfId="0" applyAlignment="1" applyFont="1">
      <alignment horizontal="center" shrinkToFit="0" vertical="center" wrapText="0"/>
    </xf>
    <xf borderId="0" fillId="0" fontId="62" numFmtId="0" xfId="0" applyAlignment="1" applyFont="1">
      <alignment shrinkToFit="0" vertical="bottom" wrapText="0"/>
    </xf>
  </cellXfs>
  <cellStyles count="1">
    <cellStyle xfId="0" name="Normal" builtinId="0"/>
  </cellStyles>
  <dxfs count="2">
    <dxf>
      <font/>
      <fill>
        <patternFill patternType="solid">
          <fgColor rgb="FFE6B8AF"/>
          <bgColor rgb="FFE6B8AF"/>
        </patternFill>
      </fill>
      <border/>
    </dxf>
    <dx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a:defRPr>
            </a:pPr>
            <a:r>
              <a:rPr b="1">
                <a:solidFill>
                  <a:srgbClr val="757575"/>
                </a:solidFill>
                <a:latin typeface="Arial"/>
              </a:rPr>
              <a:t>No. of Incidents</a:t>
            </a:r>
          </a:p>
        </c:rich>
      </c:tx>
      <c:overlay val="0"/>
    </c:title>
    <c:plotArea>
      <c:layout/>
      <c:barChart>
        <c:barDir val="col"/>
        <c:ser>
          <c:idx val="0"/>
          <c:order val="0"/>
          <c:tx>
            <c:strRef>
              <c:f>graph!$B$1</c:f>
            </c:strRef>
          </c:tx>
          <c:spPr>
            <a:solidFill>
              <a:schemeClr val="accent1"/>
            </a:solidFill>
            <a:ln cmpd="sng">
              <a:noFill/>
            </a:ln>
          </c:spPr>
          <c:dLbls>
            <c:numFmt formatCode="General" sourceLinked="1"/>
            <c:txPr>
              <a:bodyPr/>
              <a:lstStyle/>
              <a:p>
                <a:pPr lvl="0">
                  <a:defRPr b="1" sz="2000"/>
                </a:pPr>
              </a:p>
            </c:txPr>
            <c:showLegendKey val="0"/>
            <c:showVal val="1"/>
            <c:showCatName val="0"/>
            <c:showSerName val="0"/>
            <c:showPercent val="0"/>
            <c:showBubbleSize val="0"/>
          </c:dLbls>
          <c:cat>
            <c:strRef>
              <c:f>graph!$A$2:$A$14</c:f>
            </c:strRef>
          </c:cat>
          <c:val>
            <c:numRef>
              <c:f>graph!$B$2:$B$14</c:f>
              <c:numCache/>
            </c:numRef>
          </c:val>
        </c:ser>
        <c:axId val="1072669186"/>
        <c:axId val="770987128"/>
      </c:barChart>
      <c:catAx>
        <c:axId val="1072669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0987128"/>
      </c:catAx>
      <c:valAx>
        <c:axId val="7709871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No. of Incidents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26691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graph!$C$1</c:f>
            </c:strRef>
          </c:tx>
          <c:spPr>
            <a:solidFill>
              <a:srgbClr val="660000"/>
            </a:solidFill>
            <a:ln cmpd="sng">
              <a:noFill/>
            </a:ln>
          </c:spPr>
          <c:dPt>
            <c:idx val="9"/>
          </c:dPt>
          <c:dLbls>
            <c:numFmt formatCode="General" sourceLinked="1"/>
            <c:txPr>
              <a:bodyPr/>
              <a:lstStyle/>
              <a:p>
                <a:pPr lvl="0">
                  <a:defRPr/>
                </a:pPr>
              </a:p>
            </c:txPr>
            <c:showLegendKey val="0"/>
            <c:showVal val="1"/>
            <c:showCatName val="0"/>
            <c:showSerName val="0"/>
            <c:showPercent val="0"/>
            <c:showBubbleSize val="0"/>
          </c:dLbls>
          <c:cat>
            <c:strRef>
              <c:f>graph!$A$2:$A$14</c:f>
            </c:strRef>
          </c:cat>
          <c:val>
            <c:numRef>
              <c:f>graph!$C$2:$C$14</c:f>
              <c:numCache/>
            </c:numRef>
          </c:val>
        </c:ser>
        <c:axId val="1004398116"/>
        <c:axId val="1980703832"/>
      </c:barChart>
      <c:catAx>
        <c:axId val="1004398116"/>
        <c:scaling>
          <c:orientation val="minMax"/>
        </c:scaling>
        <c:delete val="0"/>
        <c:axPos val="b"/>
        <c:title>
          <c:tx>
            <c:rich>
              <a:bodyPr/>
              <a:lstStyle/>
              <a:p>
                <a:pPr lvl="0">
                  <a:defRPr b="0" sz="1800">
                    <a:solidFill>
                      <a:srgbClr val="000000"/>
                    </a:solidFill>
                    <a:latin typeface="+mn-lt"/>
                  </a:defRPr>
                </a:pPr>
                <a:r>
                  <a:rPr b="0" sz="180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980703832"/>
      </c:catAx>
      <c:valAx>
        <c:axId val="19807038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Total Volume (cu.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004398116"/>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757575"/>
                </a:solidFill>
                <a:latin typeface="Arial"/>
              </a:defRPr>
            </a:pPr>
            <a:r>
              <a:rPr b="1" i="0" sz="2000">
                <a:solidFill>
                  <a:srgbClr val="757575"/>
                </a:solidFill>
                <a:latin typeface="Arial"/>
              </a:rPr>
              <a:t>TOTAL VALUE PER YEAR (PHP)</a:t>
            </a:r>
          </a:p>
        </c:rich>
      </c:tx>
      <c:overlay val="0"/>
    </c:title>
    <c:plotArea>
      <c:layout/>
      <c:lineChart>
        <c:varyColors val="0"/>
        <c:ser>
          <c:idx val="0"/>
          <c:order val="0"/>
          <c:tx>
            <c:strRef>
              <c:f>graph!$D$1</c:f>
            </c:strRef>
          </c:tx>
          <c:spPr>
            <a:ln cmpd="sng">
              <a:solidFill>
                <a:srgbClr val="156082"/>
              </a:solidFill>
            </a:ln>
          </c:spPr>
          <c:marker>
            <c:symbol val="circle"/>
            <c:size val="10"/>
            <c:spPr>
              <a:solidFill>
                <a:srgbClr val="156082"/>
              </a:solidFill>
              <a:ln cmpd="sng">
                <a:solidFill>
                  <a:srgbClr val="156082"/>
                </a:solidFill>
              </a:ln>
            </c:spPr>
          </c:marker>
          <c:dPt>
            <c:idx val="8"/>
            <c:marker>
              <c:symbol val="none"/>
            </c:marker>
          </c:dPt>
          <c:dPt>
            <c:idx val="10"/>
            <c:marker>
              <c:symbol val="none"/>
            </c:marker>
          </c:dPt>
          <c:dPt>
            <c:idx val="11"/>
            <c:marker>
              <c:symbol val="none"/>
            </c:marker>
          </c:dPt>
          <c:dPt>
            <c:idx val="12"/>
            <c:marker>
              <c:symbol val="none"/>
            </c:marker>
          </c:dPt>
          <c:dLbls>
            <c:dLbl>
              <c:idx val="8"/>
              <c:layout>
                <c:manualLayout>
                  <c:xMode val="edge"/>
                  <c:yMode val="edge"/>
                  <c:x val="0.6869665009481002"/>
                  <c:y val="0.5897494884700438"/>
                </c:manualLayout>
              </c:layout>
              <c:numFmt formatCode="General" sourceLinked="1"/>
              <c:txPr>
                <a:bodyPr/>
                <a:lstStyle/>
                <a:p>
                  <a:pPr lvl="0">
                    <a:defRPr b="0" sz="1600"/>
                  </a:pPr>
                </a:p>
              </c:txPr>
              <c:showLegendKey val="0"/>
              <c:showVal val="1"/>
              <c:showCatName val="0"/>
              <c:showSerName val="0"/>
              <c:showPercent val="0"/>
              <c:showBubbleSize val="0"/>
            </c:dLbl>
            <c:dLbl>
              <c:idx val="10"/>
              <c:layout>
                <c:manualLayout>
                  <c:xMode val="edge"/>
                  <c:yMode val="edge"/>
                  <c:x val="0.7939197876202798"/>
                  <c:y val="0.3273073565592934"/>
                </c:manualLayout>
              </c:layout>
              <c:numFmt formatCode="General" sourceLinked="1"/>
              <c:txPr>
                <a:bodyPr/>
                <a:lstStyle/>
                <a:p>
                  <a:pPr lvl="0">
                    <a:defRPr b="0" sz="1600"/>
                  </a:pPr>
                </a:p>
              </c:txPr>
              <c:showLegendKey val="0"/>
              <c:showVal val="1"/>
              <c:showCatName val="0"/>
              <c:showSerName val="0"/>
              <c:showPercent val="0"/>
              <c:showBubbleSize val="0"/>
            </c:dLbl>
            <c:dLbl>
              <c:idx val="11"/>
              <c:layout>
                <c:manualLayout>
                  <c:xMode val="edge"/>
                  <c:yMode val="edge"/>
                  <c:x val="0.8699561316276422"/>
                  <c:y val="0.010163656174508484"/>
                </c:manualLayout>
              </c:layout>
              <c:numFmt formatCode="General" sourceLinked="1"/>
              <c:txPr>
                <a:bodyPr/>
                <a:lstStyle/>
                <a:p>
                  <a:pPr lvl="0">
                    <a:defRPr b="0" sz="1600"/>
                  </a:pPr>
                </a:p>
              </c:txPr>
              <c:showLegendKey val="0"/>
              <c:showVal val="1"/>
              <c:showCatName val="0"/>
              <c:showSerName val="0"/>
              <c:showPercent val="0"/>
              <c:showBubbleSize val="0"/>
            </c:dLbl>
            <c:dLbl>
              <c:idx val="12"/>
              <c:layout>
                <c:manualLayout>
                  <c:xMode val="edge"/>
                  <c:yMode val="edge"/>
                  <c:x val="0.9294853775828742"/>
                  <c:y val="0.40456301719307725"/>
                </c:manualLayout>
              </c:layout>
              <c:numFmt formatCode="General" sourceLinked="1"/>
              <c:txPr>
                <a:bodyPr/>
                <a:lstStyle/>
                <a:p>
                  <a:pPr lvl="0">
                    <a:defRPr b="0" sz="1600"/>
                  </a:pPr>
                </a:p>
              </c:txPr>
              <c:showLegendKey val="0"/>
              <c:showVal val="1"/>
              <c:showCatName val="0"/>
              <c:showSerName val="0"/>
              <c:showPercent val="0"/>
              <c:showBubbleSize val="0"/>
            </c:dLbl>
            <c:numFmt formatCode="General" sourceLinked="1"/>
            <c:txPr>
              <a:bodyPr/>
              <a:lstStyle/>
              <a:p>
                <a:pPr lvl="0">
                  <a:defRPr b="0" sz="1600"/>
                </a:pPr>
              </a:p>
            </c:txPr>
            <c:showLegendKey val="0"/>
            <c:showVal val="1"/>
            <c:showCatName val="0"/>
            <c:showSerName val="0"/>
            <c:showPercent val="0"/>
            <c:showBubbleSize val="0"/>
          </c:dLbls>
          <c:cat>
            <c:strRef>
              <c:f>graph!$A$2:$A$14</c:f>
            </c:strRef>
          </c:cat>
          <c:val>
            <c:numRef>
              <c:f>graph!$D$2:$D$14</c:f>
              <c:numCache/>
            </c:numRef>
          </c:val>
          <c:smooth val="0"/>
        </c:ser>
        <c:axId val="639578595"/>
        <c:axId val="629657556"/>
      </c:lineChart>
      <c:catAx>
        <c:axId val="639578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cross"/>
        <c:minorTickMark val="none"/>
        <c:spPr/>
        <c:txPr>
          <a:bodyPr/>
          <a:lstStyle/>
          <a:p>
            <a:pPr lvl="0">
              <a:defRPr b="0">
                <a:solidFill>
                  <a:srgbClr val="000000"/>
                </a:solidFill>
                <a:latin typeface="Arial"/>
              </a:defRPr>
            </a:pPr>
          </a:p>
        </c:txPr>
        <c:crossAx val="629657556"/>
      </c:catAx>
      <c:valAx>
        <c:axId val="629657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63957859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58</xdr:row>
      <xdr:rowOff>66675</xdr:rowOff>
    </xdr:from>
    <xdr:ext cx="9925050" cy="5219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89</xdr:row>
      <xdr:rowOff>38100</xdr:rowOff>
    </xdr:from>
    <xdr:ext cx="9925050" cy="6124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21</xdr:row>
      <xdr:rowOff>85725</xdr:rowOff>
    </xdr:from>
    <xdr:ext cx="9925050" cy="6124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63"/>
    <col customWidth="1" min="2" max="2" width="13.75"/>
  </cols>
  <sheetData>
    <row r="1">
      <c r="A1" s="563" t="str">
        <f>SUMMARY!A4</f>
        <v>Year</v>
      </c>
      <c r="B1" s="566" t="str">
        <f>SUMMARY!C4</f>
        <v>No. of Incidents</v>
      </c>
      <c r="C1" s="566" t="str">
        <f>SUMMARY!D4</f>
        <v>Volume (cu.m.)</v>
      </c>
      <c r="D1" s="566" t="s">
        <v>1182</v>
      </c>
    </row>
    <row r="2">
      <c r="A2" s="570">
        <v>2014.0</v>
      </c>
      <c r="B2" s="572">
        <f>SUMMARY!C82</f>
        <v>88</v>
      </c>
      <c r="C2" s="575">
        <f>SUMMARY!D82</f>
        <v>186.8724943</v>
      </c>
      <c r="D2" s="575">
        <f>SUMMARY!F82</f>
        <v>2142713.322</v>
      </c>
    </row>
    <row r="3">
      <c r="A3" s="570">
        <v>2015.0</v>
      </c>
      <c r="B3" s="572">
        <f>SUMMARY!C76</f>
        <v>0</v>
      </c>
      <c r="C3" s="575">
        <f>SUMMARY!D76</f>
        <v>0</v>
      </c>
      <c r="D3" s="575">
        <f>SUMMARY!F76</f>
        <v>0</v>
      </c>
    </row>
    <row r="4">
      <c r="A4" s="570">
        <v>2016.0</v>
      </c>
      <c r="B4" s="572">
        <f>SUMMARY!C70</f>
        <v>0</v>
      </c>
      <c r="C4" s="575">
        <f>SUMMARY!D70</f>
        <v>0</v>
      </c>
      <c r="D4" s="575">
        <f>SUMMARY!F70</f>
        <v>0</v>
      </c>
    </row>
    <row r="5">
      <c r="A5" s="570">
        <v>2017.0</v>
      </c>
      <c r="B5" s="572">
        <f>SUMMARY!C64</f>
        <v>0</v>
      </c>
      <c r="C5" s="575">
        <f>SUMMARY!D64</f>
        <v>0</v>
      </c>
      <c r="D5" s="575">
        <f>SUMMARY!F64</f>
        <v>0</v>
      </c>
    </row>
    <row r="6">
      <c r="A6" s="570">
        <v>2018.0</v>
      </c>
      <c r="B6" s="572">
        <f>SUMMARY!C58</f>
        <v>0</v>
      </c>
      <c r="C6" s="575">
        <f>SUMMARY!D58</f>
        <v>0</v>
      </c>
      <c r="D6" s="575">
        <f>SUMMARY!F58</f>
        <v>0</v>
      </c>
    </row>
    <row r="7">
      <c r="A7" s="570">
        <v>2019.0</v>
      </c>
      <c r="B7" s="572">
        <f>SUMMARY!C52</f>
        <v>0</v>
      </c>
      <c r="C7" s="575">
        <f>SUMMARY!D52</f>
        <v>0</v>
      </c>
      <c r="D7" s="575">
        <f>SUMMARY!F52</f>
        <v>0</v>
      </c>
    </row>
    <row r="8">
      <c r="A8" s="570">
        <v>2020.0</v>
      </c>
      <c r="B8" s="572">
        <f>SUMMARY!C46</f>
        <v>0</v>
      </c>
      <c r="C8" s="575">
        <f>SUMMARY!D46</f>
        <v>0</v>
      </c>
      <c r="D8" s="575">
        <f>SUMMARY!F46</f>
        <v>0</v>
      </c>
    </row>
    <row r="9">
      <c r="A9" s="570">
        <v>2021.0</v>
      </c>
      <c r="B9" s="572">
        <f>SUMMARY!C40</f>
        <v>0</v>
      </c>
      <c r="C9" s="575">
        <f>SUMMARY!D40</f>
        <v>0</v>
      </c>
      <c r="D9" s="575">
        <f>SUMMARY!F40</f>
        <v>0</v>
      </c>
    </row>
    <row r="10">
      <c r="A10" s="570">
        <v>2022.0</v>
      </c>
      <c r="B10" s="572">
        <f>SUMMARY!C34</f>
        <v>96</v>
      </c>
      <c r="C10" s="575">
        <f>SUMMARY!D34</f>
        <v>93.78169811</v>
      </c>
      <c r="D10" s="575">
        <f>SUMMARY!F34</f>
        <v>1621287.68</v>
      </c>
    </row>
    <row r="11">
      <c r="A11" s="570">
        <v>2023.0</v>
      </c>
      <c r="B11" s="572">
        <f>SUMMARY!C28</f>
        <v>111</v>
      </c>
      <c r="C11" s="575">
        <f>SUMMARY!D28</f>
        <v>88.1727</v>
      </c>
      <c r="D11" s="575">
        <f>SUMMARY!F28</f>
        <v>2125758.95</v>
      </c>
    </row>
    <row r="12">
      <c r="A12" s="570">
        <v>2024.0</v>
      </c>
      <c r="B12" s="572">
        <f>SUMMARY!C22</f>
        <v>116</v>
      </c>
      <c r="C12" s="575">
        <f>SUMMARY!D22</f>
        <v>65.94495755</v>
      </c>
      <c r="D12" s="575">
        <f>SUMMARY!F22</f>
        <v>2119779.45</v>
      </c>
    </row>
    <row r="13">
      <c r="A13" s="570">
        <v>2025.0</v>
      </c>
      <c r="B13" s="572">
        <f>SUMMARY!C16</f>
        <v>83</v>
      </c>
      <c r="C13" s="575">
        <f>SUMMARY!D16</f>
        <v>193.047</v>
      </c>
      <c r="D13" s="575">
        <f>SUMMARY!F16</f>
        <v>2847280.8</v>
      </c>
    </row>
    <row r="14">
      <c r="A14" s="570">
        <v>2026.0</v>
      </c>
      <c r="B14" s="572">
        <f>SUMMARY!C10</f>
        <v>112</v>
      </c>
      <c r="C14" s="575">
        <f>SUMMARY!D10</f>
        <v>710.4452</v>
      </c>
      <c r="D14" s="575">
        <f>SUMMARY!F10</f>
        <v>1880415.87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4.88"/>
    <col customWidth="1" min="2" max="2" width="23.13"/>
    <col customWidth="1" min="3" max="3" width="18.25"/>
    <col customWidth="1" min="4" max="4" width="16.75"/>
    <col customWidth="1" min="5" max="5" width="18.75"/>
    <col customWidth="1" min="6" max="6" width="29.25"/>
    <col customWidth="1" min="7" max="7" width="16.0"/>
    <col customWidth="1" min="8" max="8" width="15.38"/>
  </cols>
  <sheetData>
    <row r="1">
      <c r="A1" s="4" t="s">
        <v>1</v>
      </c>
    </row>
    <row r="2">
      <c r="A2" s="6" t="s">
        <v>2</v>
      </c>
    </row>
    <row r="3">
      <c r="A3" s="8"/>
      <c r="B3" s="8"/>
      <c r="C3" s="8"/>
      <c r="D3" s="8"/>
      <c r="E3" s="8"/>
      <c r="F3" s="8"/>
    </row>
    <row r="4" ht="33.0" customHeight="1">
      <c r="A4" s="9" t="s">
        <v>5</v>
      </c>
      <c r="B4" s="9" t="s">
        <v>6</v>
      </c>
      <c r="C4" s="9" t="s">
        <v>7</v>
      </c>
      <c r="D4" s="9" t="s">
        <v>8</v>
      </c>
      <c r="E4" s="9" t="s">
        <v>9</v>
      </c>
      <c r="F4" s="9" t="s">
        <v>10</v>
      </c>
      <c r="G4" s="11" t="s">
        <v>11</v>
      </c>
      <c r="H4" s="11" t="s">
        <v>13</v>
      </c>
      <c r="I4" s="16" t="s">
        <v>14</v>
      </c>
      <c r="J4" s="16" t="s">
        <v>13</v>
      </c>
      <c r="K4" s="18"/>
      <c r="L4" s="18"/>
      <c r="S4" s="18"/>
      <c r="T4" s="18"/>
      <c r="U4" s="18"/>
      <c r="V4" s="18"/>
      <c r="W4" s="18"/>
      <c r="X4" s="18"/>
      <c r="Y4" s="18"/>
      <c r="Z4" s="18"/>
    </row>
    <row r="5" ht="20.25" customHeight="1">
      <c r="A5" s="22">
        <v>2026.0</v>
      </c>
      <c r="B5" s="25" t="s">
        <v>19</v>
      </c>
      <c r="C5" s="30">
        <f>COUNTA('2026'!B10:B53)</f>
        <v>43</v>
      </c>
      <c r="D5" s="33">
        <f>'2026'!G54</f>
        <v>104.42</v>
      </c>
      <c r="E5" s="33">
        <f>SUM('2026'!H10:H53)</f>
        <v>12721.54</v>
      </c>
      <c r="F5" s="33">
        <f>'2026'!I54</f>
        <v>1052210.6</v>
      </c>
      <c r="G5" s="36"/>
    </row>
    <row r="6" ht="20.25" customHeight="1">
      <c r="A6" s="41"/>
      <c r="B6" s="25" t="s">
        <v>33</v>
      </c>
      <c r="C6" s="30">
        <f>COUNTA('2026'!B56:B84)</f>
        <v>29</v>
      </c>
      <c r="D6" s="33">
        <f>'2026'!G85</f>
        <v>589.61</v>
      </c>
      <c r="E6" s="33">
        <f>SUM('2026'!H56:H84)</f>
        <v>5421.896</v>
      </c>
      <c r="F6" s="33">
        <f>'2026'!I85</f>
        <v>394948.6</v>
      </c>
      <c r="G6" s="49"/>
      <c r="H6" s="52"/>
    </row>
    <row r="7" ht="20.25" customHeight="1">
      <c r="A7" s="41"/>
      <c r="B7" s="25" t="s">
        <v>45</v>
      </c>
      <c r="C7" s="30">
        <f>COUNTA('2026'!B87:B105)</f>
        <v>19</v>
      </c>
      <c r="D7" s="33">
        <f>SUM('2026'!G87:G105)</f>
        <v>11.49</v>
      </c>
      <c r="E7" s="33">
        <f>SUM('2026'!H87:H105)</f>
        <v>6738.18</v>
      </c>
      <c r="F7" s="33">
        <f>'2026'!I106</f>
        <v>320432.95</v>
      </c>
      <c r="G7" s="49"/>
      <c r="H7" s="52"/>
    </row>
    <row r="8" ht="20.25" customHeight="1">
      <c r="A8" s="41"/>
      <c r="B8" s="25" t="s">
        <v>52</v>
      </c>
      <c r="C8" s="30">
        <f>COUNTA('2026'!B108:B121)</f>
        <v>14</v>
      </c>
      <c r="D8" s="33">
        <f>SUM('2026'!G108:G121)</f>
        <v>2.937</v>
      </c>
      <c r="E8" s="33">
        <f>'2026'!H122</f>
        <v>1247.1</v>
      </c>
      <c r="F8" s="33">
        <f>'2026'!I122</f>
        <v>100823.72</v>
      </c>
      <c r="G8" s="49"/>
      <c r="H8" s="52"/>
    </row>
    <row r="9" ht="20.25" customHeight="1">
      <c r="A9" s="31"/>
      <c r="B9" s="25" t="s">
        <v>57</v>
      </c>
      <c r="C9" s="30">
        <f>COUNTA('2026'!B124:B130)</f>
        <v>7</v>
      </c>
      <c r="D9" s="33">
        <f>SUM('2026'!G124:G130)</f>
        <v>1.9882</v>
      </c>
      <c r="E9" s="33">
        <f>'2026'!H131</f>
        <v>1704.07</v>
      </c>
      <c r="F9" s="33">
        <f>'2026'!I131</f>
        <v>12000</v>
      </c>
      <c r="G9" s="49"/>
      <c r="H9" s="52"/>
    </row>
    <row r="10" ht="20.25" customHeight="1">
      <c r="A10" s="60" t="str">
        <f>concat(A5," TOTAL")</f>
        <v>2026 TOTAL</v>
      </c>
      <c r="B10" s="62"/>
      <c r="C10" s="64">
        <f t="shared" ref="C10:F10" si="1">sum(C5:C9)</f>
        <v>112</v>
      </c>
      <c r="D10" s="66">
        <f t="shared" si="1"/>
        <v>710.4452</v>
      </c>
      <c r="E10" s="66">
        <f t="shared" si="1"/>
        <v>27832.786</v>
      </c>
      <c r="F10" s="66">
        <f t="shared" si="1"/>
        <v>1880415.87</v>
      </c>
      <c r="G10" s="49"/>
      <c r="H10" s="52"/>
    </row>
    <row r="11" ht="20.25" customHeight="1">
      <c r="A11" s="69">
        <v>2025.0</v>
      </c>
      <c r="B11" s="25" t="s">
        <v>19</v>
      </c>
      <c r="C11" s="30">
        <f>COUNTA('2025'!A6:A58)</f>
        <v>53</v>
      </c>
      <c r="D11" s="33">
        <f>'2025'!G59</f>
        <v>121.297</v>
      </c>
      <c r="E11" s="33">
        <f>'2025'!H59</f>
        <v>51828.843</v>
      </c>
      <c r="F11" s="33">
        <f>'2025'!I59</f>
        <v>2756760.8</v>
      </c>
    </row>
    <row r="12" ht="20.25" customHeight="1">
      <c r="A12" s="41"/>
      <c r="B12" s="25" t="s">
        <v>33</v>
      </c>
      <c r="C12" s="30">
        <f>COUNTA('2025'!A61:A68)</f>
        <v>8</v>
      </c>
      <c r="D12" s="72" t="s">
        <v>118</v>
      </c>
      <c r="E12" s="33">
        <f>'2025'!H69</f>
        <v>1236.3</v>
      </c>
      <c r="F12" s="33">
        <f>'2025'!I69</f>
        <v>90520</v>
      </c>
    </row>
    <row r="13" ht="20.25" customHeight="1">
      <c r="A13" s="41"/>
      <c r="B13" s="25" t="s">
        <v>45</v>
      </c>
      <c r="C13" s="30">
        <f>'2025'!A91</f>
        <v>13</v>
      </c>
      <c r="D13" s="33">
        <f>'2025'!G91</f>
        <v>8.75</v>
      </c>
      <c r="E13" s="33">
        <f>'2025'!H91</f>
        <v>10977.62</v>
      </c>
      <c r="F13" s="72" t="s">
        <v>118</v>
      </c>
    </row>
    <row r="14" ht="20.25" customHeight="1">
      <c r="A14" s="41"/>
      <c r="B14" s="25" t="s">
        <v>52</v>
      </c>
      <c r="C14" s="30">
        <f>'2025'!A76</f>
        <v>5</v>
      </c>
      <c r="D14" s="72" t="s">
        <v>118</v>
      </c>
      <c r="E14" s="33">
        <f>'2025'!H76</f>
        <v>2740.99</v>
      </c>
      <c r="F14" s="72" t="s">
        <v>118</v>
      </c>
    </row>
    <row r="15" ht="20.25" customHeight="1">
      <c r="A15" s="31"/>
      <c r="B15" s="25" t="s">
        <v>57</v>
      </c>
      <c r="C15" s="30">
        <f>'2025'!A97</f>
        <v>4</v>
      </c>
      <c r="D15" s="33">
        <f>'2025'!G97</f>
        <v>63</v>
      </c>
      <c r="E15" s="33">
        <f>'2025'!H97</f>
        <v>60</v>
      </c>
      <c r="F15" s="72" t="s">
        <v>118</v>
      </c>
    </row>
    <row r="16" ht="20.25" customHeight="1">
      <c r="A16" s="60" t="str">
        <f>concat(A11," TOTAL")</f>
        <v>2025 TOTAL</v>
      </c>
      <c r="B16" s="62"/>
      <c r="C16" s="64">
        <f t="shared" ref="C16:F16" si="2">SUM(C11:C15)</f>
        <v>83</v>
      </c>
      <c r="D16" s="66">
        <f t="shared" si="2"/>
        <v>193.047</v>
      </c>
      <c r="E16" s="66">
        <f t="shared" si="2"/>
        <v>66843.753</v>
      </c>
      <c r="F16" s="66">
        <f t="shared" si="2"/>
        <v>2847280.8</v>
      </c>
    </row>
    <row r="17" ht="20.25" customHeight="1">
      <c r="A17" s="69">
        <v>2024.0</v>
      </c>
      <c r="B17" s="25" t="s">
        <v>19</v>
      </c>
      <c r="C17" s="79">
        <f>'2024'!A36</f>
        <v>29</v>
      </c>
      <c r="D17" s="33">
        <f>'2024'!G36</f>
        <v>20.06129717</v>
      </c>
      <c r="E17" s="33">
        <f>'2024'!H36</f>
        <v>8765.83</v>
      </c>
      <c r="F17" s="33">
        <f>'2024'!I36</f>
        <v>521740.95</v>
      </c>
    </row>
    <row r="18" ht="20.25" customHeight="1">
      <c r="A18" s="41"/>
      <c r="B18" s="25" t="s">
        <v>33</v>
      </c>
      <c r="C18" s="79">
        <f>'2024'!A81</f>
        <v>43</v>
      </c>
      <c r="D18" s="33">
        <f>'2024'!G81</f>
        <v>15.528</v>
      </c>
      <c r="E18" s="33">
        <f>'2024'!H81</f>
        <v>8775</v>
      </c>
      <c r="F18" s="33">
        <f>'2024'!I81</f>
        <v>459125</v>
      </c>
    </row>
    <row r="19" ht="20.25" customHeight="1">
      <c r="A19" s="41"/>
      <c r="B19" s="25" t="s">
        <v>45</v>
      </c>
      <c r="C19" s="79">
        <f>'2024'!A110</f>
        <v>27</v>
      </c>
      <c r="D19" s="33">
        <f>'2024'!G110</f>
        <v>24.51</v>
      </c>
      <c r="E19" s="33">
        <f>'2024'!H110</f>
        <v>11082.91</v>
      </c>
      <c r="F19" s="33">
        <f>'2024'!I110</f>
        <v>616751</v>
      </c>
    </row>
    <row r="20" ht="20.25" customHeight="1">
      <c r="A20" s="41"/>
      <c r="B20" s="25" t="s">
        <v>52</v>
      </c>
      <c r="C20" s="79">
        <f>'2024'!A124</f>
        <v>12</v>
      </c>
      <c r="D20" s="33">
        <f>'2024'!G124</f>
        <v>4.635660377</v>
      </c>
      <c r="E20" s="33">
        <f>'2024'!H124</f>
        <v>3913.47</v>
      </c>
      <c r="F20" s="33">
        <f>'2024'!I124</f>
        <v>483402.5</v>
      </c>
    </row>
    <row r="21" ht="20.25" customHeight="1">
      <c r="A21" s="31"/>
      <c r="B21" s="25" t="s">
        <v>57</v>
      </c>
      <c r="C21" s="79">
        <f>'2024'!A131</f>
        <v>5</v>
      </c>
      <c r="D21" s="33">
        <f>'2024'!G131</f>
        <v>1.21</v>
      </c>
      <c r="E21" s="33">
        <f>'2024'!H131</f>
        <v>1302.03</v>
      </c>
      <c r="F21" s="33">
        <f>'2024'!I131</f>
        <v>38760</v>
      </c>
    </row>
    <row r="22" ht="20.25" customHeight="1">
      <c r="A22" s="60" t="str">
        <f>concat(A17," TOTAL")</f>
        <v>2024 TOTAL</v>
      </c>
      <c r="B22" s="62"/>
      <c r="C22" s="64">
        <f t="shared" ref="C22:F22" si="3">SUM(C17:C21)</f>
        <v>116</v>
      </c>
      <c r="D22" s="66">
        <f t="shared" si="3"/>
        <v>65.94495755</v>
      </c>
      <c r="E22" s="66">
        <f t="shared" si="3"/>
        <v>33839.24</v>
      </c>
      <c r="F22" s="66">
        <f t="shared" si="3"/>
        <v>2119779.45</v>
      </c>
    </row>
    <row r="23" ht="20.25" customHeight="1">
      <c r="A23" s="69">
        <v>2023.0</v>
      </c>
      <c r="B23" s="25" t="s">
        <v>19</v>
      </c>
      <c r="C23" s="30">
        <f>'2023'!A42</f>
        <v>36</v>
      </c>
      <c r="D23" s="33">
        <f>'2023'!G42</f>
        <v>31.973</v>
      </c>
      <c r="E23" s="33">
        <f>'2023'!H42</f>
        <v>14086.73</v>
      </c>
      <c r="F23" s="33">
        <f>'2023'!I42</f>
        <v>765301.4</v>
      </c>
    </row>
    <row r="24" ht="20.25" customHeight="1">
      <c r="A24" s="41"/>
      <c r="B24" s="25" t="s">
        <v>33</v>
      </c>
      <c r="C24" s="30">
        <f>'2023'!A78</f>
        <v>34</v>
      </c>
      <c r="D24" s="33">
        <f>'2023'!G78</f>
        <v>15.705</v>
      </c>
      <c r="E24" s="33">
        <f>'2023'!H78</f>
        <v>9795.55</v>
      </c>
      <c r="F24" s="33">
        <f>'2023'!I78</f>
        <v>381980</v>
      </c>
    </row>
    <row r="25" ht="20.25" customHeight="1">
      <c r="A25" s="41"/>
      <c r="B25" s="25" t="s">
        <v>45</v>
      </c>
      <c r="C25" s="30">
        <f>'2023'!A103</f>
        <v>22</v>
      </c>
      <c r="D25" s="33">
        <f>'2023'!G103</f>
        <v>19.846</v>
      </c>
      <c r="E25" s="33">
        <f>'2023'!H103</f>
        <v>9725.02</v>
      </c>
      <c r="F25" s="33">
        <f>'2023'!I103</f>
        <v>469687.5</v>
      </c>
    </row>
    <row r="26" ht="20.25" customHeight="1">
      <c r="A26" s="41"/>
      <c r="B26" s="25" t="s">
        <v>52</v>
      </c>
      <c r="C26" s="30">
        <f>'2023'!A131</f>
        <v>19</v>
      </c>
      <c r="D26" s="33">
        <f>'2023'!G131</f>
        <v>20.6487</v>
      </c>
      <c r="E26" s="33">
        <f>'2023'!H131</f>
        <v>8755.89</v>
      </c>
      <c r="F26" s="33">
        <f>'2023'!I131</f>
        <v>508790.05</v>
      </c>
    </row>
    <row r="27" ht="20.25" customHeight="1">
      <c r="A27" s="31"/>
      <c r="B27" s="25" t="s">
        <v>57</v>
      </c>
      <c r="C27" s="79" t="s">
        <v>118</v>
      </c>
      <c r="D27" s="72" t="s">
        <v>118</v>
      </c>
      <c r="E27" s="72" t="s">
        <v>118</v>
      </c>
      <c r="F27" s="72" t="s">
        <v>118</v>
      </c>
    </row>
    <row r="28" ht="20.25" customHeight="1">
      <c r="A28" s="60" t="str">
        <f>concat(A23," TOTAL")</f>
        <v>2023 TOTAL</v>
      </c>
      <c r="B28" s="62"/>
      <c r="C28" s="64">
        <f t="shared" ref="C28:F28" si="4">SUM(C23:C27)</f>
        <v>111</v>
      </c>
      <c r="D28" s="66">
        <f t="shared" si="4"/>
        <v>88.1727</v>
      </c>
      <c r="E28" s="66">
        <f t="shared" si="4"/>
        <v>42363.19</v>
      </c>
      <c r="F28" s="66">
        <f t="shared" si="4"/>
        <v>2125758.95</v>
      </c>
    </row>
    <row r="29" ht="20.25" customHeight="1">
      <c r="A29" s="69">
        <v>2022.0</v>
      </c>
      <c r="B29" s="25" t="s">
        <v>19</v>
      </c>
      <c r="C29" s="30">
        <f>'2022'!A47</f>
        <v>35</v>
      </c>
      <c r="D29" s="33">
        <f>'2022'!F47</f>
        <v>21.08768868</v>
      </c>
      <c r="E29" s="72" t="s">
        <v>118</v>
      </c>
      <c r="F29" s="33">
        <f>'2022'!H47</f>
        <v>395666.41</v>
      </c>
    </row>
    <row r="30" ht="20.25" customHeight="1">
      <c r="A30" s="41"/>
      <c r="B30" s="25" t="s">
        <v>33</v>
      </c>
      <c r="C30" s="30">
        <f>'2022'!A70</f>
        <v>21</v>
      </c>
      <c r="D30" s="33">
        <f>'2022'!F70</f>
        <v>29.42166038</v>
      </c>
      <c r="E30" s="72" t="s">
        <v>118</v>
      </c>
      <c r="F30" s="33">
        <f>'2022'!H70</f>
        <v>516242</v>
      </c>
    </row>
    <row r="31" ht="20.25" customHeight="1">
      <c r="A31" s="41"/>
      <c r="B31" s="25" t="s">
        <v>45</v>
      </c>
      <c r="C31" s="30">
        <f>'2022'!A90</f>
        <v>17</v>
      </c>
      <c r="D31" s="33">
        <f>'2022'!F90</f>
        <v>13.66170755</v>
      </c>
      <c r="E31" s="72" t="s">
        <v>118</v>
      </c>
      <c r="F31" s="33">
        <f>'2022'!H90</f>
        <v>241684.3</v>
      </c>
    </row>
    <row r="32" ht="20.25" customHeight="1">
      <c r="A32" s="41"/>
      <c r="B32" s="25" t="s">
        <v>52</v>
      </c>
      <c r="C32" s="30">
        <f>'2022'!A115</f>
        <v>23</v>
      </c>
      <c r="D32" s="33">
        <f>'2022'!F115</f>
        <v>29.61064151</v>
      </c>
      <c r="E32" s="72" t="s">
        <v>118</v>
      </c>
      <c r="F32" s="33">
        <f>'2022'!H115</f>
        <v>467694.97</v>
      </c>
    </row>
    <row r="33" ht="20.25" customHeight="1">
      <c r="A33" s="31"/>
      <c r="B33" s="25" t="s">
        <v>57</v>
      </c>
      <c r="C33" s="30"/>
      <c r="D33" s="33"/>
      <c r="E33" s="33"/>
      <c r="F33" s="33"/>
    </row>
    <row r="34" ht="20.25" customHeight="1">
      <c r="A34" s="60" t="str">
        <f>concat(A29," TOTAL")</f>
        <v>2022 TOTAL</v>
      </c>
      <c r="B34" s="62"/>
      <c r="C34" s="64">
        <f t="shared" ref="C34:F34" si="5">SUM(C29:C33)</f>
        <v>96</v>
      </c>
      <c r="D34" s="66">
        <f t="shared" si="5"/>
        <v>93.78169811</v>
      </c>
      <c r="E34" s="66">
        <f t="shared" si="5"/>
        <v>0</v>
      </c>
      <c r="F34" s="66">
        <f t="shared" si="5"/>
        <v>1621287.68</v>
      </c>
    </row>
    <row r="35" ht="20.25" customHeight="1">
      <c r="A35" s="69">
        <v>2021.0</v>
      </c>
      <c r="B35" s="25" t="s">
        <v>19</v>
      </c>
      <c r="C35" s="30"/>
      <c r="D35" s="33"/>
      <c r="E35" s="33"/>
      <c r="F35" s="33"/>
    </row>
    <row r="36" ht="20.25" customHeight="1">
      <c r="A36" s="41"/>
      <c r="B36" s="25" t="s">
        <v>33</v>
      </c>
      <c r="C36" s="30"/>
      <c r="D36" s="33"/>
      <c r="E36" s="33"/>
      <c r="F36" s="33"/>
    </row>
    <row r="37" ht="20.25" customHeight="1">
      <c r="A37" s="41"/>
      <c r="B37" s="25" t="s">
        <v>45</v>
      </c>
      <c r="C37" s="30"/>
      <c r="D37" s="33"/>
      <c r="E37" s="33"/>
      <c r="F37" s="33"/>
    </row>
    <row r="38" ht="20.25" customHeight="1">
      <c r="A38" s="41"/>
      <c r="B38" s="25" t="s">
        <v>52</v>
      </c>
      <c r="C38" s="30"/>
      <c r="D38" s="33"/>
      <c r="E38" s="33"/>
      <c r="F38" s="33"/>
    </row>
    <row r="39" ht="20.25" customHeight="1">
      <c r="A39" s="31"/>
      <c r="B39" s="25" t="s">
        <v>57</v>
      </c>
      <c r="C39" s="30"/>
      <c r="D39" s="33"/>
      <c r="E39" s="33"/>
      <c r="F39" s="33"/>
    </row>
    <row r="40" ht="20.25" customHeight="1">
      <c r="A40" s="60" t="str">
        <f>concat(A35," TOTAL")</f>
        <v>2021 TOTAL</v>
      </c>
      <c r="B40" s="62"/>
      <c r="C40" s="64">
        <f t="shared" ref="C40:F40" si="6">SUM(C35:C39)</f>
        <v>0</v>
      </c>
      <c r="D40" s="66">
        <f t="shared" si="6"/>
        <v>0</v>
      </c>
      <c r="E40" s="66">
        <f t="shared" si="6"/>
        <v>0</v>
      </c>
      <c r="F40" s="66">
        <f t="shared" si="6"/>
        <v>0</v>
      </c>
    </row>
    <row r="41" ht="20.25" customHeight="1">
      <c r="A41" s="69">
        <v>2020.0</v>
      </c>
      <c r="B41" s="25" t="s">
        <v>19</v>
      </c>
      <c r="C41" s="79"/>
      <c r="D41" s="33"/>
      <c r="E41" s="33"/>
      <c r="F41" s="33"/>
    </row>
    <row r="42" ht="20.25" customHeight="1">
      <c r="A42" s="41"/>
      <c r="B42" s="25" t="s">
        <v>33</v>
      </c>
      <c r="C42" s="79"/>
      <c r="D42" s="33"/>
      <c r="E42" s="33"/>
      <c r="F42" s="33"/>
    </row>
    <row r="43" ht="20.25" customHeight="1">
      <c r="A43" s="41"/>
      <c r="B43" s="25" t="s">
        <v>45</v>
      </c>
      <c r="C43" s="79"/>
      <c r="D43" s="33"/>
      <c r="E43" s="33"/>
      <c r="F43" s="33"/>
    </row>
    <row r="44" ht="20.25" customHeight="1">
      <c r="A44" s="41"/>
      <c r="B44" s="25" t="s">
        <v>52</v>
      </c>
      <c r="C44" s="79"/>
      <c r="D44" s="33"/>
      <c r="E44" s="33"/>
      <c r="F44" s="33"/>
    </row>
    <row r="45" ht="20.25" customHeight="1">
      <c r="A45" s="31"/>
      <c r="B45" s="25" t="s">
        <v>57</v>
      </c>
      <c r="C45" s="79"/>
      <c r="D45" s="33"/>
      <c r="E45" s="33"/>
      <c r="F45" s="33"/>
    </row>
    <row r="46" ht="20.25" customHeight="1">
      <c r="A46" s="60" t="str">
        <f>concat(A41," TOTAL")</f>
        <v>2020 TOTAL</v>
      </c>
      <c r="B46" s="62"/>
      <c r="C46" s="64">
        <f t="shared" ref="C46:F46" si="7">SUM(C41:C45)</f>
        <v>0</v>
      </c>
      <c r="D46" s="66">
        <f t="shared" si="7"/>
        <v>0</v>
      </c>
      <c r="E46" s="66">
        <f t="shared" si="7"/>
        <v>0</v>
      </c>
      <c r="F46" s="66">
        <f t="shared" si="7"/>
        <v>0</v>
      </c>
    </row>
    <row r="47" ht="20.25" customHeight="1">
      <c r="A47" s="69">
        <v>2019.0</v>
      </c>
      <c r="B47" s="25" t="s">
        <v>19</v>
      </c>
      <c r="C47" s="30"/>
      <c r="D47" s="33"/>
      <c r="E47" s="33"/>
      <c r="F47" s="33"/>
    </row>
    <row r="48" ht="20.25" customHeight="1">
      <c r="A48" s="41"/>
      <c r="B48" s="25" t="s">
        <v>33</v>
      </c>
      <c r="C48" s="30"/>
      <c r="D48" s="33"/>
      <c r="E48" s="33"/>
      <c r="F48" s="33"/>
    </row>
    <row r="49" ht="20.25" customHeight="1">
      <c r="A49" s="41"/>
      <c r="B49" s="25" t="s">
        <v>45</v>
      </c>
      <c r="C49" s="30"/>
      <c r="D49" s="33"/>
      <c r="E49" s="33"/>
      <c r="F49" s="33"/>
    </row>
    <row r="50" ht="20.25" customHeight="1">
      <c r="A50" s="41"/>
      <c r="B50" s="25" t="s">
        <v>52</v>
      </c>
      <c r="C50" s="30"/>
      <c r="D50" s="33"/>
      <c r="E50" s="33"/>
      <c r="F50" s="33"/>
    </row>
    <row r="51" ht="20.25" customHeight="1">
      <c r="A51" s="31"/>
      <c r="B51" s="25" t="s">
        <v>57</v>
      </c>
      <c r="C51" s="30"/>
      <c r="D51" s="33"/>
      <c r="E51" s="33"/>
      <c r="F51" s="33"/>
    </row>
    <row r="52" ht="20.25" customHeight="1">
      <c r="A52" s="60" t="str">
        <f>concat(A47," TOTAL")</f>
        <v>2019 TOTAL</v>
      </c>
      <c r="B52" s="62"/>
      <c r="C52" s="64">
        <f t="shared" ref="C52:F52" si="8">SUM(C47:C51)</f>
        <v>0</v>
      </c>
      <c r="D52" s="66">
        <f t="shared" si="8"/>
        <v>0</v>
      </c>
      <c r="E52" s="66">
        <f t="shared" si="8"/>
        <v>0</v>
      </c>
      <c r="F52" s="66">
        <f t="shared" si="8"/>
        <v>0</v>
      </c>
    </row>
    <row r="53" ht="20.25" customHeight="1">
      <c r="A53" s="69">
        <v>2018.0</v>
      </c>
      <c r="B53" s="25" t="s">
        <v>19</v>
      </c>
      <c r="C53" s="30"/>
      <c r="D53" s="33"/>
      <c r="E53" s="33"/>
      <c r="F53" s="33"/>
    </row>
    <row r="54" ht="20.25" customHeight="1">
      <c r="A54" s="41"/>
      <c r="B54" s="25" t="s">
        <v>33</v>
      </c>
      <c r="C54" s="30"/>
      <c r="D54" s="33"/>
      <c r="E54" s="33"/>
      <c r="F54" s="33"/>
    </row>
    <row r="55" ht="20.25" customHeight="1">
      <c r="A55" s="41"/>
      <c r="B55" s="25" t="s">
        <v>45</v>
      </c>
      <c r="C55" s="30"/>
      <c r="D55" s="33"/>
      <c r="E55" s="33"/>
      <c r="F55" s="33"/>
    </row>
    <row r="56" ht="20.25" customHeight="1">
      <c r="A56" s="41"/>
      <c r="B56" s="25" t="s">
        <v>52</v>
      </c>
      <c r="C56" s="30"/>
      <c r="D56" s="33"/>
      <c r="E56" s="33"/>
      <c r="F56" s="33"/>
    </row>
    <row r="57" ht="20.25" customHeight="1">
      <c r="A57" s="31"/>
      <c r="B57" s="25" t="s">
        <v>57</v>
      </c>
      <c r="C57" s="30"/>
      <c r="D57" s="33"/>
      <c r="E57" s="33"/>
      <c r="F57" s="33"/>
    </row>
    <row r="58" ht="20.25" customHeight="1">
      <c r="A58" s="60" t="str">
        <f>concat(A53," TOTAL")</f>
        <v>2018 TOTAL</v>
      </c>
      <c r="B58" s="62"/>
      <c r="C58" s="64">
        <f t="shared" ref="C58:F58" si="9">SUM(C53:C57)</f>
        <v>0</v>
      </c>
      <c r="D58" s="66">
        <f t="shared" si="9"/>
        <v>0</v>
      </c>
      <c r="E58" s="66">
        <f t="shared" si="9"/>
        <v>0</v>
      </c>
      <c r="F58" s="66">
        <f t="shared" si="9"/>
        <v>0</v>
      </c>
    </row>
    <row r="59" ht="20.25" customHeight="1">
      <c r="A59" s="69">
        <v>2017.0</v>
      </c>
      <c r="B59" s="25" t="s">
        <v>19</v>
      </c>
      <c r="C59" s="30"/>
      <c r="D59" s="33"/>
      <c r="E59" s="33"/>
      <c r="F59" s="33"/>
    </row>
    <row r="60" ht="20.25" customHeight="1">
      <c r="A60" s="41"/>
      <c r="B60" s="25" t="s">
        <v>33</v>
      </c>
      <c r="C60" s="30"/>
      <c r="D60" s="33"/>
      <c r="E60" s="33"/>
      <c r="F60" s="33"/>
    </row>
    <row r="61" ht="20.25" customHeight="1">
      <c r="A61" s="41"/>
      <c r="B61" s="25" t="s">
        <v>45</v>
      </c>
      <c r="C61" s="30"/>
      <c r="D61" s="33"/>
      <c r="E61" s="33"/>
      <c r="F61" s="33"/>
    </row>
    <row r="62" ht="20.25" customHeight="1">
      <c r="A62" s="41"/>
      <c r="B62" s="25" t="s">
        <v>52</v>
      </c>
      <c r="C62" s="30"/>
      <c r="D62" s="33"/>
      <c r="E62" s="33"/>
      <c r="F62" s="33"/>
    </row>
    <row r="63" ht="20.25" customHeight="1">
      <c r="A63" s="31"/>
      <c r="B63" s="25" t="s">
        <v>57</v>
      </c>
      <c r="C63" s="30"/>
      <c r="D63" s="33"/>
      <c r="E63" s="33"/>
      <c r="F63" s="33"/>
    </row>
    <row r="64" ht="20.25" customHeight="1">
      <c r="A64" s="60" t="str">
        <f>concat(A59," TOTAL")</f>
        <v>2017 TOTAL</v>
      </c>
      <c r="B64" s="62"/>
      <c r="C64" s="64">
        <f t="shared" ref="C64:F64" si="10">SUM(C59:C63)</f>
        <v>0</v>
      </c>
      <c r="D64" s="66">
        <f t="shared" si="10"/>
        <v>0</v>
      </c>
      <c r="E64" s="66">
        <f t="shared" si="10"/>
        <v>0</v>
      </c>
      <c r="F64" s="66">
        <f t="shared" si="10"/>
        <v>0</v>
      </c>
    </row>
    <row r="65" ht="20.25" customHeight="1">
      <c r="A65" s="69">
        <v>2016.0</v>
      </c>
      <c r="B65" s="25" t="s">
        <v>19</v>
      </c>
      <c r="C65" s="30"/>
      <c r="D65" s="33"/>
      <c r="E65" s="33"/>
      <c r="F65" s="33"/>
    </row>
    <row r="66" ht="20.25" customHeight="1">
      <c r="A66" s="41"/>
      <c r="B66" s="25" t="s">
        <v>33</v>
      </c>
      <c r="C66" s="30"/>
      <c r="D66" s="33"/>
      <c r="E66" s="33"/>
      <c r="F66" s="33"/>
    </row>
    <row r="67" ht="20.25" customHeight="1">
      <c r="A67" s="41"/>
      <c r="B67" s="25" t="s">
        <v>45</v>
      </c>
      <c r="C67" s="30"/>
      <c r="D67" s="33"/>
      <c r="E67" s="33"/>
      <c r="F67" s="33"/>
    </row>
    <row r="68" ht="20.25" customHeight="1">
      <c r="A68" s="41"/>
      <c r="B68" s="25" t="s">
        <v>52</v>
      </c>
      <c r="C68" s="30"/>
      <c r="D68" s="33"/>
      <c r="E68" s="33"/>
      <c r="F68" s="33"/>
    </row>
    <row r="69" ht="20.25" customHeight="1">
      <c r="A69" s="31"/>
      <c r="B69" s="25" t="s">
        <v>57</v>
      </c>
      <c r="C69" s="30"/>
      <c r="D69" s="33"/>
      <c r="E69" s="33"/>
      <c r="F69" s="33"/>
    </row>
    <row r="70" ht="20.25" customHeight="1">
      <c r="A70" s="60" t="str">
        <f>concat(A65," TOTAL")</f>
        <v>2016 TOTAL</v>
      </c>
      <c r="B70" s="62"/>
      <c r="C70" s="64">
        <f t="shared" ref="C70:F70" si="11">SUM(C65:C69)</f>
        <v>0</v>
      </c>
      <c r="D70" s="66">
        <f t="shared" si="11"/>
        <v>0</v>
      </c>
      <c r="E70" s="66">
        <f t="shared" si="11"/>
        <v>0</v>
      </c>
      <c r="F70" s="66">
        <f t="shared" si="11"/>
        <v>0</v>
      </c>
    </row>
    <row r="71" ht="20.25" customHeight="1">
      <c r="A71" s="69">
        <v>2015.0</v>
      </c>
      <c r="B71" s="25" t="s">
        <v>19</v>
      </c>
      <c r="C71" s="30"/>
      <c r="D71" s="33"/>
      <c r="E71" s="33"/>
      <c r="F71" s="33"/>
    </row>
    <row r="72" ht="20.25" customHeight="1">
      <c r="A72" s="41"/>
      <c r="B72" s="25" t="s">
        <v>33</v>
      </c>
      <c r="C72" s="30"/>
      <c r="D72" s="33"/>
      <c r="E72" s="33"/>
      <c r="F72" s="33"/>
    </row>
    <row r="73" ht="20.25" customHeight="1">
      <c r="A73" s="41"/>
      <c r="B73" s="25" t="s">
        <v>45</v>
      </c>
      <c r="C73" s="30"/>
      <c r="D73" s="33"/>
      <c r="E73" s="33"/>
      <c r="F73" s="33"/>
    </row>
    <row r="74" ht="20.25" customHeight="1">
      <c r="A74" s="41"/>
      <c r="B74" s="25" t="s">
        <v>52</v>
      </c>
      <c r="C74" s="30"/>
      <c r="D74" s="33"/>
      <c r="E74" s="33"/>
      <c r="F74" s="33"/>
    </row>
    <row r="75" ht="20.25" customHeight="1">
      <c r="A75" s="31"/>
      <c r="B75" s="25" t="s">
        <v>57</v>
      </c>
      <c r="C75" s="30"/>
      <c r="D75" s="33"/>
      <c r="E75" s="33"/>
      <c r="F75" s="33"/>
    </row>
    <row r="76" ht="20.25" customHeight="1">
      <c r="A76" s="60" t="str">
        <f>concat(A71," TOTAL")</f>
        <v>2015 TOTAL</v>
      </c>
      <c r="B76" s="62"/>
      <c r="C76" s="64">
        <f t="shared" ref="C76:F76" si="12">SUM(C71:C75)</f>
        <v>0</v>
      </c>
      <c r="D76" s="66">
        <f t="shared" si="12"/>
        <v>0</v>
      </c>
      <c r="E76" s="66">
        <f t="shared" si="12"/>
        <v>0</v>
      </c>
      <c r="F76" s="66">
        <f t="shared" si="12"/>
        <v>0</v>
      </c>
    </row>
    <row r="77" ht="20.25" customHeight="1">
      <c r="A77" s="69">
        <v>2014.0</v>
      </c>
      <c r="B77" s="25" t="s">
        <v>19</v>
      </c>
      <c r="C77" s="30">
        <f>'2014'!A79</f>
        <v>48</v>
      </c>
      <c r="D77" s="33">
        <f>'2014'!E79</f>
        <v>73.70526792</v>
      </c>
      <c r="E77" s="158" t="s">
        <v>118</v>
      </c>
      <c r="F77" s="33">
        <f>'2014'!F79</f>
        <v>772198.79</v>
      </c>
    </row>
    <row r="78" ht="20.25" customHeight="1">
      <c r="A78" s="41"/>
      <c r="B78" s="25" t="s">
        <v>33</v>
      </c>
      <c r="C78" s="30">
        <f>'2014'!A91</f>
        <v>10</v>
      </c>
      <c r="D78" s="33">
        <f>'2014'!E91</f>
        <v>81.60609434</v>
      </c>
      <c r="E78" s="158" t="s">
        <v>118</v>
      </c>
      <c r="F78" s="33">
        <f>'2014'!F91</f>
        <v>884123.0217</v>
      </c>
    </row>
    <row r="79" ht="20.25" customHeight="1">
      <c r="A79" s="41"/>
      <c r="B79" s="25" t="s">
        <v>45</v>
      </c>
      <c r="C79" s="30">
        <f>'2014'!A104</f>
        <v>4</v>
      </c>
      <c r="D79" s="33">
        <f>'2014'!E104</f>
        <v>7.034103774</v>
      </c>
      <c r="E79" s="158" t="s">
        <v>118</v>
      </c>
      <c r="F79" s="33">
        <f>'2014'!F104</f>
        <v>136908.3</v>
      </c>
    </row>
    <row r="80" ht="20.25" customHeight="1">
      <c r="A80" s="41"/>
      <c r="B80" s="25" t="s">
        <v>52</v>
      </c>
      <c r="C80" s="30">
        <f>'2014'!A98</f>
        <v>5</v>
      </c>
      <c r="D80" s="33">
        <f>'2014'!E98</f>
        <v>10.79</v>
      </c>
      <c r="E80" s="158" t="s">
        <v>118</v>
      </c>
      <c r="F80" s="33">
        <f>'2014'!F98</f>
        <v>90695.11</v>
      </c>
    </row>
    <row r="81" ht="20.25" customHeight="1">
      <c r="A81" s="31"/>
      <c r="B81" s="165" t="s">
        <v>327</v>
      </c>
      <c r="C81" s="30">
        <f>'2014'!A29</f>
        <v>21</v>
      </c>
      <c r="D81" s="33">
        <f>'2014'!E29</f>
        <v>13.7370283</v>
      </c>
      <c r="E81" s="158" t="s">
        <v>118</v>
      </c>
      <c r="F81" s="33">
        <f>'2014'!F29</f>
        <v>258788.1</v>
      </c>
    </row>
    <row r="82" ht="20.25" customHeight="1">
      <c r="A82" s="60" t="str">
        <f>concat(A77," TOTAL")</f>
        <v>2014 TOTAL</v>
      </c>
      <c r="B82" s="62"/>
      <c r="C82" s="64">
        <f t="shared" ref="C82:D82" si="13">SUM(C77:C81)</f>
        <v>88</v>
      </c>
      <c r="D82" s="66">
        <f t="shared" si="13"/>
        <v>186.8724943</v>
      </c>
      <c r="E82" s="171" t="s">
        <v>118</v>
      </c>
      <c r="F82" s="66">
        <f>SUM(F77:F81)</f>
        <v>2142713.322</v>
      </c>
    </row>
    <row r="99">
      <c r="T99" s="175"/>
    </row>
  </sheetData>
  <autoFilter ref="$A$4:$F$82"/>
  <mergeCells count="15">
    <mergeCell ref="A35:A39"/>
    <mergeCell ref="A41:A45"/>
    <mergeCell ref="A47:A51"/>
    <mergeCell ref="A53:A57"/>
    <mergeCell ref="A59:A63"/>
    <mergeCell ref="A65:A69"/>
    <mergeCell ref="A71:A75"/>
    <mergeCell ref="A77:A81"/>
    <mergeCell ref="A1:F1"/>
    <mergeCell ref="A2:F2"/>
    <mergeCell ref="A5:A9"/>
    <mergeCell ref="A11:A15"/>
    <mergeCell ref="A17:A21"/>
    <mergeCell ref="A23:A27"/>
    <mergeCell ref="A29:A33"/>
  </mergeCells>
  <conditionalFormatting sqref="C5:F9 C11:F15 C17:F21 C23:F27 C29:F33 C35:F39 C41:F45 C47:F51 C53:F57 C59:F63 C65:F69 C71:F75 C77:F81">
    <cfRule type="containsBlanks" dxfId="0" priority="1">
      <formula>LEN(TRIM(C5))=0</formula>
    </cfRule>
  </conditionalFormatting>
  <conditionalFormatting sqref="E77:E81">
    <cfRule type="notContainsBlanks" dxfId="1" priority="2">
      <formula>LEN(TRIM(E77))&gt;0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13"/>
    <col customWidth="1" min="2" max="2" width="28.0"/>
    <col customWidth="1" min="3" max="3" width="20.0"/>
    <col customWidth="1" min="4" max="4" width="18.63"/>
    <col customWidth="1" min="5" max="5" width="13.63"/>
    <col customWidth="1" min="6" max="6" width="17.75"/>
    <col customWidth="1" min="7" max="7" width="15.88"/>
    <col customWidth="1" min="8" max="8" width="24.0"/>
    <col customWidth="1" min="9" max="9" width="49.25"/>
  </cols>
  <sheetData>
    <row r="1">
      <c r="A1" s="1"/>
      <c r="B1" s="3" t="s">
        <v>0</v>
      </c>
      <c r="C1" s="5"/>
      <c r="D1" s="5"/>
      <c r="E1" s="5"/>
      <c r="F1" s="5"/>
      <c r="G1" s="5"/>
      <c r="H1" s="5"/>
      <c r="I1" s="7"/>
    </row>
    <row r="2">
      <c r="A2" s="1"/>
      <c r="B2" s="3" t="s">
        <v>3</v>
      </c>
      <c r="C2" s="5"/>
      <c r="D2" s="5"/>
      <c r="E2" s="5"/>
      <c r="F2" s="5"/>
      <c r="G2" s="5"/>
      <c r="H2" s="5"/>
      <c r="I2" s="7"/>
    </row>
    <row r="3">
      <c r="A3" s="10"/>
      <c r="B3" s="13" t="s">
        <v>12</v>
      </c>
      <c r="C3" s="5"/>
      <c r="D3" s="5"/>
      <c r="E3" s="5"/>
      <c r="F3" s="5"/>
      <c r="G3" s="5"/>
      <c r="H3" s="5"/>
      <c r="I3" s="7"/>
    </row>
    <row r="4">
      <c r="A4" s="17"/>
      <c r="B4" s="20"/>
      <c r="C4" s="20"/>
      <c r="D4" s="20"/>
      <c r="E4" s="20" t="s">
        <v>15</v>
      </c>
      <c r="F4" s="20"/>
      <c r="G4" s="20"/>
      <c r="H4" s="20"/>
      <c r="I4" s="20"/>
    </row>
    <row r="5" ht="15.0" customHeight="1">
      <c r="A5" s="23"/>
      <c r="B5" s="26" t="s">
        <v>16</v>
      </c>
      <c r="C5" s="26" t="s">
        <v>17</v>
      </c>
      <c r="D5" s="29" t="s">
        <v>18</v>
      </c>
      <c r="E5" s="27"/>
      <c r="F5" s="28"/>
      <c r="G5" s="26" t="s">
        <v>20</v>
      </c>
      <c r="H5" s="26" t="s">
        <v>21</v>
      </c>
      <c r="I5" s="26" t="s">
        <v>22</v>
      </c>
    </row>
    <row r="6">
      <c r="A6" s="23"/>
      <c r="B6" s="31"/>
      <c r="C6" s="31"/>
      <c r="D6" s="34" t="s">
        <v>23</v>
      </c>
      <c r="E6" s="34" t="s">
        <v>24</v>
      </c>
      <c r="F6" s="34" t="s">
        <v>26</v>
      </c>
      <c r="G6" s="31"/>
      <c r="H6" s="31"/>
      <c r="I6" s="31"/>
    </row>
    <row r="7" ht="15.0" customHeight="1">
      <c r="A7" s="37" t="s">
        <v>28</v>
      </c>
      <c r="B7" s="39" t="s">
        <v>30</v>
      </c>
      <c r="C7" s="27"/>
      <c r="D7" s="27"/>
      <c r="E7" s="27"/>
      <c r="F7" s="27"/>
      <c r="G7" s="27"/>
      <c r="H7" s="27"/>
      <c r="I7" s="28"/>
    </row>
    <row r="8">
      <c r="A8" s="42">
        <v>1.0</v>
      </c>
      <c r="B8" s="44" t="s">
        <v>34</v>
      </c>
      <c r="C8" s="46" t="s">
        <v>35</v>
      </c>
      <c r="D8" s="46" t="s">
        <v>36</v>
      </c>
      <c r="E8" s="48">
        <f>146/424</f>
        <v>0.3443396226</v>
      </c>
      <c r="F8" s="51">
        <v>11680.0</v>
      </c>
      <c r="G8" s="46" t="s">
        <v>40</v>
      </c>
      <c r="H8" s="46"/>
      <c r="I8" s="53" t="s">
        <v>44</v>
      </c>
    </row>
    <row r="9">
      <c r="A9" s="42">
        <v>2.0</v>
      </c>
      <c r="B9" s="44" t="s">
        <v>48</v>
      </c>
      <c r="C9" s="46" t="s">
        <v>35</v>
      </c>
      <c r="D9" s="46" t="s">
        <v>49</v>
      </c>
      <c r="E9" s="48">
        <f>1334.66/424</f>
        <v>3.147783019</v>
      </c>
      <c r="F9" s="51">
        <v>46713.1</v>
      </c>
      <c r="G9" s="46" t="s">
        <v>40</v>
      </c>
      <c r="H9" s="46"/>
      <c r="I9" s="53" t="s">
        <v>54</v>
      </c>
    </row>
    <row r="10">
      <c r="A10" s="42">
        <v>3.0</v>
      </c>
      <c r="B10" s="44" t="s">
        <v>55</v>
      </c>
      <c r="C10" s="46" t="s">
        <v>35</v>
      </c>
      <c r="D10" s="46" t="s">
        <v>56</v>
      </c>
      <c r="E10" s="48">
        <f>1112/424</f>
        <v>2.622641509</v>
      </c>
      <c r="F10" s="51">
        <v>38920.0</v>
      </c>
      <c r="G10" s="46" t="s">
        <v>58</v>
      </c>
      <c r="H10" s="46" t="s">
        <v>59</v>
      </c>
      <c r="I10" s="53" t="s">
        <v>60</v>
      </c>
    </row>
    <row r="11">
      <c r="A11" s="42">
        <v>4.0</v>
      </c>
      <c r="B11" s="44" t="s">
        <v>61</v>
      </c>
      <c r="C11" s="46" t="s">
        <v>35</v>
      </c>
      <c r="D11" s="46" t="s">
        <v>62</v>
      </c>
      <c r="E11" s="48"/>
      <c r="F11" s="51">
        <v>16000.0</v>
      </c>
      <c r="G11" s="46" t="s">
        <v>40</v>
      </c>
      <c r="H11" s="46"/>
      <c r="I11" s="53" t="s">
        <v>63</v>
      </c>
    </row>
    <row r="12">
      <c r="A12" s="42">
        <v>5.0</v>
      </c>
      <c r="B12" s="44" t="s">
        <v>64</v>
      </c>
      <c r="C12" s="46" t="s">
        <v>35</v>
      </c>
      <c r="D12" s="46" t="s">
        <v>65</v>
      </c>
      <c r="E12" s="48">
        <f>172.16/424</f>
        <v>0.4060377358</v>
      </c>
      <c r="F12" s="51">
        <v>10329.6</v>
      </c>
      <c r="G12" s="46" t="s">
        <v>40</v>
      </c>
      <c r="H12" s="46"/>
      <c r="I12" s="53" t="s">
        <v>68</v>
      </c>
    </row>
    <row r="13">
      <c r="A13" s="42">
        <v>6.0</v>
      </c>
      <c r="B13" s="44" t="s">
        <v>69</v>
      </c>
      <c r="C13" s="46" t="s">
        <v>35</v>
      </c>
      <c r="D13" s="46" t="s">
        <v>70</v>
      </c>
      <c r="E13" s="48">
        <f>128/424</f>
        <v>0.3018867925</v>
      </c>
      <c r="F13" s="51">
        <v>3840.0</v>
      </c>
      <c r="G13" s="46" t="s">
        <v>71</v>
      </c>
      <c r="H13" s="46" t="s">
        <v>73</v>
      </c>
      <c r="I13" s="53" t="s">
        <v>75</v>
      </c>
    </row>
    <row r="14">
      <c r="A14" s="42">
        <v>7.0</v>
      </c>
      <c r="B14" s="44" t="s">
        <v>76</v>
      </c>
      <c r="C14" s="63" t="s">
        <v>77</v>
      </c>
      <c r="D14" s="46" t="s">
        <v>80</v>
      </c>
      <c r="E14" s="48">
        <f>665/424</f>
        <v>1.568396226</v>
      </c>
      <c r="F14" s="51">
        <v>23275.0</v>
      </c>
      <c r="G14" s="65" t="s">
        <v>40</v>
      </c>
      <c r="H14" s="67"/>
      <c r="I14" s="63" t="s">
        <v>104</v>
      </c>
    </row>
    <row r="15">
      <c r="A15" s="42">
        <v>8.0</v>
      </c>
      <c r="B15" s="44" t="s">
        <v>106</v>
      </c>
      <c r="C15" s="46" t="s">
        <v>35</v>
      </c>
      <c r="D15" s="46" t="s">
        <v>107</v>
      </c>
      <c r="E15" s="48"/>
      <c r="F15" s="70">
        <v>1600.0</v>
      </c>
      <c r="G15" s="46" t="s">
        <v>40</v>
      </c>
      <c r="H15" s="46"/>
      <c r="I15" s="53" t="s">
        <v>112</v>
      </c>
    </row>
    <row r="16">
      <c r="A16" s="42">
        <v>9.0</v>
      </c>
      <c r="B16" s="44" t="s">
        <v>114</v>
      </c>
      <c r="C16" s="46" t="s">
        <v>35</v>
      </c>
      <c r="D16" s="46" t="s">
        <v>115</v>
      </c>
      <c r="E16" s="48"/>
      <c r="F16" s="70">
        <v>3000.0</v>
      </c>
      <c r="G16" s="46" t="s">
        <v>40</v>
      </c>
      <c r="H16" s="46"/>
      <c r="I16" s="53" t="s">
        <v>112</v>
      </c>
    </row>
    <row r="17">
      <c r="A17" s="42">
        <v>10.0</v>
      </c>
      <c r="B17" s="44" t="s">
        <v>116</v>
      </c>
      <c r="C17" s="46" t="s">
        <v>35</v>
      </c>
      <c r="D17" s="46" t="s">
        <v>117</v>
      </c>
      <c r="E17" s="48"/>
      <c r="F17" s="70">
        <v>1000.0</v>
      </c>
      <c r="G17" s="46" t="s">
        <v>40</v>
      </c>
      <c r="H17" s="46"/>
      <c r="I17" s="53" t="s">
        <v>112</v>
      </c>
    </row>
    <row r="18">
      <c r="A18" s="42">
        <v>11.0</v>
      </c>
      <c r="B18" s="44" t="s">
        <v>119</v>
      </c>
      <c r="C18" s="46" t="s">
        <v>35</v>
      </c>
      <c r="D18" s="46" t="s">
        <v>120</v>
      </c>
      <c r="E18" s="48">
        <v>0.33</v>
      </c>
      <c r="F18" s="73">
        <v>4900.0</v>
      </c>
      <c r="G18" s="46" t="s">
        <v>40</v>
      </c>
      <c r="H18" s="46"/>
      <c r="I18" s="53" t="s">
        <v>123</v>
      </c>
    </row>
    <row r="19" ht="15.0" customHeight="1">
      <c r="A19" s="42">
        <v>12.0</v>
      </c>
      <c r="B19" s="75" t="s">
        <v>124</v>
      </c>
      <c r="C19" s="76" t="s">
        <v>35</v>
      </c>
      <c r="D19" s="46" t="s">
        <v>126</v>
      </c>
      <c r="E19" s="48">
        <v>0.16</v>
      </c>
      <c r="F19" s="78">
        <v>5600.0</v>
      </c>
      <c r="G19" s="46" t="s">
        <v>40</v>
      </c>
      <c r="H19" s="76"/>
      <c r="I19" s="80" t="s">
        <v>136</v>
      </c>
    </row>
    <row r="20">
      <c r="A20" s="42">
        <v>13.0</v>
      </c>
      <c r="B20" s="31"/>
      <c r="C20" s="31"/>
      <c r="D20" s="46" t="s">
        <v>141</v>
      </c>
      <c r="E20" s="48">
        <v>0.32</v>
      </c>
      <c r="F20" s="78">
        <v>10666.0</v>
      </c>
      <c r="G20" s="46" t="s">
        <v>40</v>
      </c>
      <c r="H20" s="31"/>
      <c r="I20" s="31"/>
    </row>
    <row r="21" ht="15.75" customHeight="1">
      <c r="A21" s="42">
        <v>14.0</v>
      </c>
      <c r="B21" s="81" t="s">
        <v>144</v>
      </c>
      <c r="C21" s="82" t="s">
        <v>35</v>
      </c>
      <c r="D21" s="82" t="s">
        <v>150</v>
      </c>
      <c r="E21" s="84">
        <f>110.66/424</f>
        <v>0.260990566</v>
      </c>
      <c r="F21" s="85">
        <v>3813.1</v>
      </c>
      <c r="G21" s="82" t="s">
        <v>40</v>
      </c>
      <c r="H21" s="82"/>
      <c r="I21" s="82" t="s">
        <v>157</v>
      </c>
    </row>
    <row r="22" ht="15.75" customHeight="1">
      <c r="A22" s="42">
        <v>15.0</v>
      </c>
      <c r="B22" s="46" t="s">
        <v>159</v>
      </c>
      <c r="C22" s="46" t="s">
        <v>35</v>
      </c>
      <c r="D22" s="46" t="s">
        <v>160</v>
      </c>
      <c r="E22" s="48">
        <f>316/424</f>
        <v>0.7452830189</v>
      </c>
      <c r="F22" s="73">
        <v>11060.0</v>
      </c>
      <c r="G22" s="46" t="s">
        <v>40</v>
      </c>
      <c r="H22" s="46"/>
      <c r="I22" s="53" t="s">
        <v>163</v>
      </c>
    </row>
    <row r="23" ht="15.75" customHeight="1">
      <c r="A23" s="42">
        <v>16.0</v>
      </c>
      <c r="B23" s="46" t="s">
        <v>164</v>
      </c>
      <c r="C23" s="46" t="s">
        <v>35</v>
      </c>
      <c r="D23" s="46" t="s">
        <v>165</v>
      </c>
      <c r="E23" s="48"/>
      <c r="F23" s="73">
        <f>200*20</f>
        <v>4000</v>
      </c>
      <c r="G23" s="46" t="s">
        <v>40</v>
      </c>
      <c r="H23" s="46" t="s">
        <v>169</v>
      </c>
      <c r="I23" s="46" t="s">
        <v>79</v>
      </c>
    </row>
    <row r="24" ht="15.75" customHeight="1">
      <c r="A24" s="42">
        <v>17.0</v>
      </c>
      <c r="B24" s="46" t="s">
        <v>172</v>
      </c>
      <c r="C24" s="46" t="s">
        <v>35</v>
      </c>
      <c r="D24" s="46" t="s">
        <v>173</v>
      </c>
      <c r="E24" s="48"/>
      <c r="F24" s="73">
        <v>10000.0</v>
      </c>
      <c r="G24" s="46" t="s">
        <v>40</v>
      </c>
      <c r="H24" s="46" t="s">
        <v>174</v>
      </c>
      <c r="I24" s="53" t="s">
        <v>176</v>
      </c>
    </row>
    <row r="25" ht="15.75" customHeight="1">
      <c r="A25" s="42">
        <v>18.0</v>
      </c>
      <c r="B25" s="46" t="s">
        <v>178</v>
      </c>
      <c r="C25" s="46" t="s">
        <v>35</v>
      </c>
      <c r="D25" s="46" t="s">
        <v>179</v>
      </c>
      <c r="E25" s="48">
        <f>260/424</f>
        <v>0.6132075472</v>
      </c>
      <c r="F25" s="73">
        <v>9100.0</v>
      </c>
      <c r="G25" s="46" t="s">
        <v>40</v>
      </c>
      <c r="H25" s="46"/>
      <c r="I25" s="53" t="s">
        <v>176</v>
      </c>
    </row>
    <row r="26" ht="15.75" customHeight="1">
      <c r="A26" s="42">
        <v>19.0</v>
      </c>
      <c r="B26" s="44" t="s">
        <v>181</v>
      </c>
      <c r="C26" s="46" t="s">
        <v>35</v>
      </c>
      <c r="D26" s="46" t="s">
        <v>182</v>
      </c>
      <c r="E26" s="48">
        <f>601/424</f>
        <v>1.41745283</v>
      </c>
      <c r="F26" s="73">
        <v>21046.0</v>
      </c>
      <c r="G26" s="46" t="s">
        <v>40</v>
      </c>
      <c r="H26" s="46"/>
      <c r="I26" s="53" t="s">
        <v>186</v>
      </c>
    </row>
    <row r="27" ht="15.75" customHeight="1">
      <c r="A27" s="42">
        <v>20.0</v>
      </c>
      <c r="B27" s="44" t="s">
        <v>188</v>
      </c>
      <c r="C27" s="46" t="s">
        <v>35</v>
      </c>
      <c r="D27" s="46" t="s">
        <v>190</v>
      </c>
      <c r="E27" s="48">
        <f>436/424</f>
        <v>1.028301887</v>
      </c>
      <c r="F27" s="73">
        <v>15260.0</v>
      </c>
      <c r="G27" s="46" t="s">
        <v>40</v>
      </c>
      <c r="H27" s="46" t="s">
        <v>191</v>
      </c>
      <c r="I27" s="53" t="s">
        <v>192</v>
      </c>
    </row>
    <row r="28" ht="15.75" customHeight="1">
      <c r="A28" s="42">
        <v>21.0</v>
      </c>
      <c r="B28" s="44" t="s">
        <v>194</v>
      </c>
      <c r="C28" s="46" t="s">
        <v>35</v>
      </c>
      <c r="D28" s="46" t="s">
        <v>195</v>
      </c>
      <c r="E28" s="48">
        <f>199.58/424</f>
        <v>0.4707075472</v>
      </c>
      <c r="F28" s="73">
        <v>6985.3</v>
      </c>
      <c r="G28" s="46" t="s">
        <v>40</v>
      </c>
      <c r="H28" s="46"/>
      <c r="I28" s="46" t="s">
        <v>79</v>
      </c>
    </row>
    <row r="29" ht="15.75" customHeight="1">
      <c r="A29" s="88">
        <f>COUNTA(A8:A28)</f>
        <v>21</v>
      </c>
      <c r="B29" s="89" t="s">
        <v>200</v>
      </c>
      <c r="C29" s="90"/>
      <c r="D29" s="90"/>
      <c r="E29" s="91">
        <f t="shared" ref="E29:F29" si="1">SUM(E8:E28)</f>
        <v>13.7370283</v>
      </c>
      <c r="F29" s="92">
        <f t="shared" si="1"/>
        <v>258788.1</v>
      </c>
      <c r="G29" s="90"/>
      <c r="H29" s="90"/>
      <c r="I29" s="90"/>
    </row>
    <row r="30" ht="15.75" customHeight="1">
      <c r="A30" s="93"/>
      <c r="B30" s="94" t="s">
        <v>27</v>
      </c>
      <c r="C30" s="95"/>
      <c r="D30" s="95"/>
      <c r="E30" s="95"/>
      <c r="F30" s="95"/>
      <c r="G30" s="95"/>
      <c r="H30" s="95"/>
      <c r="I30" s="96"/>
    </row>
    <row r="31" ht="15.75" customHeight="1">
      <c r="A31" s="97">
        <v>1.0</v>
      </c>
      <c r="B31" s="65" t="s">
        <v>209</v>
      </c>
      <c r="C31" s="98" t="s">
        <v>210</v>
      </c>
      <c r="D31" s="46" t="s">
        <v>212</v>
      </c>
      <c r="E31" s="99">
        <v>0.18</v>
      </c>
      <c r="F31" s="100">
        <v>4800.0</v>
      </c>
      <c r="G31" s="67" t="s">
        <v>214</v>
      </c>
      <c r="H31" s="67" t="s">
        <v>184</v>
      </c>
      <c r="I31" s="65" t="s">
        <v>79</v>
      </c>
    </row>
    <row r="32" ht="15.75" customHeight="1">
      <c r="A32" s="97">
        <v>2.0</v>
      </c>
      <c r="B32" s="65" t="s">
        <v>217</v>
      </c>
      <c r="C32" s="63" t="s">
        <v>218</v>
      </c>
      <c r="D32" s="46" t="s">
        <v>219</v>
      </c>
      <c r="E32" s="101">
        <v>7.38</v>
      </c>
      <c r="F32" s="102">
        <v>62582.4</v>
      </c>
      <c r="G32" s="67" t="s">
        <v>40</v>
      </c>
      <c r="H32" s="67" t="s">
        <v>222</v>
      </c>
      <c r="I32" s="103" t="s">
        <v>223</v>
      </c>
    </row>
    <row r="33" ht="15.75" customHeight="1">
      <c r="A33" s="97">
        <v>3.0</v>
      </c>
      <c r="B33" s="104" t="s">
        <v>227</v>
      </c>
      <c r="C33" s="63" t="s">
        <v>229</v>
      </c>
      <c r="D33" s="46" t="s">
        <v>230</v>
      </c>
      <c r="E33" s="101"/>
      <c r="F33" s="102">
        <v>3230.0</v>
      </c>
      <c r="G33" s="67" t="s">
        <v>40</v>
      </c>
      <c r="H33" s="67"/>
      <c r="I33" s="65" t="s">
        <v>231</v>
      </c>
    </row>
    <row r="34" ht="15.75" customHeight="1">
      <c r="A34" s="97">
        <v>4.0</v>
      </c>
      <c r="B34" s="106" t="s">
        <v>232</v>
      </c>
      <c r="C34" s="107" t="s">
        <v>233</v>
      </c>
      <c r="D34" s="109" t="s">
        <v>234</v>
      </c>
      <c r="E34" s="110"/>
      <c r="F34" s="112">
        <f>170*22</f>
        <v>3740</v>
      </c>
      <c r="G34" s="113" t="s">
        <v>40</v>
      </c>
      <c r="H34" s="113"/>
      <c r="I34" s="106" t="s">
        <v>235</v>
      </c>
    </row>
    <row r="35" ht="15.75" customHeight="1">
      <c r="A35" s="97">
        <v>5.0</v>
      </c>
      <c r="B35" s="65" t="s">
        <v>232</v>
      </c>
      <c r="C35" s="115" t="s">
        <v>233</v>
      </c>
      <c r="D35" s="46" t="s">
        <v>236</v>
      </c>
      <c r="E35" s="101"/>
      <c r="F35" s="102">
        <f>170*37</f>
        <v>6290</v>
      </c>
      <c r="G35" s="67" t="s">
        <v>40</v>
      </c>
      <c r="H35" s="67"/>
      <c r="I35" s="116" t="s">
        <v>237</v>
      </c>
    </row>
    <row r="36" ht="15.75" customHeight="1">
      <c r="A36" s="97">
        <v>6.0</v>
      </c>
      <c r="B36" s="118" t="s">
        <v>239</v>
      </c>
      <c r="C36" s="120" t="s">
        <v>240</v>
      </c>
      <c r="D36" s="123" t="s">
        <v>242</v>
      </c>
      <c r="E36" s="125"/>
      <c r="F36" s="128">
        <f>170*16</f>
        <v>2720</v>
      </c>
      <c r="G36" s="129" t="s">
        <v>40</v>
      </c>
      <c r="H36" s="129"/>
      <c r="I36" s="130" t="s">
        <v>248</v>
      </c>
    </row>
    <row r="37" ht="15.75" customHeight="1">
      <c r="A37" s="97">
        <v>7.0</v>
      </c>
      <c r="B37" s="131" t="s">
        <v>250</v>
      </c>
      <c r="C37" s="98" t="s">
        <v>35</v>
      </c>
      <c r="D37" s="46" t="s">
        <v>252</v>
      </c>
      <c r="E37" s="101">
        <v>4.77</v>
      </c>
      <c r="F37" s="102">
        <v>50575.0</v>
      </c>
      <c r="G37" s="46" t="s">
        <v>40</v>
      </c>
      <c r="H37" s="46" t="s">
        <v>253</v>
      </c>
      <c r="I37" s="46" t="s">
        <v>254</v>
      </c>
    </row>
    <row r="38" ht="15.75" customHeight="1">
      <c r="A38" s="97">
        <v>8.0</v>
      </c>
      <c r="B38" s="131" t="s">
        <v>255</v>
      </c>
      <c r="C38" s="98" t="s">
        <v>35</v>
      </c>
      <c r="D38" s="46" t="s">
        <v>258</v>
      </c>
      <c r="E38" s="101">
        <v>1.49</v>
      </c>
      <c r="F38" s="102">
        <v>12680.0</v>
      </c>
      <c r="G38" s="46" t="s">
        <v>259</v>
      </c>
      <c r="H38" s="46" t="s">
        <v>94</v>
      </c>
      <c r="I38" s="46" t="s">
        <v>75</v>
      </c>
    </row>
    <row r="39" ht="15.75" customHeight="1">
      <c r="A39" s="97">
        <v>9.0</v>
      </c>
      <c r="B39" s="134" t="s">
        <v>260</v>
      </c>
      <c r="C39" s="136" t="s">
        <v>261</v>
      </c>
      <c r="D39" s="46" t="s">
        <v>262</v>
      </c>
      <c r="E39" s="101">
        <v>0.35</v>
      </c>
      <c r="F39" s="102">
        <v>3612.47</v>
      </c>
      <c r="G39" s="134" t="s">
        <v>40</v>
      </c>
      <c r="H39" s="134" t="s">
        <v>263</v>
      </c>
      <c r="I39" s="134" t="s">
        <v>201</v>
      </c>
    </row>
    <row r="40" ht="15.75" customHeight="1">
      <c r="A40" s="97">
        <v>10.0</v>
      </c>
      <c r="B40" s="134" t="s">
        <v>260</v>
      </c>
      <c r="C40" s="138" t="s">
        <v>264</v>
      </c>
      <c r="D40" s="46" t="s">
        <v>265</v>
      </c>
      <c r="E40" s="101">
        <v>0.31</v>
      </c>
      <c r="F40" s="102">
        <v>3134.2</v>
      </c>
      <c r="G40" s="134" t="s">
        <v>40</v>
      </c>
      <c r="H40" s="134" t="s">
        <v>266</v>
      </c>
      <c r="I40" s="134" t="s">
        <v>201</v>
      </c>
    </row>
    <row r="41" ht="15.75" customHeight="1">
      <c r="A41" s="97">
        <v>11.0</v>
      </c>
      <c r="B41" s="65" t="s">
        <v>267</v>
      </c>
      <c r="C41" s="116" t="s">
        <v>35</v>
      </c>
      <c r="D41" s="46" t="s">
        <v>268</v>
      </c>
      <c r="E41" s="101">
        <v>1.17</v>
      </c>
      <c r="F41" s="102">
        <f>10556+2418</f>
        <v>12974</v>
      </c>
      <c r="G41" s="46" t="s">
        <v>40</v>
      </c>
      <c r="H41" s="46"/>
      <c r="I41" s="46" t="s">
        <v>272</v>
      </c>
    </row>
    <row r="42" ht="15.75" customHeight="1">
      <c r="A42" s="97">
        <v>12.0</v>
      </c>
      <c r="B42" s="106" t="s">
        <v>273</v>
      </c>
      <c r="C42" s="141" t="s">
        <v>35</v>
      </c>
      <c r="D42" s="109" t="s">
        <v>274</v>
      </c>
      <c r="E42" s="110">
        <v>1.19</v>
      </c>
      <c r="F42" s="112">
        <v>10080.0</v>
      </c>
      <c r="G42" s="109" t="s">
        <v>40</v>
      </c>
      <c r="H42" s="109" t="s">
        <v>276</v>
      </c>
      <c r="I42" s="109" t="s">
        <v>277</v>
      </c>
    </row>
    <row r="43" ht="15.75" customHeight="1">
      <c r="A43" s="97">
        <v>13.0</v>
      </c>
      <c r="B43" s="142" t="s">
        <v>278</v>
      </c>
      <c r="C43" s="141" t="s">
        <v>35</v>
      </c>
      <c r="D43" s="109" t="s">
        <v>279</v>
      </c>
      <c r="E43" s="110">
        <v>0.69</v>
      </c>
      <c r="F43" s="112">
        <v>14650.0</v>
      </c>
      <c r="G43" s="109" t="s">
        <v>40</v>
      </c>
      <c r="H43" s="109" t="s">
        <v>228</v>
      </c>
      <c r="I43" s="109" t="s">
        <v>280</v>
      </c>
    </row>
    <row r="44" ht="15.75" customHeight="1">
      <c r="A44" s="97">
        <v>14.0</v>
      </c>
      <c r="B44" s="65" t="s">
        <v>281</v>
      </c>
      <c r="C44" s="144" t="s">
        <v>282</v>
      </c>
      <c r="D44" s="46" t="s">
        <v>283</v>
      </c>
      <c r="E44" s="101">
        <v>2.9</v>
      </c>
      <c r="F44" s="102">
        <v>29517.6</v>
      </c>
      <c r="G44" s="67" t="s">
        <v>40</v>
      </c>
      <c r="H44" s="67" t="s">
        <v>284</v>
      </c>
      <c r="I44" s="65" t="s">
        <v>285</v>
      </c>
    </row>
    <row r="45" ht="15.75" customHeight="1">
      <c r="A45" s="97">
        <v>15.0</v>
      </c>
      <c r="B45" s="65" t="s">
        <v>286</v>
      </c>
      <c r="C45" s="144" t="s">
        <v>287</v>
      </c>
      <c r="D45" s="46" t="s">
        <v>288</v>
      </c>
      <c r="E45" s="101">
        <v>1.17</v>
      </c>
      <c r="F45" s="102">
        <v>12500.0</v>
      </c>
      <c r="G45" s="67" t="s">
        <v>289</v>
      </c>
      <c r="H45" s="67" t="s">
        <v>290</v>
      </c>
      <c r="I45" s="46" t="s">
        <v>201</v>
      </c>
    </row>
    <row r="46" ht="15.75" customHeight="1">
      <c r="A46" s="97">
        <v>16.0</v>
      </c>
      <c r="B46" s="65" t="s">
        <v>286</v>
      </c>
      <c r="C46" s="144" t="s">
        <v>287</v>
      </c>
      <c r="D46" s="46" t="s">
        <v>190</v>
      </c>
      <c r="E46" s="101">
        <v>1.52</v>
      </c>
      <c r="F46" s="102">
        <v>16150.0</v>
      </c>
      <c r="G46" s="67" t="s">
        <v>289</v>
      </c>
      <c r="H46" s="67" t="s">
        <v>290</v>
      </c>
      <c r="I46" s="46" t="s">
        <v>291</v>
      </c>
    </row>
    <row r="47" ht="15.75" customHeight="1">
      <c r="A47" s="97">
        <v>17.0</v>
      </c>
      <c r="B47" s="65" t="s">
        <v>292</v>
      </c>
      <c r="C47" s="115" t="s">
        <v>293</v>
      </c>
      <c r="D47" s="44" t="s">
        <v>294</v>
      </c>
      <c r="E47" s="147">
        <v>2.32</v>
      </c>
      <c r="F47" s="102">
        <v>25643.8</v>
      </c>
      <c r="G47" s="65" t="s">
        <v>295</v>
      </c>
      <c r="H47" s="65" t="s">
        <v>296</v>
      </c>
      <c r="I47" s="67" t="s">
        <v>79</v>
      </c>
    </row>
    <row r="48" ht="15.75" customHeight="1">
      <c r="A48" s="97">
        <v>18.0</v>
      </c>
      <c r="B48" s="131" t="s">
        <v>297</v>
      </c>
      <c r="C48" s="98" t="s">
        <v>35</v>
      </c>
      <c r="D48" s="46" t="s">
        <v>80</v>
      </c>
      <c r="E48" s="101">
        <v>2.69</v>
      </c>
      <c r="F48" s="102">
        <v>29666.0</v>
      </c>
      <c r="G48" s="67" t="s">
        <v>298</v>
      </c>
      <c r="H48" s="67" t="s">
        <v>299</v>
      </c>
      <c r="I48" s="46" t="s">
        <v>79</v>
      </c>
    </row>
    <row r="49" ht="15.75" customHeight="1">
      <c r="A49" s="97">
        <v>19.0</v>
      </c>
      <c r="B49" s="106" t="s">
        <v>300</v>
      </c>
      <c r="C49" s="149" t="s">
        <v>301</v>
      </c>
      <c r="D49" s="109" t="s">
        <v>160</v>
      </c>
      <c r="E49" s="110">
        <v>0.28</v>
      </c>
      <c r="F49" s="112">
        <v>3120.0</v>
      </c>
      <c r="G49" s="113" t="s">
        <v>40</v>
      </c>
      <c r="H49" s="113" t="s">
        <v>302</v>
      </c>
      <c r="I49" s="113" t="s">
        <v>303</v>
      </c>
    </row>
    <row r="50" ht="15.75" customHeight="1">
      <c r="A50" s="97">
        <v>20.0</v>
      </c>
      <c r="B50" s="142" t="s">
        <v>304</v>
      </c>
      <c r="C50" s="151" t="s">
        <v>305</v>
      </c>
      <c r="D50" s="109" t="s">
        <v>306</v>
      </c>
      <c r="E50" s="110">
        <v>0.87</v>
      </c>
      <c r="F50" s="112">
        <v>26103.0</v>
      </c>
      <c r="G50" s="113" t="s">
        <v>40</v>
      </c>
      <c r="H50" s="113" t="s">
        <v>307</v>
      </c>
      <c r="I50" s="113" t="s">
        <v>308</v>
      </c>
    </row>
    <row r="51" ht="15.75" customHeight="1">
      <c r="A51" s="97">
        <v>21.0</v>
      </c>
      <c r="B51" s="65" t="s">
        <v>309</v>
      </c>
      <c r="C51" s="115" t="s">
        <v>310</v>
      </c>
      <c r="D51" s="153" t="s">
        <v>311</v>
      </c>
      <c r="E51" s="101">
        <v>0.3</v>
      </c>
      <c r="F51" s="154">
        <v>6483.0</v>
      </c>
      <c r="G51" s="67" t="s">
        <v>313</v>
      </c>
      <c r="H51" s="67" t="s">
        <v>314</v>
      </c>
      <c r="I51" s="67" t="s">
        <v>201</v>
      </c>
    </row>
    <row r="52" ht="15.75" customHeight="1">
      <c r="A52" s="97">
        <v>22.0</v>
      </c>
      <c r="B52" s="65" t="s">
        <v>316</v>
      </c>
      <c r="C52" s="115" t="s">
        <v>317</v>
      </c>
      <c r="D52" s="156" t="s">
        <v>234</v>
      </c>
      <c r="E52" s="159"/>
      <c r="F52" s="102">
        <v>2640.0</v>
      </c>
      <c r="G52" s="67" t="s">
        <v>40</v>
      </c>
      <c r="H52" s="67"/>
      <c r="I52" s="67" t="s">
        <v>201</v>
      </c>
    </row>
    <row r="53" ht="15.75" customHeight="1">
      <c r="A53" s="97">
        <v>23.0</v>
      </c>
      <c r="B53" s="65" t="s">
        <v>320</v>
      </c>
      <c r="C53" s="98" t="s">
        <v>35</v>
      </c>
      <c r="D53" s="67" t="s">
        <v>321</v>
      </c>
      <c r="E53" s="159">
        <v>0.66</v>
      </c>
      <c r="F53" s="102">
        <v>7100.0</v>
      </c>
      <c r="G53" s="65" t="s">
        <v>322</v>
      </c>
      <c r="H53" s="65" t="s">
        <v>323</v>
      </c>
      <c r="I53" s="67" t="s">
        <v>79</v>
      </c>
    </row>
    <row r="54" ht="15.75" customHeight="1">
      <c r="A54" s="97">
        <v>24.0</v>
      </c>
      <c r="B54" s="141" t="s">
        <v>324</v>
      </c>
      <c r="C54" s="161" t="s">
        <v>325</v>
      </c>
      <c r="D54" s="163" t="s">
        <v>326</v>
      </c>
      <c r="E54" s="166"/>
      <c r="F54" s="168">
        <v>5000.0</v>
      </c>
      <c r="G54" s="170" t="s">
        <v>40</v>
      </c>
      <c r="H54" s="170"/>
      <c r="I54" s="141" t="s">
        <v>334</v>
      </c>
    </row>
    <row r="55" ht="15.75" customHeight="1">
      <c r="A55" s="97">
        <v>25.0</v>
      </c>
      <c r="B55" s="172" t="s">
        <v>335</v>
      </c>
      <c r="C55" s="173" t="s">
        <v>338</v>
      </c>
      <c r="D55" s="174" t="s">
        <v>342</v>
      </c>
      <c r="E55" s="166">
        <v>1.11</v>
      </c>
      <c r="F55" s="112">
        <v>12086.5</v>
      </c>
      <c r="G55" s="172" t="s">
        <v>346</v>
      </c>
      <c r="H55" s="172"/>
      <c r="I55" s="106" t="s">
        <v>347</v>
      </c>
    </row>
    <row r="56" ht="15.75" customHeight="1">
      <c r="A56" s="97">
        <v>26.0</v>
      </c>
      <c r="B56" s="176" t="s">
        <v>349</v>
      </c>
      <c r="C56" s="178" t="s">
        <v>351</v>
      </c>
      <c r="D56" s="67" t="s">
        <v>357</v>
      </c>
      <c r="E56" s="159">
        <v>5.13</v>
      </c>
      <c r="F56" s="102">
        <v>52202.0</v>
      </c>
      <c r="G56" s="67" t="s">
        <v>40</v>
      </c>
      <c r="H56" s="67" t="s">
        <v>358</v>
      </c>
      <c r="I56" s="67" t="s">
        <v>359</v>
      </c>
    </row>
    <row r="57" ht="15.75" customHeight="1">
      <c r="A57" s="97">
        <v>27.0</v>
      </c>
      <c r="B57" s="67" t="s">
        <v>361</v>
      </c>
      <c r="C57" s="98" t="s">
        <v>35</v>
      </c>
      <c r="D57" s="46" t="s">
        <v>362</v>
      </c>
      <c r="E57" s="159">
        <v>0.73</v>
      </c>
      <c r="F57" s="102">
        <v>6841.78</v>
      </c>
      <c r="G57" s="67" t="s">
        <v>40</v>
      </c>
      <c r="H57" s="67" t="s">
        <v>94</v>
      </c>
      <c r="I57" s="67" t="s">
        <v>363</v>
      </c>
    </row>
    <row r="58" ht="15.75" customHeight="1">
      <c r="A58" s="97">
        <v>28.0</v>
      </c>
      <c r="B58" s="180" t="s">
        <v>364</v>
      </c>
      <c r="C58" s="181" t="s">
        <v>368</v>
      </c>
      <c r="D58" s="46" t="s">
        <v>369</v>
      </c>
      <c r="E58" s="159">
        <v>0.38</v>
      </c>
      <c r="F58" s="102">
        <v>3661.0</v>
      </c>
      <c r="G58" s="182" t="s">
        <v>370</v>
      </c>
      <c r="H58" s="182" t="s">
        <v>372</v>
      </c>
      <c r="I58" s="182" t="s">
        <v>201</v>
      </c>
    </row>
    <row r="59" ht="15.75" customHeight="1">
      <c r="A59" s="97">
        <v>29.0</v>
      </c>
      <c r="B59" s="67" t="s">
        <v>374</v>
      </c>
      <c r="C59" s="115" t="s">
        <v>368</v>
      </c>
      <c r="D59" s="46" t="s">
        <v>375</v>
      </c>
      <c r="E59" s="159">
        <v>1.97</v>
      </c>
      <c r="F59" s="102">
        <v>18436.0</v>
      </c>
      <c r="G59" s="67" t="s">
        <v>370</v>
      </c>
      <c r="H59" s="176" t="s">
        <v>372</v>
      </c>
      <c r="I59" s="67" t="s">
        <v>201</v>
      </c>
    </row>
    <row r="60" ht="15.75" customHeight="1">
      <c r="A60" s="97">
        <v>30.0</v>
      </c>
      <c r="B60" s="67" t="s">
        <v>376</v>
      </c>
      <c r="C60" s="115" t="s">
        <v>368</v>
      </c>
      <c r="D60" s="46" t="s">
        <v>377</v>
      </c>
      <c r="E60" s="159">
        <v>0.42</v>
      </c>
      <c r="F60" s="102">
        <v>4368.0</v>
      </c>
      <c r="G60" s="67" t="s">
        <v>370</v>
      </c>
      <c r="H60" s="176" t="s">
        <v>372</v>
      </c>
      <c r="I60" s="176" t="s">
        <v>201</v>
      </c>
    </row>
    <row r="61" ht="15.75" customHeight="1">
      <c r="A61" s="97">
        <v>31.0</v>
      </c>
      <c r="B61" s="67" t="s">
        <v>378</v>
      </c>
      <c r="C61" s="115" t="s">
        <v>368</v>
      </c>
      <c r="D61" s="134" t="s">
        <v>379</v>
      </c>
      <c r="E61" s="159">
        <v>0.219</v>
      </c>
      <c r="F61" s="102">
        <v>6964.0</v>
      </c>
      <c r="G61" s="67" t="s">
        <v>370</v>
      </c>
      <c r="H61" s="176" t="s">
        <v>372</v>
      </c>
      <c r="I61" s="182" t="s">
        <v>380</v>
      </c>
    </row>
    <row r="62" ht="15.75" customHeight="1">
      <c r="A62" s="97">
        <v>32.0</v>
      </c>
      <c r="B62" s="67" t="s">
        <v>381</v>
      </c>
      <c r="C62" s="98" t="s">
        <v>35</v>
      </c>
      <c r="D62" s="98" t="s">
        <v>382</v>
      </c>
      <c r="E62" s="159">
        <v>1.38</v>
      </c>
      <c r="F62" s="102">
        <v>13213.12</v>
      </c>
      <c r="G62" s="67" t="s">
        <v>40</v>
      </c>
      <c r="H62" s="67" t="s">
        <v>383</v>
      </c>
      <c r="I62" s="103" t="s">
        <v>384</v>
      </c>
    </row>
    <row r="63" ht="15.75" customHeight="1">
      <c r="A63" s="97">
        <v>33.0</v>
      </c>
      <c r="B63" s="67" t="s">
        <v>385</v>
      </c>
      <c r="C63" s="98" t="s">
        <v>35</v>
      </c>
      <c r="D63" s="98" t="s">
        <v>386</v>
      </c>
      <c r="E63" s="159">
        <v>0.66</v>
      </c>
      <c r="F63" s="102">
        <v>6768.0</v>
      </c>
      <c r="G63" s="67" t="s">
        <v>387</v>
      </c>
      <c r="H63" s="67" t="s">
        <v>388</v>
      </c>
      <c r="I63" s="103" t="s">
        <v>79</v>
      </c>
    </row>
    <row r="64" ht="15.75" customHeight="1">
      <c r="A64" s="97">
        <v>34.0</v>
      </c>
      <c r="B64" s="156" t="s">
        <v>389</v>
      </c>
      <c r="C64" s="115" t="s">
        <v>368</v>
      </c>
      <c r="D64" s="98" t="s">
        <v>391</v>
      </c>
      <c r="E64" s="159">
        <v>0.45</v>
      </c>
      <c r="F64" s="102">
        <v>11629.0</v>
      </c>
      <c r="G64" s="67" t="s">
        <v>392</v>
      </c>
      <c r="H64" s="67" t="s">
        <v>393</v>
      </c>
      <c r="I64" s="189" t="s">
        <v>201</v>
      </c>
    </row>
    <row r="65" ht="15.75" customHeight="1">
      <c r="A65" s="97">
        <v>35.0</v>
      </c>
      <c r="B65" s="67" t="s">
        <v>395</v>
      </c>
      <c r="C65" s="98" t="s">
        <v>35</v>
      </c>
      <c r="D65" s="98" t="s">
        <v>396</v>
      </c>
      <c r="E65" s="159">
        <f>2129.33/424</f>
        <v>5.022004717</v>
      </c>
      <c r="F65" s="102">
        <v>53233.33</v>
      </c>
      <c r="G65" s="67" t="s">
        <v>397</v>
      </c>
      <c r="H65" s="67" t="s">
        <v>398</v>
      </c>
      <c r="I65" s="103" t="s">
        <v>79</v>
      </c>
    </row>
    <row r="66" ht="15.75" customHeight="1">
      <c r="A66" s="97">
        <v>36.0</v>
      </c>
      <c r="B66" s="192" t="s">
        <v>400</v>
      </c>
      <c r="C66" s="194" t="s">
        <v>35</v>
      </c>
      <c r="D66" s="195" t="s">
        <v>401</v>
      </c>
      <c r="E66" s="197">
        <f>1210.93/424</f>
        <v>2.855966981</v>
      </c>
      <c r="F66" s="198">
        <v>54491.85</v>
      </c>
      <c r="G66" s="192" t="s">
        <v>407</v>
      </c>
      <c r="H66" s="192" t="s">
        <v>408</v>
      </c>
      <c r="I66" s="194" t="s">
        <v>163</v>
      </c>
    </row>
    <row r="67" ht="15.75" customHeight="1">
      <c r="A67" s="97">
        <v>37.0</v>
      </c>
      <c r="B67" s="41"/>
      <c r="C67" s="41"/>
      <c r="D67" s="195" t="s">
        <v>409</v>
      </c>
      <c r="E67" s="197">
        <f>1279.54/424</f>
        <v>3.017783019</v>
      </c>
      <c r="F67" s="198">
        <v>31988.5</v>
      </c>
      <c r="G67" s="41"/>
      <c r="H67" s="41"/>
      <c r="I67" s="41"/>
    </row>
    <row r="68" ht="15.75" customHeight="1">
      <c r="A68" s="97">
        <v>38.0</v>
      </c>
      <c r="B68" s="41"/>
      <c r="C68" s="41"/>
      <c r="D68" s="195" t="s">
        <v>412</v>
      </c>
      <c r="E68" s="197">
        <f>20/424</f>
        <v>0.04716981132</v>
      </c>
      <c r="F68" s="198">
        <v>500.0</v>
      </c>
      <c r="G68" s="41"/>
      <c r="H68" s="41"/>
      <c r="I68" s="41"/>
    </row>
    <row r="69" ht="15.75" customHeight="1">
      <c r="A69" s="97">
        <v>39.0</v>
      </c>
      <c r="B69" s="31"/>
      <c r="C69" s="31"/>
      <c r="D69" s="195" t="s">
        <v>415</v>
      </c>
      <c r="E69" s="197">
        <f>170/424</f>
        <v>0.4009433962</v>
      </c>
      <c r="F69" s="198">
        <v>4250.0</v>
      </c>
      <c r="G69" s="31"/>
      <c r="H69" s="31"/>
      <c r="I69" s="31"/>
    </row>
    <row r="70" ht="15.75" customHeight="1">
      <c r="A70" s="97">
        <v>40.0</v>
      </c>
      <c r="B70" s="207" t="s">
        <v>420</v>
      </c>
      <c r="C70" s="115" t="s">
        <v>368</v>
      </c>
      <c r="D70" s="98" t="s">
        <v>427</v>
      </c>
      <c r="E70" s="209">
        <v>0.14</v>
      </c>
      <c r="F70" s="102">
        <v>1440.0</v>
      </c>
      <c r="G70" s="67" t="s">
        <v>289</v>
      </c>
      <c r="H70" s="67" t="s">
        <v>428</v>
      </c>
      <c r="I70" s="103" t="s">
        <v>201</v>
      </c>
    </row>
    <row r="71" ht="15.75" customHeight="1">
      <c r="A71" s="97">
        <v>41.0</v>
      </c>
      <c r="B71" s="210" t="s">
        <v>432</v>
      </c>
      <c r="C71" s="212" t="s">
        <v>35</v>
      </c>
      <c r="D71" s="98" t="s">
        <v>434</v>
      </c>
      <c r="E71" s="209">
        <v>2.72</v>
      </c>
      <c r="F71" s="102">
        <v>27759.84</v>
      </c>
      <c r="G71" s="210" t="s">
        <v>397</v>
      </c>
      <c r="H71" s="210" t="s">
        <v>398</v>
      </c>
      <c r="I71" s="103" t="s">
        <v>79</v>
      </c>
    </row>
    <row r="72" ht="15.75" customHeight="1">
      <c r="A72" s="97">
        <v>42.0</v>
      </c>
      <c r="B72" s="67" t="s">
        <v>436</v>
      </c>
      <c r="C72" s="207" t="s">
        <v>437</v>
      </c>
      <c r="D72" s="67" t="s">
        <v>438</v>
      </c>
      <c r="E72" s="65" t="s">
        <v>439</v>
      </c>
      <c r="F72" s="51">
        <v>9960.0</v>
      </c>
      <c r="G72" s="67" t="s">
        <v>440</v>
      </c>
      <c r="H72" s="67" t="s">
        <v>441</v>
      </c>
      <c r="I72" s="98" t="s">
        <v>79</v>
      </c>
    </row>
    <row r="73" ht="15.75" customHeight="1">
      <c r="A73" s="97">
        <v>43.0</v>
      </c>
      <c r="B73" s="210" t="s">
        <v>442</v>
      </c>
      <c r="C73" s="115" t="s">
        <v>443</v>
      </c>
      <c r="D73" s="98" t="s">
        <v>444</v>
      </c>
      <c r="E73" s="209">
        <v>0.47</v>
      </c>
      <c r="F73" s="102">
        <v>12036.0</v>
      </c>
      <c r="G73" s="210" t="s">
        <v>445</v>
      </c>
      <c r="H73" s="210" t="s">
        <v>296</v>
      </c>
      <c r="I73" s="103" t="s">
        <v>201</v>
      </c>
    </row>
    <row r="74" ht="15.75" customHeight="1">
      <c r="A74" s="97">
        <v>44.0</v>
      </c>
      <c r="B74" s="210" t="s">
        <v>446</v>
      </c>
      <c r="C74" s="212" t="s">
        <v>35</v>
      </c>
      <c r="D74" s="98" t="s">
        <v>447</v>
      </c>
      <c r="E74" s="209">
        <v>3.31</v>
      </c>
      <c r="F74" s="102">
        <v>28113.0</v>
      </c>
      <c r="G74" s="210" t="s">
        <v>322</v>
      </c>
      <c r="H74" s="210" t="s">
        <v>448</v>
      </c>
      <c r="I74" s="103" t="s">
        <v>79</v>
      </c>
    </row>
    <row r="75" ht="15.75" customHeight="1">
      <c r="A75" s="97">
        <v>45.0</v>
      </c>
      <c r="B75" s="210" t="s">
        <v>449</v>
      </c>
      <c r="C75" s="212" t="s">
        <v>35</v>
      </c>
      <c r="D75" s="98" t="s">
        <v>450</v>
      </c>
      <c r="E75" s="209">
        <v>1.13</v>
      </c>
      <c r="F75" s="102">
        <v>12000.0</v>
      </c>
      <c r="G75" s="210" t="s">
        <v>322</v>
      </c>
      <c r="H75" s="210" t="s">
        <v>448</v>
      </c>
      <c r="I75" s="103" t="s">
        <v>79</v>
      </c>
    </row>
    <row r="76" ht="15.75" customHeight="1">
      <c r="A76" s="97">
        <v>46.0</v>
      </c>
      <c r="B76" s="210" t="s">
        <v>451</v>
      </c>
      <c r="C76" s="212" t="s">
        <v>35</v>
      </c>
      <c r="D76" s="98" t="s">
        <v>452</v>
      </c>
      <c r="E76" s="209">
        <v>1.42</v>
      </c>
      <c r="F76" s="102">
        <v>15150.0</v>
      </c>
      <c r="G76" s="210" t="s">
        <v>453</v>
      </c>
      <c r="H76" s="210" t="s">
        <v>454</v>
      </c>
      <c r="I76" s="103" t="s">
        <v>79</v>
      </c>
    </row>
    <row r="77" ht="15.75" customHeight="1">
      <c r="A77" s="97">
        <v>47.0</v>
      </c>
      <c r="B77" s="210" t="s">
        <v>455</v>
      </c>
      <c r="C77" s="115" t="s">
        <v>457</v>
      </c>
      <c r="D77" s="98" t="s">
        <v>458</v>
      </c>
      <c r="E77" s="209">
        <v>0.8024</v>
      </c>
      <c r="F77" s="102">
        <v>23815.4</v>
      </c>
      <c r="G77" s="210" t="s">
        <v>459</v>
      </c>
      <c r="H77" s="210" t="s">
        <v>460</v>
      </c>
      <c r="I77" s="103" t="s">
        <v>201</v>
      </c>
    </row>
    <row r="78" ht="15.75" customHeight="1">
      <c r="A78" s="97">
        <v>48.0</v>
      </c>
      <c r="B78" s="129" t="s">
        <v>461</v>
      </c>
      <c r="C78" s="144" t="s">
        <v>462</v>
      </c>
      <c r="D78" s="189" t="s">
        <v>463</v>
      </c>
      <c r="E78" s="220">
        <v>0.59</v>
      </c>
      <c r="F78" s="222">
        <v>6300.0</v>
      </c>
      <c r="G78" s="129" t="s">
        <v>40</v>
      </c>
      <c r="H78" s="129"/>
      <c r="I78" s="225" t="s">
        <v>201</v>
      </c>
    </row>
    <row r="79" ht="15.75" customHeight="1">
      <c r="A79" s="229">
        <f>COUNTA(A31:A78)</f>
        <v>48</v>
      </c>
      <c r="B79" s="232" t="s">
        <v>474</v>
      </c>
      <c r="C79" s="235"/>
      <c r="D79" s="235"/>
      <c r="E79" s="242">
        <f>E78+E77+E76+E75+E74+E73+E71+E70+E69+E68+E67+E66+E65+E64+E63+E62+E61+E60+E59+E58+E57+E56+E56+E55+E54+E53+E53+E53+E53+E54+E53+E53+E51+E53+E50+E49+E48+E47+E46+E45+E44+E43+E42+E41+E40+E39+E38+E37+E32+E31</f>
        <v>73.70526792</v>
      </c>
      <c r="F79" s="245">
        <f>SUM(F31:F78)</f>
        <v>772198.79</v>
      </c>
      <c r="G79" s="247"/>
      <c r="H79" s="249"/>
      <c r="I79" s="250"/>
    </row>
    <row r="80" ht="15.75" customHeight="1">
      <c r="A80" s="93"/>
      <c r="B80" s="252" t="s">
        <v>390</v>
      </c>
      <c r="C80" s="15"/>
      <c r="D80" s="15"/>
      <c r="E80" s="15"/>
      <c r="F80" s="15"/>
      <c r="G80" s="15"/>
      <c r="H80" s="15"/>
      <c r="I80" s="255"/>
    </row>
    <row r="81" ht="15.75" customHeight="1">
      <c r="A81" s="260">
        <v>1.0</v>
      </c>
      <c r="B81" s="163" t="s">
        <v>505</v>
      </c>
      <c r="C81" s="161" t="s">
        <v>506</v>
      </c>
      <c r="D81" s="141" t="s">
        <v>507</v>
      </c>
      <c r="E81" s="84">
        <f>8497/424</f>
        <v>20.04009434</v>
      </c>
      <c r="F81" s="264">
        <v>169940.0</v>
      </c>
      <c r="G81" s="170" t="s">
        <v>509</v>
      </c>
      <c r="H81" s="106" t="s">
        <v>510</v>
      </c>
      <c r="I81" s="113" t="s">
        <v>511</v>
      </c>
    </row>
    <row r="82" ht="15.75" customHeight="1">
      <c r="A82" s="266">
        <v>2.0</v>
      </c>
      <c r="B82" s="156" t="s">
        <v>513</v>
      </c>
      <c r="C82" s="115" t="s">
        <v>514</v>
      </c>
      <c r="D82" s="65" t="s">
        <v>515</v>
      </c>
      <c r="E82" s="46">
        <v>18.84</v>
      </c>
      <c r="F82" s="51">
        <v>223664.0</v>
      </c>
      <c r="G82" s="67" t="s">
        <v>516</v>
      </c>
      <c r="H82" s="67" t="s">
        <v>510</v>
      </c>
      <c r="I82" s="98" t="s">
        <v>517</v>
      </c>
    </row>
    <row r="83" ht="15.75" customHeight="1">
      <c r="A83" s="269">
        <v>3.0</v>
      </c>
      <c r="B83" s="174" t="s">
        <v>520</v>
      </c>
      <c r="C83" s="161" t="s">
        <v>521</v>
      </c>
      <c r="D83" s="106" t="s">
        <v>522</v>
      </c>
      <c r="E83" s="272">
        <v>31.0</v>
      </c>
      <c r="F83" s="275">
        <v>368060.0</v>
      </c>
      <c r="G83" s="113" t="s">
        <v>509</v>
      </c>
      <c r="H83" s="113" t="s">
        <v>525</v>
      </c>
      <c r="I83" s="109" t="s">
        <v>526</v>
      </c>
    </row>
    <row r="84" ht="15.75" customHeight="1">
      <c r="A84" s="260">
        <v>4.0</v>
      </c>
      <c r="B84" s="67" t="s">
        <v>528</v>
      </c>
      <c r="C84" s="67" t="s">
        <v>35</v>
      </c>
      <c r="D84" s="65" t="s">
        <v>529</v>
      </c>
      <c r="E84" s="46">
        <v>0.57</v>
      </c>
      <c r="F84" s="51">
        <f>12128.81*E84</f>
        <v>6913.4217</v>
      </c>
      <c r="G84" s="46" t="s">
        <v>40</v>
      </c>
      <c r="H84" s="46" t="s">
        <v>535</v>
      </c>
      <c r="I84" s="103" t="s">
        <v>79</v>
      </c>
    </row>
    <row r="85" ht="15.75" customHeight="1">
      <c r="A85" s="266">
        <v>5.0</v>
      </c>
      <c r="B85" s="67" t="s">
        <v>538</v>
      </c>
      <c r="C85" s="67" t="s">
        <v>35</v>
      </c>
      <c r="D85" s="65" t="s">
        <v>540</v>
      </c>
      <c r="E85" s="46">
        <v>1.18</v>
      </c>
      <c r="F85" s="51">
        <v>14312.0</v>
      </c>
      <c r="G85" s="46" t="s">
        <v>40</v>
      </c>
      <c r="H85" s="67" t="s">
        <v>438</v>
      </c>
      <c r="I85" s="103" t="s">
        <v>79</v>
      </c>
    </row>
    <row r="86" ht="15.75" customHeight="1">
      <c r="A86" s="269">
        <v>6.0</v>
      </c>
      <c r="B86" s="67" t="s">
        <v>543</v>
      </c>
      <c r="C86" s="281" t="s">
        <v>544</v>
      </c>
      <c r="D86" s="65" t="s">
        <v>549</v>
      </c>
      <c r="E86" s="46"/>
      <c r="F86" s="46"/>
      <c r="G86" s="67" t="s">
        <v>441</v>
      </c>
      <c r="H86" s="67" t="s">
        <v>438</v>
      </c>
      <c r="I86" s="98" t="s">
        <v>79</v>
      </c>
    </row>
    <row r="87" ht="15.75" customHeight="1">
      <c r="A87" s="260">
        <v>7.0</v>
      </c>
      <c r="B87" s="67" t="s">
        <v>550</v>
      </c>
      <c r="C87" s="67" t="s">
        <v>35</v>
      </c>
      <c r="D87" s="65" t="s">
        <v>552</v>
      </c>
      <c r="E87" s="46">
        <v>3.68</v>
      </c>
      <c r="F87" s="51">
        <v>31240.0</v>
      </c>
      <c r="G87" s="46" t="s">
        <v>40</v>
      </c>
      <c r="H87" s="65" t="s">
        <v>510</v>
      </c>
      <c r="I87" s="103" t="s">
        <v>553</v>
      </c>
    </row>
    <row r="88" ht="15.75" customHeight="1">
      <c r="A88" s="266">
        <v>8.0</v>
      </c>
      <c r="B88" s="67" t="s">
        <v>556</v>
      </c>
      <c r="C88" s="67" t="s">
        <v>557</v>
      </c>
      <c r="D88" s="65" t="s">
        <v>558</v>
      </c>
      <c r="E88" s="46">
        <v>0.566</v>
      </c>
      <c r="F88" s="51"/>
      <c r="G88" s="46"/>
      <c r="H88" s="65"/>
      <c r="I88" s="46" t="s">
        <v>559</v>
      </c>
    </row>
    <row r="89" ht="15.75" customHeight="1">
      <c r="A89" s="269">
        <v>9.0</v>
      </c>
      <c r="B89" s="67" t="s">
        <v>560</v>
      </c>
      <c r="C89" s="281" t="s">
        <v>561</v>
      </c>
      <c r="D89" s="65" t="s">
        <v>439</v>
      </c>
      <c r="E89" s="46">
        <v>0.78</v>
      </c>
      <c r="F89" s="51">
        <v>9960.0</v>
      </c>
      <c r="G89" s="67" t="s">
        <v>441</v>
      </c>
      <c r="H89" s="67" t="s">
        <v>438</v>
      </c>
      <c r="I89" s="98" t="s">
        <v>79</v>
      </c>
    </row>
    <row r="90" ht="15.75" customHeight="1">
      <c r="A90" s="260">
        <v>10.0</v>
      </c>
      <c r="B90" s="182" t="s">
        <v>562</v>
      </c>
      <c r="C90" s="282" t="s">
        <v>563</v>
      </c>
      <c r="D90" s="284"/>
      <c r="E90" s="134">
        <v>4.95</v>
      </c>
      <c r="F90" s="70">
        <f>12128*4.95</f>
        <v>60033.6</v>
      </c>
      <c r="G90" s="134" t="s">
        <v>40</v>
      </c>
      <c r="H90" s="284" t="s">
        <v>572</v>
      </c>
      <c r="I90" s="189" t="s">
        <v>573</v>
      </c>
    </row>
    <row r="91" ht="15.75" customHeight="1">
      <c r="A91" s="286">
        <v>10.0</v>
      </c>
      <c r="B91" s="288" t="s">
        <v>474</v>
      </c>
      <c r="C91" s="289"/>
      <c r="D91" s="290"/>
      <c r="E91" s="291">
        <f t="shared" ref="E91:F91" si="2">SUM(E81:E90)</f>
        <v>81.60609434</v>
      </c>
      <c r="F91" s="292">
        <f t="shared" si="2"/>
        <v>884123.0217</v>
      </c>
      <c r="G91" s="293"/>
      <c r="H91" s="294"/>
      <c r="I91" s="295"/>
    </row>
    <row r="92" ht="15.75" customHeight="1">
      <c r="A92" s="296"/>
      <c r="B92" s="297" t="s">
        <v>456</v>
      </c>
      <c r="C92" s="15"/>
      <c r="D92" s="15"/>
      <c r="E92" s="15"/>
      <c r="F92" s="15"/>
      <c r="G92" s="15"/>
      <c r="H92" s="15"/>
      <c r="I92" s="255"/>
    </row>
    <row r="93" ht="15.75" customHeight="1">
      <c r="A93" s="298">
        <v>1.0</v>
      </c>
      <c r="B93" s="299" t="s">
        <v>597</v>
      </c>
      <c r="C93" s="300" t="s">
        <v>598</v>
      </c>
      <c r="D93" s="301" t="s">
        <v>602</v>
      </c>
      <c r="E93" s="302">
        <v>3.59</v>
      </c>
      <c r="F93" s="303">
        <v>39589.42</v>
      </c>
      <c r="G93" s="304" t="s">
        <v>40</v>
      </c>
      <c r="H93" s="305" t="s">
        <v>611</v>
      </c>
      <c r="I93" s="306" t="s">
        <v>612</v>
      </c>
    </row>
    <row r="94" ht="15.75" customHeight="1">
      <c r="A94" s="298">
        <v>2.0</v>
      </c>
      <c r="B94" s="299" t="s">
        <v>614</v>
      </c>
      <c r="C94" s="301" t="s">
        <v>35</v>
      </c>
      <c r="D94" s="301" t="s">
        <v>406</v>
      </c>
      <c r="E94" s="302">
        <v>2.74</v>
      </c>
      <c r="F94" s="303">
        <v>23280.0</v>
      </c>
      <c r="G94" s="305" t="s">
        <v>615</v>
      </c>
      <c r="H94" s="305" t="s">
        <v>616</v>
      </c>
      <c r="I94" s="306" t="s">
        <v>617</v>
      </c>
    </row>
    <row r="95" ht="15.75" customHeight="1">
      <c r="A95" s="308">
        <v>3.0</v>
      </c>
      <c r="B95" s="310" t="s">
        <v>619</v>
      </c>
      <c r="C95" s="311" t="s">
        <v>35</v>
      </c>
      <c r="D95" s="311" t="s">
        <v>620</v>
      </c>
      <c r="E95" s="313">
        <v>2.08</v>
      </c>
      <c r="F95" s="316">
        <v>17660.0</v>
      </c>
      <c r="G95" s="311" t="s">
        <v>622</v>
      </c>
      <c r="H95" s="319" t="s">
        <v>623</v>
      </c>
      <c r="I95" s="46" t="s">
        <v>624</v>
      </c>
    </row>
    <row r="96" ht="15.75" customHeight="1">
      <c r="A96" s="308">
        <v>4.0</v>
      </c>
      <c r="B96" s="310" t="s">
        <v>625</v>
      </c>
      <c r="C96" s="311" t="s">
        <v>35</v>
      </c>
      <c r="D96" s="311" t="s">
        <v>626</v>
      </c>
      <c r="E96" s="313">
        <v>1.59</v>
      </c>
      <c r="F96" s="316">
        <v>10164.9</v>
      </c>
      <c r="G96" s="311" t="s">
        <v>40</v>
      </c>
      <c r="H96" s="321" t="s">
        <v>627</v>
      </c>
      <c r="I96" s="46" t="s">
        <v>628</v>
      </c>
    </row>
    <row r="97" ht="15.75" customHeight="1">
      <c r="A97" s="308">
        <v>5.0</v>
      </c>
      <c r="B97" s="327" t="s">
        <v>629</v>
      </c>
      <c r="C97" s="327" t="s">
        <v>630</v>
      </c>
      <c r="D97" s="329" t="s">
        <v>631</v>
      </c>
      <c r="E97" s="333">
        <v>0.79</v>
      </c>
      <c r="F97" s="70">
        <v>0.79</v>
      </c>
      <c r="G97" s="329" t="s">
        <v>639</v>
      </c>
      <c r="H97" s="329" t="s">
        <v>639</v>
      </c>
      <c r="I97" s="134" t="s">
        <v>640</v>
      </c>
    </row>
    <row r="98" ht="15.75" customHeight="1">
      <c r="A98" s="336">
        <v>5.0</v>
      </c>
      <c r="B98" s="339" t="s">
        <v>200</v>
      </c>
      <c r="C98" s="341"/>
      <c r="D98" s="341"/>
      <c r="E98" s="291">
        <f t="shared" ref="E98:F98" si="3">SUM(E93:E97)</f>
        <v>10.79</v>
      </c>
      <c r="F98" s="292">
        <f t="shared" si="3"/>
        <v>90695.11</v>
      </c>
      <c r="G98" s="341"/>
      <c r="H98" s="344"/>
      <c r="I98" s="346"/>
    </row>
    <row r="99" ht="15.75" customHeight="1">
      <c r="A99" s="296"/>
      <c r="B99" s="297" t="s">
        <v>312</v>
      </c>
      <c r="C99" s="15"/>
      <c r="D99" s="15"/>
      <c r="E99" s="15"/>
      <c r="F99" s="15"/>
      <c r="G99" s="15"/>
      <c r="H99" s="15"/>
      <c r="I99" s="255"/>
    </row>
    <row r="100" ht="15.75" customHeight="1">
      <c r="A100" s="308">
        <v>1.0</v>
      </c>
      <c r="B100" s="310" t="s">
        <v>678</v>
      </c>
      <c r="C100" s="348" t="s">
        <v>679</v>
      </c>
      <c r="D100" s="311" t="s">
        <v>684</v>
      </c>
      <c r="E100" s="352">
        <f>454.38/424</f>
        <v>1.071650943</v>
      </c>
      <c r="F100" s="353">
        <v>45438.0</v>
      </c>
      <c r="G100" s="310" t="s">
        <v>688</v>
      </c>
      <c r="H100" s="310" t="s">
        <v>689</v>
      </c>
      <c r="I100" s="281" t="s">
        <v>690</v>
      </c>
    </row>
    <row r="101" ht="15.75" customHeight="1">
      <c r="A101" s="308">
        <v>2.0</v>
      </c>
      <c r="B101" s="327" t="s">
        <v>691</v>
      </c>
      <c r="C101" s="348" t="s">
        <v>692</v>
      </c>
      <c r="D101" s="311" t="s">
        <v>693</v>
      </c>
      <c r="E101" s="352">
        <v>3.63</v>
      </c>
      <c r="F101" s="353">
        <v>46200.0</v>
      </c>
      <c r="G101" s="327" t="s">
        <v>40</v>
      </c>
      <c r="H101" s="327" t="s">
        <v>354</v>
      </c>
      <c r="I101" s="281" t="s">
        <v>694</v>
      </c>
    </row>
    <row r="102" ht="15.75" customHeight="1">
      <c r="A102" s="308">
        <v>3.0</v>
      </c>
      <c r="B102" s="327" t="s">
        <v>695</v>
      </c>
      <c r="C102" s="356" t="s">
        <v>696</v>
      </c>
      <c r="D102" s="311" t="s">
        <v>697</v>
      </c>
      <c r="E102" s="352">
        <f>318.64/424</f>
        <v>0.751509434</v>
      </c>
      <c r="F102" s="353">
        <v>31864.0</v>
      </c>
      <c r="G102" s="327" t="s">
        <v>40</v>
      </c>
      <c r="H102" s="327" t="s">
        <v>702</v>
      </c>
      <c r="I102" s="281" t="s">
        <v>703</v>
      </c>
    </row>
    <row r="103" ht="15.75" customHeight="1">
      <c r="A103" s="308">
        <v>4.0</v>
      </c>
      <c r="B103" s="327" t="s">
        <v>704</v>
      </c>
      <c r="C103" s="327" t="s">
        <v>35</v>
      </c>
      <c r="D103" s="311" t="s">
        <v>705</v>
      </c>
      <c r="E103" s="352">
        <f>670.32/424</f>
        <v>1.580943396</v>
      </c>
      <c r="F103" s="359">
        <v>13406.3</v>
      </c>
      <c r="G103" s="327" t="s">
        <v>40</v>
      </c>
      <c r="H103" s="327" t="s">
        <v>708</v>
      </c>
      <c r="I103" s="182" t="s">
        <v>709</v>
      </c>
    </row>
    <row r="104" ht="15.75" customHeight="1">
      <c r="A104" s="286">
        <v>4.0</v>
      </c>
      <c r="B104" s="361" t="s">
        <v>474</v>
      </c>
      <c r="C104" s="363"/>
      <c r="D104" s="363"/>
      <c r="E104" s="365">
        <f t="shared" ref="E104:F104" si="4">SUM(E100:E103)</f>
        <v>7.034103774</v>
      </c>
      <c r="F104" s="368">
        <f t="shared" si="4"/>
        <v>136908.3</v>
      </c>
      <c r="G104" s="363"/>
      <c r="H104" s="371"/>
      <c r="I104" s="374"/>
    </row>
    <row r="105" ht="15.75" customHeight="1">
      <c r="A105" s="379">
        <f>SUM(A104,A98,A91,A79,A29)</f>
        <v>88</v>
      </c>
      <c r="B105" s="381" t="s">
        <v>747</v>
      </c>
      <c r="C105" s="381"/>
      <c r="D105" s="382"/>
      <c r="E105" s="384">
        <f t="shared" ref="E105:F105" si="5">E104+E98+E91+E79+E29</f>
        <v>186.8724943</v>
      </c>
      <c r="F105" s="387">
        <f t="shared" si="5"/>
        <v>2142713.322</v>
      </c>
      <c r="G105" s="387"/>
      <c r="H105" s="381"/>
      <c r="I105" s="389"/>
    </row>
    <row r="106" ht="15.75" customHeight="1">
      <c r="A106" s="392"/>
      <c r="B106" s="392"/>
    </row>
    <row r="107" ht="15.75" customHeight="1">
      <c r="A107" s="392"/>
      <c r="B107" s="392"/>
    </row>
    <row r="108" ht="15.75" customHeight="1">
      <c r="A108" s="392"/>
      <c r="B108" s="392"/>
    </row>
    <row r="109" ht="15.75" customHeight="1">
      <c r="A109" s="392"/>
      <c r="B109" s="392"/>
    </row>
    <row r="110" ht="15.75" customHeight="1">
      <c r="A110" s="392"/>
      <c r="B110" s="392"/>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H5:H6"/>
    <mergeCell ref="I5:I6"/>
    <mergeCell ref="H19:H20"/>
    <mergeCell ref="I19:I20"/>
    <mergeCell ref="B1:I1"/>
    <mergeCell ref="B2:I2"/>
    <mergeCell ref="B3:I3"/>
    <mergeCell ref="C5:C6"/>
    <mergeCell ref="D5:F5"/>
    <mergeCell ref="G5:G6"/>
    <mergeCell ref="B7:I7"/>
    <mergeCell ref="H66:H69"/>
    <mergeCell ref="I66:I69"/>
    <mergeCell ref="C66:C69"/>
    <mergeCell ref="B91:D91"/>
    <mergeCell ref="B92:I92"/>
    <mergeCell ref="B99:I99"/>
    <mergeCell ref="B5:B6"/>
    <mergeCell ref="B19:B20"/>
    <mergeCell ref="C19:C20"/>
    <mergeCell ref="B30:I30"/>
    <mergeCell ref="B66:B69"/>
    <mergeCell ref="G66:G69"/>
    <mergeCell ref="B80:I8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7.13"/>
    <col customWidth="1" min="2" max="2" width="19.0"/>
    <col customWidth="1" min="3" max="3" width="19.88"/>
    <col customWidth="1" min="4" max="4" width="16.0"/>
    <col customWidth="1" min="5" max="5" width="14.88"/>
    <col customWidth="1" min="6" max="6" width="16.13"/>
    <col customWidth="1" min="7" max="7" width="22.75"/>
    <col customWidth="1" min="8" max="8" width="27.13"/>
    <col customWidth="1" min="9" max="9" width="35.13"/>
  </cols>
  <sheetData>
    <row r="1">
      <c r="A1" s="2" t="s">
        <v>0</v>
      </c>
      <c r="B1" s="5"/>
      <c r="C1" s="5"/>
      <c r="D1" s="5"/>
      <c r="E1" s="5"/>
      <c r="F1" s="5"/>
      <c r="G1" s="5"/>
      <c r="H1" s="5"/>
      <c r="I1" s="7"/>
    </row>
    <row r="2">
      <c r="A2" s="2" t="s">
        <v>3</v>
      </c>
      <c r="B2" s="5"/>
      <c r="C2" s="5"/>
      <c r="D2" s="5"/>
      <c r="E2" s="5"/>
      <c r="F2" s="5"/>
      <c r="G2" s="5"/>
      <c r="H2" s="5"/>
      <c r="I2" s="7"/>
    </row>
    <row r="3">
      <c r="A3" s="12" t="s">
        <v>4</v>
      </c>
      <c r="B3" s="5"/>
      <c r="C3" s="5"/>
      <c r="D3" s="5"/>
      <c r="E3" s="5"/>
      <c r="F3" s="5"/>
      <c r="G3" s="5"/>
      <c r="H3" s="5"/>
      <c r="I3" s="7"/>
    </row>
    <row r="4">
      <c r="A4" s="14" t="s">
        <v>15</v>
      </c>
      <c r="B4" s="15"/>
      <c r="C4" s="15"/>
      <c r="D4" s="15"/>
      <c r="E4" s="15"/>
      <c r="F4" s="15"/>
      <c r="G4" s="15"/>
      <c r="H4" s="15"/>
      <c r="I4" s="19"/>
    </row>
    <row r="5" ht="15.0" customHeight="1">
      <c r="A5" s="21" t="s">
        <v>16</v>
      </c>
      <c r="B5" s="21" t="s">
        <v>17</v>
      </c>
      <c r="C5" s="24" t="s">
        <v>18</v>
      </c>
      <c r="D5" s="27"/>
      <c r="E5" s="27"/>
      <c r="F5" s="28"/>
      <c r="G5" s="21" t="s">
        <v>20</v>
      </c>
      <c r="H5" s="21" t="s">
        <v>21</v>
      </c>
      <c r="I5" s="21" t="s">
        <v>22</v>
      </c>
    </row>
    <row r="6">
      <c r="A6" s="31"/>
      <c r="B6" s="31"/>
      <c r="C6" s="32" t="s">
        <v>23</v>
      </c>
      <c r="D6" s="32" t="s">
        <v>24</v>
      </c>
      <c r="E6" s="32" t="s">
        <v>25</v>
      </c>
      <c r="F6" s="32" t="s">
        <v>26</v>
      </c>
      <c r="G6" s="31"/>
      <c r="H6" s="31"/>
      <c r="I6" s="31"/>
    </row>
    <row r="7" ht="18.0" customHeight="1">
      <c r="A7" s="35" t="s">
        <v>27</v>
      </c>
      <c r="B7" s="27"/>
      <c r="C7" s="27"/>
      <c r="D7" s="27"/>
      <c r="E7" s="27"/>
      <c r="F7" s="27"/>
      <c r="G7" s="27"/>
      <c r="H7" s="27"/>
      <c r="I7" s="28"/>
    </row>
    <row r="8">
      <c r="A8" s="38" t="s">
        <v>29</v>
      </c>
      <c r="B8" s="40" t="s">
        <v>31</v>
      </c>
      <c r="C8" s="43" t="s">
        <v>32</v>
      </c>
      <c r="D8" s="45">
        <v>0.738</v>
      </c>
      <c r="E8" s="47"/>
      <c r="F8" s="50">
        <v>14096.25</v>
      </c>
      <c r="G8" s="43" t="s">
        <v>37</v>
      </c>
      <c r="H8" s="43" t="s">
        <v>38</v>
      </c>
      <c r="I8" s="40" t="s">
        <v>39</v>
      </c>
    </row>
    <row r="9">
      <c r="A9" s="38" t="s">
        <v>41</v>
      </c>
      <c r="B9" s="43" t="s">
        <v>42</v>
      </c>
      <c r="C9" s="43" t="s">
        <v>43</v>
      </c>
      <c r="D9" s="45">
        <f>0.545</f>
        <v>0.545</v>
      </c>
      <c r="E9" s="47"/>
      <c r="F9" s="50">
        <v>5775.19</v>
      </c>
      <c r="G9" s="43" t="s">
        <v>37</v>
      </c>
      <c r="H9" s="43" t="s">
        <v>46</v>
      </c>
      <c r="I9" s="40" t="s">
        <v>47</v>
      </c>
    </row>
    <row r="10">
      <c r="A10" s="54" t="s">
        <v>50</v>
      </c>
      <c r="B10" s="55" t="s">
        <v>51</v>
      </c>
      <c r="C10" s="56" t="s">
        <v>53</v>
      </c>
      <c r="D10" s="57">
        <f>2356.66/424</f>
        <v>5.558160377</v>
      </c>
      <c r="E10" s="58"/>
      <c r="F10" s="59">
        <v>58916.25</v>
      </c>
      <c r="G10" s="56" t="s">
        <v>37</v>
      </c>
      <c r="H10" s="56" t="s">
        <v>66</v>
      </c>
      <c r="I10" s="61" t="s">
        <v>67</v>
      </c>
    </row>
    <row r="11">
      <c r="A11" s="54" t="s">
        <v>72</v>
      </c>
      <c r="B11" s="56" t="s">
        <v>35</v>
      </c>
      <c r="C11" s="56" t="s">
        <v>74</v>
      </c>
      <c r="D11" s="57">
        <f>1041/424</f>
        <v>2.455188679</v>
      </c>
      <c r="E11" s="58"/>
      <c r="F11" s="59">
        <v>27066.0</v>
      </c>
      <c r="G11" s="56" t="s">
        <v>37</v>
      </c>
      <c r="H11" s="56" t="s">
        <v>78</v>
      </c>
      <c r="I11" s="61" t="s">
        <v>79</v>
      </c>
    </row>
    <row r="12">
      <c r="A12" s="38" t="s">
        <v>81</v>
      </c>
      <c r="B12" s="40" t="s">
        <v>82</v>
      </c>
      <c r="C12" s="43" t="s">
        <v>83</v>
      </c>
      <c r="D12" s="45">
        <f>177.33/424</f>
        <v>0.4182311321</v>
      </c>
      <c r="E12" s="47"/>
      <c r="F12" s="50">
        <v>8866.0</v>
      </c>
      <c r="G12" s="43" t="s">
        <v>37</v>
      </c>
      <c r="H12" s="43" t="s">
        <v>84</v>
      </c>
      <c r="I12" s="40" t="s">
        <v>85</v>
      </c>
    </row>
    <row r="13">
      <c r="A13" s="38" t="s">
        <v>86</v>
      </c>
      <c r="B13" s="40" t="s">
        <v>87</v>
      </c>
      <c r="C13" s="43" t="s">
        <v>88</v>
      </c>
      <c r="D13" s="45"/>
      <c r="E13" s="47"/>
      <c r="F13" s="50">
        <v>3750.0</v>
      </c>
      <c r="G13" s="43" t="s">
        <v>37</v>
      </c>
      <c r="H13" s="43" t="s">
        <v>89</v>
      </c>
      <c r="I13" s="43" t="s">
        <v>90</v>
      </c>
    </row>
    <row r="14">
      <c r="A14" s="54" t="s">
        <v>91</v>
      </c>
      <c r="B14" s="56" t="s">
        <v>35</v>
      </c>
      <c r="C14" s="56" t="s">
        <v>92</v>
      </c>
      <c r="D14" s="57">
        <f>233/424</f>
        <v>0.5495283019</v>
      </c>
      <c r="E14" s="58"/>
      <c r="F14" s="59">
        <v>5825.0</v>
      </c>
      <c r="G14" s="56" t="s">
        <v>93</v>
      </c>
      <c r="H14" s="56" t="s">
        <v>94</v>
      </c>
      <c r="I14" s="61" t="s">
        <v>79</v>
      </c>
    </row>
    <row r="15">
      <c r="A15" s="38" t="s">
        <v>95</v>
      </c>
      <c r="B15" s="43" t="s">
        <v>35</v>
      </c>
      <c r="C15" s="43" t="s">
        <v>96</v>
      </c>
      <c r="D15" s="45"/>
      <c r="E15" s="47"/>
      <c r="F15" s="50">
        <v>2550.0</v>
      </c>
      <c r="G15" s="43" t="s">
        <v>97</v>
      </c>
      <c r="H15" s="43"/>
      <c r="I15" s="43" t="s">
        <v>98</v>
      </c>
    </row>
    <row r="16">
      <c r="A16" s="38" t="s">
        <v>99</v>
      </c>
      <c r="B16" s="43"/>
      <c r="C16" s="43" t="s">
        <v>100</v>
      </c>
      <c r="D16" s="45"/>
      <c r="E16" s="47"/>
      <c r="F16" s="50"/>
      <c r="G16" s="43"/>
      <c r="H16" s="43"/>
      <c r="I16" s="40" t="s">
        <v>101</v>
      </c>
    </row>
    <row r="17">
      <c r="A17" s="54" t="s">
        <v>102</v>
      </c>
      <c r="B17" s="68" t="s">
        <v>103</v>
      </c>
      <c r="C17" s="56" t="s">
        <v>105</v>
      </c>
      <c r="D17" s="57">
        <v>0.34</v>
      </c>
      <c r="E17" s="58"/>
      <c r="F17" s="59">
        <v>19588.0</v>
      </c>
      <c r="G17" s="56" t="s">
        <v>108</v>
      </c>
      <c r="H17" s="56" t="s">
        <v>109</v>
      </c>
      <c r="I17" s="61" t="s">
        <v>79</v>
      </c>
    </row>
    <row r="18">
      <c r="A18" s="54" t="s">
        <v>110</v>
      </c>
      <c r="B18" s="71" t="s">
        <v>111</v>
      </c>
      <c r="C18" s="56" t="s">
        <v>113</v>
      </c>
      <c r="D18" s="57">
        <f>328/424</f>
        <v>0.7735849057</v>
      </c>
      <c r="E18" s="58"/>
      <c r="F18" s="59">
        <v>8200.0</v>
      </c>
      <c r="G18" s="56" t="s">
        <v>97</v>
      </c>
      <c r="H18" s="56"/>
      <c r="I18" s="61" t="s">
        <v>67</v>
      </c>
    </row>
    <row r="19">
      <c r="A19" s="54" t="s">
        <v>121</v>
      </c>
      <c r="B19" s="74" t="s">
        <v>122</v>
      </c>
      <c r="C19" s="56" t="s">
        <v>125</v>
      </c>
      <c r="D19" s="57">
        <f>118/424</f>
        <v>0.2783018868</v>
      </c>
      <c r="E19" s="58"/>
      <c r="F19" s="59">
        <v>3540.0</v>
      </c>
      <c r="G19" s="56" t="s">
        <v>37</v>
      </c>
      <c r="H19" s="56"/>
      <c r="I19" s="77" t="s">
        <v>127</v>
      </c>
    </row>
    <row r="20">
      <c r="A20" s="38" t="s">
        <v>128</v>
      </c>
      <c r="B20" s="43" t="s">
        <v>35</v>
      </c>
      <c r="C20" s="43" t="s">
        <v>129</v>
      </c>
      <c r="D20" s="45">
        <v>2.57</v>
      </c>
      <c r="E20" s="47"/>
      <c r="F20" s="50">
        <v>27301.0</v>
      </c>
      <c r="G20" s="43"/>
      <c r="H20" s="43" t="s">
        <v>130</v>
      </c>
      <c r="I20" s="43" t="s">
        <v>131</v>
      </c>
    </row>
    <row r="21" ht="15.75" customHeight="1">
      <c r="A21" s="38" t="s">
        <v>132</v>
      </c>
      <c r="B21" s="43" t="s">
        <v>35</v>
      </c>
      <c r="C21" s="43" t="s">
        <v>133</v>
      </c>
      <c r="D21" s="45">
        <v>0.56</v>
      </c>
      <c r="E21" s="47"/>
      <c r="F21" s="50">
        <v>6000.0</v>
      </c>
      <c r="G21" s="43"/>
      <c r="H21" s="43" t="s">
        <v>134</v>
      </c>
      <c r="I21" s="43" t="s">
        <v>135</v>
      </c>
    </row>
    <row r="22" ht="15.75" customHeight="1">
      <c r="A22" s="38" t="s">
        <v>137</v>
      </c>
      <c r="B22" s="43" t="s">
        <v>35</v>
      </c>
      <c r="C22" s="43" t="s">
        <v>138</v>
      </c>
      <c r="D22" s="45">
        <v>1.49</v>
      </c>
      <c r="E22" s="47"/>
      <c r="F22" s="50">
        <v>15814.0</v>
      </c>
      <c r="G22" s="43"/>
      <c r="H22" s="43" t="s">
        <v>139</v>
      </c>
      <c r="I22" s="40" t="s">
        <v>140</v>
      </c>
    </row>
    <row r="23" ht="15.75" customHeight="1">
      <c r="A23" s="38" t="s">
        <v>142</v>
      </c>
      <c r="B23" s="43" t="s">
        <v>35</v>
      </c>
      <c r="C23" s="43" t="s">
        <v>143</v>
      </c>
      <c r="D23" s="45">
        <v>1.32</v>
      </c>
      <c r="E23" s="47"/>
      <c r="F23" s="50">
        <v>14049.0</v>
      </c>
      <c r="G23" s="43" t="s">
        <v>145</v>
      </c>
      <c r="H23" s="43" t="s">
        <v>146</v>
      </c>
      <c r="I23" s="40" t="s">
        <v>147</v>
      </c>
    </row>
    <row r="24" ht="15.75" customHeight="1">
      <c r="A24" s="38" t="s">
        <v>148</v>
      </c>
      <c r="B24" s="43" t="s">
        <v>35</v>
      </c>
      <c r="C24" s="43" t="s">
        <v>149</v>
      </c>
      <c r="D24" s="45">
        <v>1.47</v>
      </c>
      <c r="E24" s="47"/>
      <c r="F24" s="50">
        <v>15683.0</v>
      </c>
      <c r="G24" s="43" t="s">
        <v>145</v>
      </c>
      <c r="H24" s="43" t="s">
        <v>146</v>
      </c>
      <c r="I24" s="83" t="s">
        <v>151</v>
      </c>
    </row>
    <row r="25" ht="15.75" customHeight="1">
      <c r="A25" s="38" t="s">
        <v>152</v>
      </c>
      <c r="B25" s="43" t="s">
        <v>35</v>
      </c>
      <c r="C25" s="43" t="s">
        <v>153</v>
      </c>
      <c r="D25" s="45">
        <v>9.14</v>
      </c>
      <c r="E25" s="47"/>
      <c r="F25" s="50">
        <v>77546.2</v>
      </c>
      <c r="G25" s="43" t="s">
        <v>145</v>
      </c>
      <c r="H25" s="43" t="s">
        <v>146</v>
      </c>
      <c r="I25" s="83" t="s">
        <v>154</v>
      </c>
    </row>
    <row r="26" ht="15.75" customHeight="1">
      <c r="A26" s="54" t="s">
        <v>155</v>
      </c>
      <c r="B26" s="56" t="s">
        <v>156</v>
      </c>
      <c r="C26" s="56" t="s">
        <v>158</v>
      </c>
      <c r="D26" s="57">
        <v>26.85</v>
      </c>
      <c r="E26" s="58"/>
      <c r="F26" s="59">
        <v>161100.0</v>
      </c>
      <c r="G26" s="56" t="s">
        <v>145</v>
      </c>
      <c r="H26" s="56" t="s">
        <v>146</v>
      </c>
      <c r="I26" s="61" t="s">
        <v>79</v>
      </c>
    </row>
    <row r="27" ht="15.75" customHeight="1">
      <c r="A27" s="54" t="s">
        <v>155</v>
      </c>
      <c r="B27" s="56" t="s">
        <v>161</v>
      </c>
      <c r="C27" s="56" t="s">
        <v>162</v>
      </c>
      <c r="D27" s="57">
        <v>44.87</v>
      </c>
      <c r="E27" s="58"/>
      <c r="F27" s="59">
        <v>224350.0</v>
      </c>
      <c r="G27" s="56" t="s">
        <v>145</v>
      </c>
      <c r="H27" s="56" t="s">
        <v>146</v>
      </c>
      <c r="I27" s="61" t="s">
        <v>79</v>
      </c>
    </row>
    <row r="28" ht="15.75" customHeight="1">
      <c r="A28" s="38" t="s">
        <v>166</v>
      </c>
      <c r="B28" s="43" t="s">
        <v>35</v>
      </c>
      <c r="C28" s="43" t="s">
        <v>167</v>
      </c>
      <c r="D28" s="45">
        <v>0.77</v>
      </c>
      <c r="E28" s="47"/>
      <c r="F28" s="50">
        <v>19558.8</v>
      </c>
      <c r="G28" s="43" t="s">
        <v>168</v>
      </c>
      <c r="H28" s="43" t="s">
        <v>170</v>
      </c>
      <c r="I28" s="83" t="s">
        <v>171</v>
      </c>
    </row>
    <row r="29" ht="15.75" customHeight="1">
      <c r="A29" s="54" t="s">
        <v>175</v>
      </c>
      <c r="B29" s="86" t="s">
        <v>177</v>
      </c>
      <c r="C29" s="56" t="s">
        <v>180</v>
      </c>
      <c r="D29" s="57">
        <v>0.37</v>
      </c>
      <c r="E29" s="58"/>
      <c r="F29" s="59">
        <v>3966.25</v>
      </c>
      <c r="G29" s="56" t="s">
        <v>183</v>
      </c>
      <c r="H29" s="56" t="s">
        <v>184</v>
      </c>
      <c r="I29" s="77" t="s">
        <v>185</v>
      </c>
    </row>
    <row r="30" ht="15.75" customHeight="1">
      <c r="A30" s="38" t="s">
        <v>187</v>
      </c>
      <c r="B30" s="87" t="s">
        <v>189</v>
      </c>
      <c r="C30" s="43" t="s">
        <v>193</v>
      </c>
      <c r="D30" s="45">
        <v>0.75</v>
      </c>
      <c r="E30" s="47"/>
      <c r="F30" s="50">
        <v>7957.75</v>
      </c>
      <c r="G30" s="43" t="s">
        <v>37</v>
      </c>
      <c r="H30" s="43" t="s">
        <v>196</v>
      </c>
      <c r="I30" s="40" t="s">
        <v>197</v>
      </c>
    </row>
    <row r="31" ht="15.75" customHeight="1">
      <c r="A31" s="54" t="s">
        <v>198</v>
      </c>
      <c r="B31" s="86" t="s">
        <v>177</v>
      </c>
      <c r="C31" s="56" t="s">
        <v>199</v>
      </c>
      <c r="D31" s="57">
        <f>208.33/424</f>
        <v>0.4913443396</v>
      </c>
      <c r="E31" s="58"/>
      <c r="F31" s="59">
        <v>5208.25</v>
      </c>
      <c r="G31" s="56" t="s">
        <v>183</v>
      </c>
      <c r="H31" s="56" t="s">
        <v>184</v>
      </c>
      <c r="I31" s="61" t="s">
        <v>201</v>
      </c>
    </row>
    <row r="32" ht="15.75" customHeight="1">
      <c r="A32" s="54" t="s">
        <v>202</v>
      </c>
      <c r="B32" s="56" t="s">
        <v>203</v>
      </c>
      <c r="C32" s="56" t="s">
        <v>204</v>
      </c>
      <c r="D32" s="57">
        <v>0.57</v>
      </c>
      <c r="E32" s="58"/>
      <c r="F32" s="59">
        <v>6116.5</v>
      </c>
      <c r="G32" s="56" t="s">
        <v>183</v>
      </c>
      <c r="H32" s="56" t="s">
        <v>184</v>
      </c>
      <c r="I32" s="61" t="s">
        <v>201</v>
      </c>
    </row>
    <row r="33" ht="15.75" customHeight="1">
      <c r="A33" s="54" t="s">
        <v>205</v>
      </c>
      <c r="B33" s="74" t="s">
        <v>206</v>
      </c>
      <c r="C33" s="56" t="s">
        <v>207</v>
      </c>
      <c r="D33" s="57">
        <f>75.99/424</f>
        <v>0.1792216981</v>
      </c>
      <c r="E33" s="58"/>
      <c r="F33" s="59">
        <v>3799.5</v>
      </c>
      <c r="G33" s="56" t="s">
        <v>37</v>
      </c>
      <c r="H33" s="56" t="s">
        <v>208</v>
      </c>
      <c r="I33" s="61" t="s">
        <v>67</v>
      </c>
    </row>
    <row r="34" ht="15.75" customHeight="1">
      <c r="A34" s="54" t="s">
        <v>205</v>
      </c>
      <c r="B34" s="74" t="s">
        <v>206</v>
      </c>
      <c r="C34" s="56" t="s">
        <v>207</v>
      </c>
      <c r="D34" s="57">
        <f>84.99/424</f>
        <v>0.2004481132</v>
      </c>
      <c r="E34" s="58"/>
      <c r="F34" s="59">
        <v>4249.5</v>
      </c>
      <c r="G34" s="56" t="s">
        <v>37</v>
      </c>
      <c r="H34" s="56" t="s">
        <v>208</v>
      </c>
      <c r="I34" s="61" t="s">
        <v>67</v>
      </c>
    </row>
    <row r="35" ht="15.75" customHeight="1">
      <c r="A35" s="54" t="s">
        <v>211</v>
      </c>
      <c r="B35" s="56" t="s">
        <v>35</v>
      </c>
      <c r="C35" s="56" t="s">
        <v>213</v>
      </c>
      <c r="D35" s="57">
        <v>0.9</v>
      </c>
      <c r="E35" s="58"/>
      <c r="F35" s="59">
        <v>9545.75</v>
      </c>
      <c r="G35" s="56" t="s">
        <v>145</v>
      </c>
      <c r="H35" s="56" t="s">
        <v>146</v>
      </c>
      <c r="I35" s="61" t="s">
        <v>79</v>
      </c>
    </row>
    <row r="36" ht="15.75" customHeight="1">
      <c r="A36" s="38" t="s">
        <v>215</v>
      </c>
      <c r="B36" s="43" t="s">
        <v>35</v>
      </c>
      <c r="C36" s="43" t="s">
        <v>216</v>
      </c>
      <c r="D36" s="45">
        <v>1.18</v>
      </c>
      <c r="E36" s="47"/>
      <c r="F36" s="50">
        <v>12525.0</v>
      </c>
      <c r="G36" s="43" t="s">
        <v>145</v>
      </c>
      <c r="H36" s="43" t="s">
        <v>146</v>
      </c>
      <c r="I36" s="83" t="s">
        <v>151</v>
      </c>
    </row>
    <row r="37" ht="15.75" customHeight="1">
      <c r="A37" s="38" t="s">
        <v>220</v>
      </c>
      <c r="B37" s="43" t="s">
        <v>35</v>
      </c>
      <c r="C37" s="43" t="s">
        <v>221</v>
      </c>
      <c r="D37" s="45">
        <v>1.03</v>
      </c>
      <c r="E37" s="47"/>
      <c r="F37" s="50"/>
      <c r="G37" s="43"/>
      <c r="H37" s="43"/>
      <c r="I37" s="43" t="s">
        <v>224</v>
      </c>
    </row>
    <row r="38" ht="15.75" customHeight="1">
      <c r="A38" s="54" t="s">
        <v>225</v>
      </c>
      <c r="B38" s="74" t="s">
        <v>206</v>
      </c>
      <c r="C38" s="56" t="s">
        <v>226</v>
      </c>
      <c r="D38" s="57">
        <v>0.24</v>
      </c>
      <c r="E38" s="58"/>
      <c r="F38" s="59">
        <v>6234.6</v>
      </c>
      <c r="G38" s="56" t="s">
        <v>37</v>
      </c>
      <c r="H38" s="56" t="s">
        <v>228</v>
      </c>
      <c r="I38" s="61" t="s">
        <v>201</v>
      </c>
    </row>
    <row r="39" ht="15.75" customHeight="1">
      <c r="A39" s="105" t="s">
        <v>200</v>
      </c>
      <c r="B39" s="108"/>
      <c r="C39" s="108"/>
      <c r="D39" s="111">
        <f>SUM(D8:D38)</f>
        <v>106.6070094</v>
      </c>
      <c r="E39" s="111"/>
      <c r="F39" s="114">
        <f>SUM(F8:F38)</f>
        <v>779177.79</v>
      </c>
      <c r="G39" s="108"/>
      <c r="H39" s="108"/>
      <c r="I39" s="108"/>
    </row>
    <row r="40" ht="15.75" customHeight="1">
      <c r="A40" s="35" t="s">
        <v>30</v>
      </c>
      <c r="B40" s="27"/>
      <c r="C40" s="27"/>
      <c r="D40" s="27"/>
      <c r="E40" s="27"/>
      <c r="F40" s="27"/>
      <c r="G40" s="27"/>
      <c r="H40" s="27"/>
      <c r="I40" s="28"/>
    </row>
    <row r="41" ht="15.75" customHeight="1">
      <c r="A41" s="117" t="s">
        <v>238</v>
      </c>
      <c r="B41" s="119" t="s">
        <v>35</v>
      </c>
      <c r="C41" s="56" t="s">
        <v>241</v>
      </c>
      <c r="D41" s="121">
        <f>784/424</f>
        <v>1.849056604</v>
      </c>
      <c r="E41" s="122"/>
      <c r="F41" s="124">
        <v>27440.0</v>
      </c>
      <c r="G41" s="126" t="s">
        <v>243</v>
      </c>
      <c r="H41" s="127"/>
      <c r="I41" s="77" t="s">
        <v>244</v>
      </c>
    </row>
    <row r="42" ht="15.75" customHeight="1">
      <c r="A42" s="117" t="s">
        <v>245</v>
      </c>
      <c r="B42" s="74" t="s">
        <v>246</v>
      </c>
      <c r="C42" s="56" t="s">
        <v>247</v>
      </c>
      <c r="D42" s="121">
        <f>460.26/424</f>
        <v>1.085518868</v>
      </c>
      <c r="E42" s="122"/>
      <c r="F42" s="124">
        <v>27729.8</v>
      </c>
      <c r="G42" s="126" t="s">
        <v>243</v>
      </c>
      <c r="H42" s="127"/>
      <c r="I42" s="77" t="s">
        <v>249</v>
      </c>
    </row>
    <row r="43" ht="15.75" customHeight="1">
      <c r="A43" s="132" t="s">
        <v>251</v>
      </c>
      <c r="B43" s="87" t="s">
        <v>256</v>
      </c>
      <c r="C43" s="43" t="s">
        <v>257</v>
      </c>
      <c r="D43" s="133">
        <f>72/424</f>
        <v>0.1698113208</v>
      </c>
      <c r="E43" s="135"/>
      <c r="F43" s="137"/>
      <c r="G43" s="139" t="s">
        <v>243</v>
      </c>
      <c r="H43" s="140"/>
      <c r="I43" s="40" t="s">
        <v>269</v>
      </c>
    </row>
    <row r="44" ht="15.75" customHeight="1">
      <c r="A44" s="132" t="s">
        <v>270</v>
      </c>
      <c r="B44" s="87" t="s">
        <v>271</v>
      </c>
      <c r="C44" s="43" t="s">
        <v>56</v>
      </c>
      <c r="D44" s="133">
        <f>360/424</f>
        <v>0.8490566038</v>
      </c>
      <c r="E44" s="135"/>
      <c r="F44" s="137">
        <v>12600.0</v>
      </c>
      <c r="G44" s="139" t="s">
        <v>243</v>
      </c>
      <c r="H44" s="140"/>
      <c r="I44" s="40" t="s">
        <v>275</v>
      </c>
    </row>
    <row r="45" ht="15.75" customHeight="1">
      <c r="A45" s="105" t="s">
        <v>200</v>
      </c>
      <c r="B45" s="143"/>
      <c r="C45" s="143"/>
      <c r="D45" s="111">
        <f>SUM(D41:D44)</f>
        <v>3.953443396</v>
      </c>
      <c r="E45" s="145"/>
      <c r="F45" s="146">
        <f>SUM(F41:F44)</f>
        <v>67769.8</v>
      </c>
      <c r="G45" s="148"/>
      <c r="H45" s="150"/>
      <c r="I45" s="152"/>
    </row>
    <row r="46" ht="15.75" customHeight="1">
      <c r="A46" s="35" t="s">
        <v>312</v>
      </c>
      <c r="B46" s="27"/>
      <c r="C46" s="27"/>
      <c r="D46" s="27"/>
      <c r="E46" s="27"/>
      <c r="F46" s="27"/>
      <c r="G46" s="27"/>
      <c r="H46" s="27"/>
      <c r="I46" s="28"/>
    </row>
    <row r="47" ht="15.75" customHeight="1">
      <c r="A47" s="155" t="s">
        <v>315</v>
      </c>
      <c r="B47" s="157" t="s">
        <v>318</v>
      </c>
      <c r="C47" s="117" t="s">
        <v>319</v>
      </c>
      <c r="D47" s="160">
        <f>2132/424</f>
        <v>5.028301887</v>
      </c>
      <c r="E47" s="162"/>
      <c r="F47" s="164">
        <v>63960.0</v>
      </c>
      <c r="G47" s="167" t="s">
        <v>328</v>
      </c>
      <c r="H47" s="117" t="s">
        <v>329</v>
      </c>
      <c r="I47" s="77" t="s">
        <v>330</v>
      </c>
    </row>
    <row r="48" ht="15.75" customHeight="1">
      <c r="A48" s="155" t="s">
        <v>331</v>
      </c>
      <c r="B48" s="169" t="s">
        <v>332</v>
      </c>
      <c r="C48" s="117" t="s">
        <v>333</v>
      </c>
      <c r="D48" s="160">
        <f>141.64/424</f>
        <v>0.3340566038</v>
      </c>
      <c r="E48" s="162"/>
      <c r="F48" s="164">
        <v>4249.2</v>
      </c>
      <c r="G48" s="167" t="s">
        <v>328</v>
      </c>
      <c r="H48" s="167" t="s">
        <v>336</v>
      </c>
      <c r="I48" s="61" t="s">
        <v>201</v>
      </c>
    </row>
    <row r="49" ht="15.75" customHeight="1">
      <c r="A49" s="155" t="s">
        <v>337</v>
      </c>
      <c r="B49" s="167" t="s">
        <v>339</v>
      </c>
      <c r="C49" s="117" t="s">
        <v>340</v>
      </c>
      <c r="D49" s="160">
        <v>0.25</v>
      </c>
      <c r="E49" s="162"/>
      <c r="F49" s="164">
        <v>2133.2</v>
      </c>
      <c r="G49" s="167" t="s">
        <v>328</v>
      </c>
      <c r="H49" s="167" t="s">
        <v>341</v>
      </c>
      <c r="I49" s="61" t="s">
        <v>79</v>
      </c>
    </row>
    <row r="50" ht="15.75" customHeight="1">
      <c r="A50" s="155" t="s">
        <v>343</v>
      </c>
      <c r="B50" s="167" t="s">
        <v>344</v>
      </c>
      <c r="C50" s="117" t="s">
        <v>345</v>
      </c>
      <c r="D50" s="160">
        <v>1.2</v>
      </c>
      <c r="E50" s="162"/>
      <c r="F50" s="164">
        <v>10175.4</v>
      </c>
      <c r="G50" s="167"/>
      <c r="H50" s="167"/>
      <c r="I50" s="61" t="s">
        <v>79</v>
      </c>
    </row>
    <row r="51" ht="15.75" customHeight="1">
      <c r="A51" s="155" t="s">
        <v>348</v>
      </c>
      <c r="B51" s="177" t="s">
        <v>350</v>
      </c>
      <c r="C51" s="117" t="s">
        <v>352</v>
      </c>
      <c r="D51" s="160">
        <v>9.41</v>
      </c>
      <c r="E51" s="162"/>
      <c r="F51" s="164">
        <v>109759.6</v>
      </c>
      <c r="G51" s="167" t="s">
        <v>353</v>
      </c>
      <c r="H51" s="167" t="s">
        <v>354</v>
      </c>
      <c r="I51" s="61" t="s">
        <v>79</v>
      </c>
    </row>
    <row r="52" ht="15.75" customHeight="1">
      <c r="A52" s="155" t="s">
        <v>355</v>
      </c>
      <c r="B52" s="167" t="s">
        <v>339</v>
      </c>
      <c r="C52" s="117" t="s">
        <v>356</v>
      </c>
      <c r="D52" s="160">
        <v>1.04</v>
      </c>
      <c r="E52" s="162"/>
      <c r="F52" s="164">
        <v>5200.0</v>
      </c>
      <c r="G52" s="179"/>
      <c r="H52" s="167"/>
      <c r="I52" s="61" t="s">
        <v>79</v>
      </c>
    </row>
    <row r="53" ht="15.75" customHeight="1">
      <c r="A53" s="155" t="s">
        <v>360</v>
      </c>
      <c r="B53" s="167" t="s">
        <v>35</v>
      </c>
      <c r="C53" s="117"/>
      <c r="D53" s="160">
        <f>245.5/424</f>
        <v>0.579009434</v>
      </c>
      <c r="E53" s="162"/>
      <c r="F53" s="164">
        <v>19640.0</v>
      </c>
      <c r="G53" s="167" t="s">
        <v>365</v>
      </c>
      <c r="H53" s="167" t="s">
        <v>354</v>
      </c>
      <c r="I53" s="61" t="s">
        <v>79</v>
      </c>
    </row>
    <row r="54" ht="15.75" customHeight="1">
      <c r="A54" s="155" t="s">
        <v>366</v>
      </c>
      <c r="B54" s="167" t="s">
        <v>339</v>
      </c>
      <c r="C54" s="117" t="s">
        <v>367</v>
      </c>
      <c r="D54" s="160">
        <f>679.56/424</f>
        <v>1.602735849</v>
      </c>
      <c r="E54" s="162"/>
      <c r="F54" s="164">
        <v>54364.8</v>
      </c>
      <c r="G54" s="167" t="s">
        <v>336</v>
      </c>
      <c r="H54" s="167" t="s">
        <v>371</v>
      </c>
      <c r="I54" s="61" t="s">
        <v>79</v>
      </c>
    </row>
    <row r="55" ht="15.75" customHeight="1">
      <c r="A55" s="183" t="s">
        <v>373</v>
      </c>
      <c r="B55" s="183"/>
      <c r="C55" s="183"/>
      <c r="D55" s="111">
        <f>SUM(D47:D54)</f>
        <v>19.44410377</v>
      </c>
      <c r="E55" s="114"/>
      <c r="F55" s="184">
        <f>SUM(F47:F54)</f>
        <v>269482.2</v>
      </c>
      <c r="G55" s="185"/>
      <c r="H55" s="186"/>
      <c r="I55" s="187"/>
    </row>
    <row r="56" ht="15.75" customHeight="1">
      <c r="A56" s="188" t="s">
        <v>390</v>
      </c>
      <c r="B56" s="27"/>
      <c r="C56" s="27"/>
      <c r="D56" s="27"/>
      <c r="E56" s="27"/>
      <c r="F56" s="27"/>
      <c r="G56" s="27"/>
      <c r="H56" s="27"/>
      <c r="I56" s="28"/>
    </row>
    <row r="57" ht="15.75" customHeight="1">
      <c r="A57" s="190" t="s">
        <v>394</v>
      </c>
      <c r="B57" s="191" t="s">
        <v>35</v>
      </c>
      <c r="C57" s="190" t="s">
        <v>399</v>
      </c>
      <c r="D57" s="193">
        <f>488/424</f>
        <v>1.150943396</v>
      </c>
      <c r="E57" s="190"/>
      <c r="F57" s="196">
        <f>1.151*12713.75</f>
        <v>14633.52625</v>
      </c>
      <c r="G57" s="191" t="s">
        <v>402</v>
      </c>
      <c r="H57" s="191" t="s">
        <v>403</v>
      </c>
      <c r="I57" s="43" t="s">
        <v>404</v>
      </c>
    </row>
    <row r="58" ht="15.75" customHeight="1">
      <c r="A58" s="190" t="s">
        <v>405</v>
      </c>
      <c r="B58" s="191" t="s">
        <v>35</v>
      </c>
      <c r="C58" s="191" t="s">
        <v>406</v>
      </c>
      <c r="D58" s="193">
        <f>433/424</f>
        <v>1.021226415</v>
      </c>
      <c r="E58" s="190"/>
      <c r="F58" s="199">
        <f t="shared" ref="F58:F59" si="1">D58*12713.75</f>
        <v>12983.61733</v>
      </c>
      <c r="G58" s="191" t="s">
        <v>402</v>
      </c>
      <c r="H58" s="191" t="s">
        <v>403</v>
      </c>
      <c r="I58" s="40" t="s">
        <v>410</v>
      </c>
    </row>
    <row r="59" ht="15.75" customHeight="1">
      <c r="A59" s="200" t="s">
        <v>411</v>
      </c>
      <c r="B59" s="200" t="s">
        <v>35</v>
      </c>
      <c r="C59" s="200"/>
      <c r="D59" s="201">
        <f>1200/424</f>
        <v>2.830188679</v>
      </c>
      <c r="E59" s="59"/>
      <c r="F59" s="202">
        <f t="shared" si="1"/>
        <v>35982.31132</v>
      </c>
      <c r="G59" s="200" t="s">
        <v>413</v>
      </c>
      <c r="H59" s="203" t="s">
        <v>414</v>
      </c>
      <c r="I59" s="77" t="s">
        <v>416</v>
      </c>
    </row>
    <row r="60" ht="15.75" customHeight="1">
      <c r="A60" s="200" t="s">
        <v>417</v>
      </c>
      <c r="B60" s="204" t="s">
        <v>418</v>
      </c>
      <c r="C60" s="205" t="s">
        <v>419</v>
      </c>
      <c r="D60" s="201">
        <f>44/424</f>
        <v>0.1037735849</v>
      </c>
      <c r="E60" s="59"/>
      <c r="F60" s="206">
        <v>2640.0</v>
      </c>
      <c r="G60" s="200" t="s">
        <v>413</v>
      </c>
      <c r="H60" s="203" t="s">
        <v>421</v>
      </c>
      <c r="I60" s="61" t="s">
        <v>422</v>
      </c>
    </row>
    <row r="61" ht="15.75" customHeight="1">
      <c r="A61" s="200" t="s">
        <v>423</v>
      </c>
      <c r="B61" s="200" t="s">
        <v>35</v>
      </c>
      <c r="C61" s="200" t="s">
        <v>424</v>
      </c>
      <c r="D61" s="201">
        <v>2.69</v>
      </c>
      <c r="E61" s="59"/>
      <c r="F61" s="206">
        <v>34200.0</v>
      </c>
      <c r="G61" s="200"/>
      <c r="H61" s="203"/>
      <c r="I61" s="61" t="s">
        <v>79</v>
      </c>
    </row>
    <row r="62" ht="15.75" customHeight="1">
      <c r="A62" s="200" t="s">
        <v>425</v>
      </c>
      <c r="B62" s="208" t="s">
        <v>426</v>
      </c>
      <c r="C62" s="200"/>
      <c r="D62" s="201">
        <f>SUM(D57:D61)</f>
        <v>7.796132075</v>
      </c>
      <c r="E62" s="59"/>
      <c r="F62" s="206">
        <f>SUM(F57:F61)</f>
        <v>100439.4549</v>
      </c>
      <c r="G62" s="200" t="s">
        <v>430</v>
      </c>
      <c r="H62" s="203"/>
      <c r="I62" s="77" t="s">
        <v>431</v>
      </c>
    </row>
    <row r="63" ht="15.75" customHeight="1">
      <c r="A63" s="211" t="s">
        <v>433</v>
      </c>
      <c r="B63" s="213"/>
      <c r="C63" s="213"/>
      <c r="D63" s="214">
        <f>SUM(D57:D62)</f>
        <v>15.59226415</v>
      </c>
      <c r="E63" s="215"/>
      <c r="F63" s="114">
        <f>SUM(F57:F62)</f>
        <v>200878.9098</v>
      </c>
      <c r="G63" s="213"/>
      <c r="H63" s="216"/>
      <c r="I63" s="217"/>
    </row>
    <row r="64" ht="15.75" customHeight="1">
      <c r="A64" s="188" t="s">
        <v>456</v>
      </c>
      <c r="B64" s="27"/>
      <c r="C64" s="27"/>
      <c r="D64" s="27"/>
      <c r="E64" s="27"/>
      <c r="F64" s="27"/>
      <c r="G64" s="27"/>
      <c r="H64" s="27"/>
      <c r="I64" s="28"/>
    </row>
    <row r="65" ht="15.75" customHeight="1">
      <c r="A65" s="218" t="s">
        <v>464</v>
      </c>
      <c r="B65" s="219" t="s">
        <v>35</v>
      </c>
      <c r="C65" s="132" t="s">
        <v>465</v>
      </c>
      <c r="D65" s="221">
        <v>3.7</v>
      </c>
      <c r="E65" s="224"/>
      <c r="F65" s="227">
        <f>7632.45*D65</f>
        <v>28240.065</v>
      </c>
      <c r="G65" s="230" t="s">
        <v>346</v>
      </c>
      <c r="H65" s="230" t="s">
        <v>475</v>
      </c>
      <c r="I65" s="140" t="s">
        <v>476</v>
      </c>
    </row>
    <row r="66" ht="15.75" customHeight="1">
      <c r="A66" s="233" t="s">
        <v>477</v>
      </c>
      <c r="B66" s="167"/>
      <c r="C66" s="117" t="s">
        <v>478</v>
      </c>
      <c r="D66" s="160">
        <f>120/424</f>
        <v>0.2830188679</v>
      </c>
      <c r="E66" s="162"/>
      <c r="F66" s="164">
        <v>14000.0</v>
      </c>
      <c r="G66" s="237" t="s">
        <v>479</v>
      </c>
      <c r="H66" s="237"/>
      <c r="I66" s="239" t="s">
        <v>480</v>
      </c>
    </row>
    <row r="67" ht="15.75" customHeight="1">
      <c r="A67" s="230" t="s">
        <v>483</v>
      </c>
      <c r="B67" s="219" t="s">
        <v>35</v>
      </c>
      <c r="C67" s="191" t="s">
        <v>484</v>
      </c>
      <c r="D67" s="240">
        <v>4.969</v>
      </c>
      <c r="E67" s="50"/>
      <c r="F67" s="241">
        <v>37925.64</v>
      </c>
      <c r="G67" s="230" t="s">
        <v>346</v>
      </c>
      <c r="H67" s="230" t="s">
        <v>486</v>
      </c>
      <c r="I67" s="243" t="s">
        <v>487</v>
      </c>
    </row>
    <row r="68" ht="15.75" customHeight="1">
      <c r="A68" s="237" t="s">
        <v>489</v>
      </c>
      <c r="B68" s="246" t="s">
        <v>490</v>
      </c>
      <c r="C68" s="200" t="s">
        <v>493</v>
      </c>
      <c r="D68" s="248">
        <v>6.16</v>
      </c>
      <c r="E68" s="59"/>
      <c r="F68" s="164">
        <f>7632.45*D68</f>
        <v>47015.892</v>
      </c>
      <c r="G68" s="237" t="s">
        <v>346</v>
      </c>
      <c r="H68" s="237" t="s">
        <v>499</v>
      </c>
      <c r="I68" s="251" t="s">
        <v>79</v>
      </c>
    </row>
    <row r="69" ht="15.75" customHeight="1">
      <c r="A69" s="254" t="s">
        <v>200</v>
      </c>
      <c r="B69" s="257"/>
      <c r="C69" s="257"/>
      <c r="D69" s="258">
        <f>SUM(D65:D68)</f>
        <v>15.11201887</v>
      </c>
      <c r="E69" s="261"/>
      <c r="F69" s="263">
        <f>SUM(F65:F68)</f>
        <v>127181.597</v>
      </c>
      <c r="G69" s="257"/>
      <c r="H69" s="265"/>
      <c r="I69" s="267"/>
    </row>
    <row r="70" ht="15.75" customHeight="1">
      <c r="A70" s="152" t="s">
        <v>518</v>
      </c>
      <c r="B70" s="152"/>
      <c r="C70" s="270"/>
      <c r="D70" s="274">
        <f>D69+D63+D55+D45+D39</f>
        <v>160.7088396</v>
      </c>
      <c r="E70" s="274"/>
      <c r="F70" s="277">
        <f>F69+F63+F55+F45+F39</f>
        <v>1444490.297</v>
      </c>
      <c r="G70" s="279"/>
      <c r="H70" s="152"/>
      <c r="I70" s="152"/>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G5:G6"/>
    <mergeCell ref="H5:H6"/>
    <mergeCell ref="C5:F5"/>
    <mergeCell ref="A7:I7"/>
    <mergeCell ref="A40:I40"/>
    <mergeCell ref="A46:I46"/>
    <mergeCell ref="A56:I56"/>
    <mergeCell ref="A64:I64"/>
    <mergeCell ref="A1:I1"/>
    <mergeCell ref="A2:I2"/>
    <mergeCell ref="A3:I3"/>
    <mergeCell ref="A4:I4"/>
    <mergeCell ref="A5:A6"/>
    <mergeCell ref="B5:B6"/>
    <mergeCell ref="I5:I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63"/>
    <col customWidth="1" min="2" max="2" width="19.13"/>
    <col customWidth="1" min="3" max="3" width="20.88"/>
    <col customWidth="1" min="4" max="4" width="12.75"/>
    <col customWidth="1" min="5" max="5" width="12.38"/>
    <col customWidth="1" min="6" max="6" width="18.75"/>
    <col customWidth="1" min="7" max="7" width="16.88"/>
    <col customWidth="1" min="8" max="8" width="32.88"/>
    <col customWidth="1" min="9" max="9" width="73.0"/>
    <col customWidth="1" min="10" max="10" width="27.13"/>
  </cols>
  <sheetData>
    <row r="1">
      <c r="A1" s="2" t="s">
        <v>429</v>
      </c>
      <c r="B1" s="5"/>
      <c r="C1" s="5"/>
      <c r="D1" s="5"/>
      <c r="E1" s="5"/>
      <c r="F1" s="5"/>
      <c r="G1" s="5"/>
      <c r="H1" s="5"/>
      <c r="I1" s="7"/>
    </row>
    <row r="2">
      <c r="A2" s="2" t="s">
        <v>3</v>
      </c>
      <c r="B2" s="5"/>
      <c r="C2" s="5"/>
      <c r="D2" s="5"/>
      <c r="E2" s="5"/>
      <c r="F2" s="5"/>
      <c r="G2" s="5"/>
      <c r="H2" s="5"/>
      <c r="I2" s="7"/>
    </row>
    <row r="3">
      <c r="A3" s="12" t="s">
        <v>435</v>
      </c>
      <c r="B3" s="5"/>
      <c r="C3" s="5"/>
      <c r="D3" s="5"/>
      <c r="E3" s="5"/>
      <c r="F3" s="5"/>
      <c r="G3" s="5"/>
      <c r="H3" s="5"/>
      <c r="I3" s="7"/>
    </row>
    <row r="4">
      <c r="A4" s="14" t="s">
        <v>15</v>
      </c>
      <c r="B4" s="15"/>
      <c r="C4" s="15"/>
      <c r="D4" s="15"/>
      <c r="E4" s="15"/>
      <c r="F4" s="15"/>
      <c r="G4" s="15"/>
      <c r="H4" s="15"/>
      <c r="I4" s="19"/>
    </row>
    <row r="5" ht="15.0" customHeight="1">
      <c r="A5" s="21" t="s">
        <v>16</v>
      </c>
      <c r="B5" s="21" t="s">
        <v>17</v>
      </c>
      <c r="C5" s="24" t="s">
        <v>18</v>
      </c>
      <c r="D5" s="27"/>
      <c r="E5" s="27"/>
      <c r="F5" s="28"/>
      <c r="G5" s="21" t="s">
        <v>20</v>
      </c>
      <c r="H5" s="21" t="s">
        <v>21</v>
      </c>
      <c r="I5" s="21" t="s">
        <v>22</v>
      </c>
    </row>
    <row r="6">
      <c r="A6" s="31"/>
      <c r="B6" s="31"/>
      <c r="C6" s="32" t="s">
        <v>23</v>
      </c>
      <c r="D6" s="32" t="s">
        <v>24</v>
      </c>
      <c r="E6" s="32" t="s">
        <v>25</v>
      </c>
      <c r="F6" s="32" t="s">
        <v>26</v>
      </c>
      <c r="G6" s="31"/>
      <c r="H6" s="31"/>
      <c r="I6" s="31"/>
    </row>
    <row r="7" ht="18.0" customHeight="1">
      <c r="A7" s="35" t="s">
        <v>27</v>
      </c>
      <c r="B7" s="27"/>
      <c r="C7" s="27"/>
      <c r="D7" s="27"/>
      <c r="E7" s="27"/>
      <c r="F7" s="27"/>
      <c r="G7" s="27"/>
      <c r="H7" s="27"/>
      <c r="I7" s="28"/>
    </row>
    <row r="8">
      <c r="A8" s="38" t="s">
        <v>466</v>
      </c>
      <c r="B8" s="83" t="s">
        <v>467</v>
      </c>
      <c r="C8" s="43" t="s">
        <v>468</v>
      </c>
      <c r="D8" s="45">
        <v>2.37</v>
      </c>
      <c r="E8" s="47"/>
      <c r="F8" s="50">
        <v>25150.0</v>
      </c>
      <c r="G8" s="219" t="s">
        <v>40</v>
      </c>
      <c r="H8" s="43" t="s">
        <v>469</v>
      </c>
      <c r="I8" s="43" t="s">
        <v>470</v>
      </c>
    </row>
    <row r="9" ht="15.0" customHeight="1">
      <c r="A9" s="223" t="s">
        <v>471</v>
      </c>
      <c r="B9" s="226" t="s">
        <v>472</v>
      </c>
      <c r="C9" s="228" t="s">
        <v>473</v>
      </c>
      <c r="D9" s="231">
        <f>109.5/424</f>
        <v>0.258254717</v>
      </c>
      <c r="E9" s="234"/>
      <c r="F9" s="236">
        <v>5475.0</v>
      </c>
      <c r="G9" s="238" t="s">
        <v>40</v>
      </c>
      <c r="H9" s="226" t="s">
        <v>481</v>
      </c>
      <c r="I9" s="226" t="s">
        <v>482</v>
      </c>
    </row>
    <row r="10" ht="50.25" customHeight="1">
      <c r="A10" s="31"/>
      <c r="B10" s="31"/>
      <c r="C10" s="43" t="s">
        <v>485</v>
      </c>
      <c r="D10" s="45">
        <f>146.49/424</f>
        <v>0.345495283</v>
      </c>
      <c r="E10" s="47"/>
      <c r="F10" s="50">
        <v>7274.5</v>
      </c>
      <c r="G10" s="31"/>
      <c r="H10" s="31"/>
      <c r="I10" s="31"/>
    </row>
    <row r="11">
      <c r="A11" s="244" t="s">
        <v>488</v>
      </c>
      <c r="B11" s="55" t="s">
        <v>491</v>
      </c>
      <c r="C11" s="56" t="s">
        <v>492</v>
      </c>
      <c r="D11" s="57">
        <f>204/424</f>
        <v>0.4811320755</v>
      </c>
      <c r="E11" s="58"/>
      <c r="F11" s="59">
        <v>5100.0</v>
      </c>
      <c r="G11" s="167" t="s">
        <v>40</v>
      </c>
      <c r="H11" s="56" t="s">
        <v>494</v>
      </c>
      <c r="I11" s="56" t="s">
        <v>201</v>
      </c>
    </row>
    <row r="12">
      <c r="A12" s="244" t="s">
        <v>495</v>
      </c>
      <c r="B12" s="55" t="s">
        <v>496</v>
      </c>
      <c r="C12" s="56" t="s">
        <v>497</v>
      </c>
      <c r="D12" s="57">
        <f>164/424</f>
        <v>0.3867924528</v>
      </c>
      <c r="E12" s="58"/>
      <c r="F12" s="59">
        <v>4100.0</v>
      </c>
      <c r="G12" s="167" t="s">
        <v>40</v>
      </c>
      <c r="H12" s="56" t="s">
        <v>494</v>
      </c>
      <c r="I12" s="56" t="s">
        <v>201</v>
      </c>
    </row>
    <row r="13">
      <c r="A13" s="244" t="s">
        <v>488</v>
      </c>
      <c r="B13" s="55" t="s">
        <v>498</v>
      </c>
      <c r="C13" s="56" t="s">
        <v>427</v>
      </c>
      <c r="D13" s="57">
        <f>160/424</f>
        <v>0.3773584906</v>
      </c>
      <c r="E13" s="58"/>
      <c r="F13" s="59">
        <v>4000.0</v>
      </c>
      <c r="G13" s="167" t="s">
        <v>40</v>
      </c>
      <c r="H13" s="56" t="s">
        <v>494</v>
      </c>
      <c r="I13" s="56" t="s">
        <v>201</v>
      </c>
    </row>
    <row r="14" ht="23.25" customHeight="1">
      <c r="A14" s="253" t="s">
        <v>500</v>
      </c>
      <c r="B14" s="256" t="s">
        <v>501</v>
      </c>
      <c r="C14" s="43" t="s">
        <v>502</v>
      </c>
      <c r="D14" s="45">
        <f>93/424</f>
        <v>0.2193396226</v>
      </c>
      <c r="E14" s="47"/>
      <c r="F14" s="50">
        <v>2418.0</v>
      </c>
      <c r="G14" s="219" t="s">
        <v>40</v>
      </c>
      <c r="H14" s="226" t="s">
        <v>503</v>
      </c>
      <c r="I14" s="259" t="s">
        <v>504</v>
      </c>
    </row>
    <row r="15">
      <c r="A15" s="31"/>
      <c r="B15" s="262"/>
      <c r="C15" s="43" t="s">
        <v>508</v>
      </c>
      <c r="D15" s="45">
        <f>358/424</f>
        <v>0.8443396226</v>
      </c>
      <c r="E15" s="47"/>
      <c r="F15" s="50">
        <v>10024.0</v>
      </c>
      <c r="G15" s="219" t="s">
        <v>40</v>
      </c>
      <c r="H15" s="31"/>
      <c r="I15" s="31"/>
    </row>
    <row r="16">
      <c r="A16" s="268" t="s">
        <v>512</v>
      </c>
      <c r="B16" s="271" t="s">
        <v>519</v>
      </c>
      <c r="C16" s="56" t="s">
        <v>523</v>
      </c>
      <c r="D16" s="57">
        <f>948.064/424</f>
        <v>2.236</v>
      </c>
      <c r="E16" s="58"/>
      <c r="F16" s="59">
        <v>23712.0</v>
      </c>
      <c r="G16" s="273" t="s">
        <v>524</v>
      </c>
      <c r="H16" s="276"/>
      <c r="I16" s="278" t="s">
        <v>527</v>
      </c>
    </row>
    <row r="17">
      <c r="A17" s="268" t="s">
        <v>530</v>
      </c>
      <c r="B17" s="271" t="s">
        <v>35</v>
      </c>
      <c r="C17" s="56" t="s">
        <v>531</v>
      </c>
      <c r="D17" s="57">
        <f>610.56/424</f>
        <v>1.44</v>
      </c>
      <c r="E17" s="58"/>
      <c r="F17" s="59">
        <v>12200.0</v>
      </c>
      <c r="G17" s="167" t="s">
        <v>40</v>
      </c>
      <c r="H17" s="276"/>
      <c r="I17" s="55" t="s">
        <v>532</v>
      </c>
    </row>
    <row r="18">
      <c r="A18" s="54" t="s">
        <v>533</v>
      </c>
      <c r="B18" s="280" t="s">
        <v>534</v>
      </c>
      <c r="C18" s="56" t="s">
        <v>536</v>
      </c>
      <c r="D18" s="57">
        <v>3.95</v>
      </c>
      <c r="E18" s="58"/>
      <c r="F18" s="59">
        <v>50349.0</v>
      </c>
      <c r="G18" s="167" t="s">
        <v>40</v>
      </c>
      <c r="H18" s="56" t="s">
        <v>537</v>
      </c>
      <c r="I18" s="56" t="s">
        <v>539</v>
      </c>
    </row>
    <row r="19">
      <c r="A19" s="54" t="s">
        <v>541</v>
      </c>
      <c r="B19" s="271" t="s">
        <v>35</v>
      </c>
      <c r="C19" s="56" t="s">
        <v>542</v>
      </c>
      <c r="D19" s="57">
        <f>387.34/424</f>
        <v>0.9135377358</v>
      </c>
      <c r="E19" s="58"/>
      <c r="F19" s="59">
        <v>9683.5</v>
      </c>
      <c r="G19" s="167" t="s">
        <v>40</v>
      </c>
      <c r="H19" s="56" t="s">
        <v>545</v>
      </c>
      <c r="I19" s="55" t="s">
        <v>546</v>
      </c>
    </row>
    <row r="20">
      <c r="A20" s="54" t="s">
        <v>547</v>
      </c>
      <c r="B20" s="271" t="s">
        <v>35</v>
      </c>
      <c r="C20" s="56" t="s">
        <v>548</v>
      </c>
      <c r="D20" s="57">
        <f>537.93/424</f>
        <v>1.26870283</v>
      </c>
      <c r="E20" s="58"/>
      <c r="F20" s="59">
        <v>13448.25</v>
      </c>
      <c r="G20" s="167" t="s">
        <v>40</v>
      </c>
      <c r="H20" s="56" t="s">
        <v>551</v>
      </c>
      <c r="I20" s="56" t="s">
        <v>79</v>
      </c>
    </row>
    <row r="21" ht="15.75" customHeight="1">
      <c r="A21" s="38" t="s">
        <v>554</v>
      </c>
      <c r="B21" s="262" t="s">
        <v>35</v>
      </c>
      <c r="C21" s="43" t="s">
        <v>555</v>
      </c>
      <c r="D21" s="45">
        <f>300/424</f>
        <v>0.7075471698</v>
      </c>
      <c r="E21" s="47"/>
      <c r="F21" s="50">
        <v>7522.0</v>
      </c>
      <c r="G21" s="219" t="s">
        <v>40</v>
      </c>
      <c r="H21" s="43"/>
      <c r="I21" s="43" t="s">
        <v>564</v>
      </c>
    </row>
    <row r="22" ht="15.75" customHeight="1">
      <c r="A22" s="38" t="s">
        <v>565</v>
      </c>
      <c r="B22" s="283" t="s">
        <v>566</v>
      </c>
      <c r="C22" s="43" t="s">
        <v>567</v>
      </c>
      <c r="D22" s="45">
        <f>236.88/424</f>
        <v>0.5586792453</v>
      </c>
      <c r="E22" s="47"/>
      <c r="F22" s="50">
        <v>9475.2</v>
      </c>
      <c r="G22" s="219" t="s">
        <v>40</v>
      </c>
      <c r="H22" s="43"/>
      <c r="I22" s="43" t="s">
        <v>568</v>
      </c>
      <c r="J22" s="285"/>
    </row>
    <row r="23" ht="15.75" customHeight="1">
      <c r="A23" s="38" t="s">
        <v>569</v>
      </c>
      <c r="B23" s="283" t="s">
        <v>570</v>
      </c>
      <c r="C23" s="43" t="s">
        <v>571</v>
      </c>
      <c r="D23" s="45">
        <f>643.45/424</f>
        <v>1.517570755</v>
      </c>
      <c r="E23" s="47"/>
      <c r="F23" s="50">
        <v>16086.25</v>
      </c>
      <c r="G23" s="219" t="s">
        <v>40</v>
      </c>
      <c r="H23" s="43" t="s">
        <v>228</v>
      </c>
      <c r="I23" s="43" t="s">
        <v>574</v>
      </c>
    </row>
    <row r="24" ht="15.75" customHeight="1">
      <c r="A24" s="54" t="s">
        <v>575</v>
      </c>
      <c r="B24" s="287" t="s">
        <v>576</v>
      </c>
      <c r="C24" s="56" t="s">
        <v>577</v>
      </c>
      <c r="D24" s="57">
        <f>290/424</f>
        <v>0.6839622642</v>
      </c>
      <c r="E24" s="58"/>
      <c r="F24" s="59">
        <v>7250.0</v>
      </c>
      <c r="G24" s="167" t="s">
        <v>40</v>
      </c>
      <c r="H24" s="56"/>
      <c r="I24" s="56" t="s">
        <v>578</v>
      </c>
    </row>
    <row r="25" ht="15.75" customHeight="1">
      <c r="A25" s="54" t="s">
        <v>579</v>
      </c>
      <c r="B25" s="271" t="s">
        <v>35</v>
      </c>
      <c r="C25" s="56" t="s">
        <v>580</v>
      </c>
      <c r="D25" s="57">
        <f>1456.4/424</f>
        <v>3.43490566</v>
      </c>
      <c r="E25" s="58"/>
      <c r="F25" s="59">
        <v>36410.0</v>
      </c>
      <c r="G25" s="167" t="s">
        <v>40</v>
      </c>
      <c r="H25" s="56" t="s">
        <v>494</v>
      </c>
      <c r="I25" s="56" t="s">
        <v>581</v>
      </c>
    </row>
    <row r="26" ht="15.75" customHeight="1">
      <c r="A26" s="54" t="s">
        <v>582</v>
      </c>
      <c r="B26" s="271" t="s">
        <v>583</v>
      </c>
      <c r="C26" s="56" t="s">
        <v>584</v>
      </c>
      <c r="D26" s="57">
        <f>377.5/424</f>
        <v>0.8903301887</v>
      </c>
      <c r="E26" s="58"/>
      <c r="F26" s="59">
        <f>19400+2855+3465</f>
        <v>25720</v>
      </c>
      <c r="G26" s="167" t="s">
        <v>40</v>
      </c>
      <c r="H26" s="56"/>
      <c r="I26" s="56" t="s">
        <v>585</v>
      </c>
    </row>
    <row r="27" ht="15.75" customHeight="1">
      <c r="A27" s="54" t="s">
        <v>582</v>
      </c>
      <c r="B27" s="271" t="s">
        <v>583</v>
      </c>
      <c r="C27" s="56" t="s">
        <v>586</v>
      </c>
      <c r="D27" s="57">
        <f>1619.7/424</f>
        <v>3.82004717</v>
      </c>
      <c r="E27" s="58"/>
      <c r="F27" s="59">
        <f>3840+38572.5</f>
        <v>42412.5</v>
      </c>
      <c r="G27" s="167" t="s">
        <v>40</v>
      </c>
      <c r="H27" s="56" t="s">
        <v>587</v>
      </c>
      <c r="I27" s="56" t="s">
        <v>588</v>
      </c>
    </row>
    <row r="28" ht="15.75" customHeight="1">
      <c r="A28" s="38" t="s">
        <v>589</v>
      </c>
      <c r="B28" s="262" t="s">
        <v>590</v>
      </c>
      <c r="C28" s="43" t="s">
        <v>591</v>
      </c>
      <c r="D28" s="45">
        <f>(64.16+1940.97)/424</f>
        <v>4.729080189</v>
      </c>
      <c r="E28" s="47"/>
      <c r="F28" s="50">
        <f>3208+97048.5</f>
        <v>100256.5</v>
      </c>
      <c r="G28" s="219" t="s">
        <v>40</v>
      </c>
      <c r="H28" s="43" t="s">
        <v>592</v>
      </c>
      <c r="I28" s="40" t="s">
        <v>593</v>
      </c>
    </row>
    <row r="29" ht="15.75" customHeight="1">
      <c r="A29" s="54" t="s">
        <v>594</v>
      </c>
      <c r="B29" s="287" t="s">
        <v>595</v>
      </c>
      <c r="C29" s="56" t="s">
        <v>596</v>
      </c>
      <c r="D29" s="57">
        <f>228/424</f>
        <v>0.5377358491</v>
      </c>
      <c r="E29" s="58"/>
      <c r="F29" s="59">
        <v>5700.0</v>
      </c>
      <c r="G29" s="167" t="s">
        <v>40</v>
      </c>
      <c r="H29" s="56"/>
      <c r="I29" s="56" t="s">
        <v>201</v>
      </c>
    </row>
    <row r="30" ht="15.75" customHeight="1">
      <c r="A30" s="54" t="s">
        <v>599</v>
      </c>
      <c r="B30" s="287" t="s">
        <v>600</v>
      </c>
      <c r="C30" s="56" t="s">
        <v>601</v>
      </c>
      <c r="D30" s="57">
        <f>96/424</f>
        <v>0.2264150943</v>
      </c>
      <c r="E30" s="58"/>
      <c r="F30" s="59">
        <v>2400.0</v>
      </c>
      <c r="G30" s="167" t="s">
        <v>40</v>
      </c>
      <c r="H30" s="56"/>
      <c r="I30" s="56" t="s">
        <v>201</v>
      </c>
    </row>
    <row r="31" ht="15.75" customHeight="1">
      <c r="A31" s="54" t="s">
        <v>603</v>
      </c>
      <c r="B31" s="287" t="s">
        <v>604</v>
      </c>
      <c r="C31" s="56" t="s">
        <v>605</v>
      </c>
      <c r="D31" s="57">
        <f>226.03/424</f>
        <v>0.5330896226</v>
      </c>
      <c r="E31" s="58"/>
      <c r="F31" s="59">
        <v>4520.0</v>
      </c>
      <c r="G31" s="167" t="s">
        <v>40</v>
      </c>
      <c r="H31" s="56" t="s">
        <v>606</v>
      </c>
      <c r="I31" s="56" t="s">
        <v>607</v>
      </c>
    </row>
    <row r="32" ht="15.75" customHeight="1">
      <c r="A32" s="54" t="s">
        <v>608</v>
      </c>
      <c r="B32" s="287" t="s">
        <v>609</v>
      </c>
      <c r="C32" s="56" t="s">
        <v>610</v>
      </c>
      <c r="D32" s="57">
        <f>196/424</f>
        <v>0.4622641509</v>
      </c>
      <c r="E32" s="58"/>
      <c r="F32" s="59">
        <v>4900.0</v>
      </c>
      <c r="G32" s="167" t="s">
        <v>40</v>
      </c>
      <c r="H32" s="56" t="s">
        <v>494</v>
      </c>
      <c r="I32" s="56" t="s">
        <v>201</v>
      </c>
    </row>
    <row r="33" ht="15.75" customHeight="1">
      <c r="A33" s="244" t="s">
        <v>608</v>
      </c>
      <c r="B33" s="307" t="s">
        <v>613</v>
      </c>
      <c r="C33" s="309" t="s">
        <v>618</v>
      </c>
      <c r="D33" s="312">
        <f>122.8/424</f>
        <v>0.2896226415</v>
      </c>
      <c r="E33" s="315"/>
      <c r="F33" s="317">
        <v>3070.0</v>
      </c>
      <c r="G33" s="322" t="s">
        <v>40</v>
      </c>
      <c r="H33" s="309" t="s">
        <v>494</v>
      </c>
      <c r="I33" s="309" t="s">
        <v>201</v>
      </c>
    </row>
    <row r="34" ht="15.75" customHeight="1">
      <c r="A34" s="323" t="s">
        <v>200</v>
      </c>
      <c r="B34" s="324"/>
      <c r="C34" s="324"/>
      <c r="D34" s="326">
        <f>SUM(D8:D33)</f>
        <v>33.48220283</v>
      </c>
      <c r="E34" s="326"/>
      <c r="F34" s="328">
        <f>SUM(F8:F33)</f>
        <v>438656.7</v>
      </c>
      <c r="G34" s="332"/>
      <c r="H34" s="332"/>
      <c r="I34" s="335"/>
    </row>
    <row r="35" ht="15.75" customHeight="1">
      <c r="A35" s="338" t="s">
        <v>30</v>
      </c>
      <c r="B35" s="15"/>
      <c r="C35" s="15"/>
      <c r="D35" s="15"/>
      <c r="E35" s="15"/>
      <c r="F35" s="15"/>
      <c r="G35" s="15"/>
      <c r="H35" s="15"/>
      <c r="I35" s="255"/>
    </row>
    <row r="36" ht="15.75" customHeight="1">
      <c r="A36" s="54" t="s">
        <v>645</v>
      </c>
      <c r="B36" s="77" t="s">
        <v>646</v>
      </c>
      <c r="C36" s="56" t="s">
        <v>647</v>
      </c>
      <c r="D36" s="57">
        <f>400/424</f>
        <v>0.9433962264</v>
      </c>
      <c r="E36" s="58"/>
      <c r="F36" s="59">
        <v>14000.0</v>
      </c>
      <c r="G36" s="56" t="s">
        <v>648</v>
      </c>
      <c r="H36" s="56"/>
      <c r="I36" s="56" t="s">
        <v>79</v>
      </c>
    </row>
    <row r="37" ht="15.75" customHeight="1">
      <c r="A37" s="38" t="s">
        <v>649</v>
      </c>
      <c r="B37" s="43" t="s">
        <v>557</v>
      </c>
      <c r="C37" s="43" t="s">
        <v>651</v>
      </c>
      <c r="D37" s="45">
        <f>731/424</f>
        <v>1.724056604</v>
      </c>
      <c r="E37" s="47"/>
      <c r="F37" s="50">
        <v>25596.2</v>
      </c>
      <c r="G37" s="43" t="s">
        <v>648</v>
      </c>
      <c r="H37" s="43"/>
      <c r="I37" s="43" t="s">
        <v>652</v>
      </c>
    </row>
    <row r="38" ht="15.75" customHeight="1">
      <c r="A38" s="54" t="s">
        <v>653</v>
      </c>
      <c r="B38" s="55" t="s">
        <v>654</v>
      </c>
      <c r="C38" s="56" t="s">
        <v>655</v>
      </c>
      <c r="D38" s="57">
        <f>385/424</f>
        <v>0.9080188679</v>
      </c>
      <c r="E38" s="58"/>
      <c r="F38" s="59">
        <v>26950.0</v>
      </c>
      <c r="G38" s="56" t="s">
        <v>648</v>
      </c>
      <c r="H38" s="56" t="s">
        <v>656</v>
      </c>
      <c r="I38" s="56" t="s">
        <v>79</v>
      </c>
    </row>
    <row r="39" ht="15.75" customHeight="1">
      <c r="A39" s="54" t="s">
        <v>657</v>
      </c>
      <c r="B39" s="343" t="s">
        <v>658</v>
      </c>
      <c r="C39" s="56" t="s">
        <v>659</v>
      </c>
      <c r="D39" s="57">
        <v>2.362</v>
      </c>
      <c r="E39" s="58"/>
      <c r="F39" s="59">
        <v>34047.6</v>
      </c>
      <c r="G39" s="56" t="s">
        <v>660</v>
      </c>
      <c r="H39" s="56" t="s">
        <v>656</v>
      </c>
      <c r="I39" s="343" t="s">
        <v>661</v>
      </c>
    </row>
    <row r="40" ht="15.75" customHeight="1">
      <c r="A40" s="54" t="s">
        <v>662</v>
      </c>
      <c r="B40" s="56" t="s">
        <v>663</v>
      </c>
      <c r="C40" s="56" t="s">
        <v>664</v>
      </c>
      <c r="D40" s="57">
        <f>1663/424</f>
        <v>3.922169811</v>
      </c>
      <c r="E40" s="58"/>
      <c r="F40" s="59">
        <v>58205.0</v>
      </c>
      <c r="G40" s="56" t="s">
        <v>648</v>
      </c>
      <c r="H40" s="56" t="s">
        <v>656</v>
      </c>
      <c r="I40" s="56" t="s">
        <v>79</v>
      </c>
    </row>
    <row r="41" ht="15.75" customHeight="1">
      <c r="A41" s="54" t="s">
        <v>665</v>
      </c>
      <c r="B41" s="56" t="s">
        <v>663</v>
      </c>
      <c r="C41" s="56" t="s">
        <v>666</v>
      </c>
      <c r="D41" s="57">
        <v>1.24</v>
      </c>
      <c r="E41" s="58"/>
      <c r="F41" s="59">
        <v>18410.0</v>
      </c>
      <c r="G41" s="56" t="s">
        <v>648</v>
      </c>
      <c r="H41" s="56"/>
      <c r="I41" s="55" t="s">
        <v>667</v>
      </c>
    </row>
    <row r="42" ht="15.75" customHeight="1">
      <c r="A42" s="54" t="s">
        <v>668</v>
      </c>
      <c r="B42" s="61" t="s">
        <v>669</v>
      </c>
      <c r="C42" s="56" t="s">
        <v>670</v>
      </c>
      <c r="D42" s="57">
        <f>353/424</f>
        <v>0.8325471698</v>
      </c>
      <c r="E42" s="58"/>
      <c r="F42" s="59">
        <f>14800*D42</f>
        <v>12321.69811</v>
      </c>
      <c r="G42" s="56" t="s">
        <v>648</v>
      </c>
      <c r="H42" s="56"/>
      <c r="I42" s="61" t="s">
        <v>671</v>
      </c>
    </row>
    <row r="43" ht="15.75" customHeight="1">
      <c r="A43" s="38" t="s">
        <v>672</v>
      </c>
      <c r="B43" s="43" t="s">
        <v>663</v>
      </c>
      <c r="C43" s="43" t="s">
        <v>673</v>
      </c>
      <c r="D43" s="45">
        <v>1.05</v>
      </c>
      <c r="E43" s="47"/>
      <c r="F43" s="50">
        <v>15575.0</v>
      </c>
      <c r="G43" s="43" t="s">
        <v>648</v>
      </c>
      <c r="H43" s="43"/>
      <c r="I43" s="40" t="s">
        <v>674</v>
      </c>
    </row>
    <row r="44" ht="15.75" customHeight="1">
      <c r="A44" s="54" t="s">
        <v>675</v>
      </c>
      <c r="B44" s="56" t="s">
        <v>676</v>
      </c>
      <c r="C44" s="56" t="s">
        <v>677</v>
      </c>
      <c r="D44" s="57">
        <v>32.05</v>
      </c>
      <c r="E44" s="58"/>
      <c r="F44" s="59">
        <f>14800*D44</f>
        <v>474340</v>
      </c>
      <c r="G44" s="56" t="s">
        <v>680</v>
      </c>
      <c r="H44" s="56" t="s">
        <v>681</v>
      </c>
      <c r="I44" s="56" t="s">
        <v>79</v>
      </c>
    </row>
    <row r="45" ht="15.75" customHeight="1">
      <c r="A45" s="105" t="s">
        <v>200</v>
      </c>
      <c r="B45" s="143"/>
      <c r="C45" s="143"/>
      <c r="D45" s="111">
        <f>SUM(D36:D44)</f>
        <v>45.03218868</v>
      </c>
      <c r="E45" s="145"/>
      <c r="F45" s="146">
        <f>SUM(F36:F44)</f>
        <v>679445.4981</v>
      </c>
      <c r="G45" s="148"/>
      <c r="H45" s="150"/>
      <c r="I45" s="351"/>
    </row>
    <row r="46" ht="15.75" customHeight="1">
      <c r="A46" s="35" t="s">
        <v>312</v>
      </c>
      <c r="B46" s="27"/>
      <c r="C46" s="27"/>
      <c r="D46" s="27"/>
      <c r="E46" s="27"/>
      <c r="F46" s="27"/>
      <c r="G46" s="27"/>
      <c r="H46" s="27"/>
      <c r="I46" s="28"/>
    </row>
    <row r="47" ht="15.75" customHeight="1">
      <c r="A47" s="218" t="s">
        <v>686</v>
      </c>
      <c r="B47" s="355" t="s">
        <v>687</v>
      </c>
      <c r="C47" s="132"/>
      <c r="D47" s="221">
        <f>532/424</f>
        <v>1.254716981</v>
      </c>
      <c r="E47" s="224"/>
      <c r="F47" s="227">
        <v>18620.0</v>
      </c>
      <c r="G47" s="219" t="s">
        <v>40</v>
      </c>
      <c r="H47" s="219" t="s">
        <v>698</v>
      </c>
      <c r="I47" s="40" t="s">
        <v>699</v>
      </c>
    </row>
    <row r="48" ht="15.75" customHeight="1">
      <c r="A48" s="358" t="s">
        <v>700</v>
      </c>
      <c r="B48" s="157" t="s">
        <v>706</v>
      </c>
      <c r="C48" s="117"/>
      <c r="D48" s="160">
        <f>360.99/424</f>
        <v>0.8513915094</v>
      </c>
      <c r="E48" s="162"/>
      <c r="F48" s="164">
        <v>36099.0</v>
      </c>
      <c r="G48" s="167" t="s">
        <v>40</v>
      </c>
      <c r="H48" s="167" t="s">
        <v>698</v>
      </c>
      <c r="I48" s="77" t="s">
        <v>710</v>
      </c>
    </row>
    <row r="49" ht="15.75" customHeight="1">
      <c r="A49" s="360" t="s">
        <v>711</v>
      </c>
      <c r="B49" s="219" t="s">
        <v>712</v>
      </c>
      <c r="C49" s="132" t="s">
        <v>713</v>
      </c>
      <c r="D49" s="221">
        <v>0.6</v>
      </c>
      <c r="E49" s="224"/>
      <c r="F49" s="227">
        <v>7609.5</v>
      </c>
      <c r="G49" s="219" t="s">
        <v>40</v>
      </c>
      <c r="H49" s="219"/>
      <c r="I49" s="40" t="s">
        <v>714</v>
      </c>
    </row>
    <row r="50" ht="15.75" customHeight="1">
      <c r="A50" s="358" t="s">
        <v>715</v>
      </c>
      <c r="B50" s="167" t="s">
        <v>716</v>
      </c>
      <c r="C50" s="117" t="s">
        <v>717</v>
      </c>
      <c r="D50" s="160">
        <f>413.66/424</f>
        <v>0.9756132075</v>
      </c>
      <c r="E50" s="162"/>
      <c r="F50" s="164">
        <v>12409.8</v>
      </c>
      <c r="G50" s="167" t="s">
        <v>40</v>
      </c>
      <c r="H50" s="167"/>
      <c r="I50" s="56" t="s">
        <v>79</v>
      </c>
    </row>
    <row r="51" ht="15.75" customHeight="1">
      <c r="A51" s="358" t="s">
        <v>719</v>
      </c>
      <c r="B51" s="167" t="s">
        <v>720</v>
      </c>
      <c r="C51" s="117" t="s">
        <v>721</v>
      </c>
      <c r="D51" s="160">
        <f>248.49/424</f>
        <v>0.5860613208</v>
      </c>
      <c r="E51" s="162"/>
      <c r="F51" s="164">
        <v>7454.7</v>
      </c>
      <c r="G51" s="167" t="s">
        <v>40</v>
      </c>
      <c r="H51" s="167" t="s">
        <v>722</v>
      </c>
      <c r="I51" s="56" t="s">
        <v>723</v>
      </c>
    </row>
    <row r="52" ht="15.75" customHeight="1">
      <c r="A52" s="360" t="s">
        <v>724</v>
      </c>
      <c r="B52" s="219"/>
      <c r="C52" s="132"/>
      <c r="D52" s="221">
        <v>0.91</v>
      </c>
      <c r="E52" s="224"/>
      <c r="F52" s="227">
        <f>SUM(F47:F51)</f>
        <v>82193</v>
      </c>
      <c r="G52" s="219" t="s">
        <v>725</v>
      </c>
      <c r="H52" s="219"/>
      <c r="I52" s="40" t="s">
        <v>726</v>
      </c>
      <c r="J52" s="364" t="s">
        <v>727</v>
      </c>
    </row>
    <row r="53" ht="15.75" customHeight="1">
      <c r="A53" s="367" t="s">
        <v>200</v>
      </c>
      <c r="B53" s="27"/>
      <c r="C53" s="28"/>
      <c r="D53" s="111">
        <f>SUM(D47:D52)</f>
        <v>5.177783019</v>
      </c>
      <c r="E53" s="114"/>
      <c r="F53" s="184">
        <f>SUM(F47:F52)</f>
        <v>164386</v>
      </c>
      <c r="G53" s="185"/>
      <c r="H53" s="186"/>
      <c r="I53" s="370"/>
    </row>
    <row r="54" ht="15.75" customHeight="1">
      <c r="A54" s="188" t="s">
        <v>390</v>
      </c>
      <c r="B54" s="27"/>
      <c r="C54" s="27"/>
      <c r="D54" s="27"/>
      <c r="E54" s="27"/>
      <c r="F54" s="27"/>
      <c r="G54" s="27"/>
      <c r="H54" s="27"/>
      <c r="I54" s="28"/>
    </row>
    <row r="55" ht="15.75" customHeight="1">
      <c r="A55" s="191" t="s">
        <v>732</v>
      </c>
      <c r="B55" s="373" t="s">
        <v>733</v>
      </c>
      <c r="C55" s="191" t="s">
        <v>735</v>
      </c>
      <c r="D55" s="193">
        <f>126/424</f>
        <v>0.2971698113</v>
      </c>
      <c r="E55" s="50"/>
      <c r="F55" s="241">
        <v>7560.0</v>
      </c>
      <c r="G55" s="219" t="s">
        <v>40</v>
      </c>
      <c r="H55" s="376" t="s">
        <v>736</v>
      </c>
      <c r="I55" s="40" t="s">
        <v>738</v>
      </c>
    </row>
    <row r="56" ht="15.75" customHeight="1">
      <c r="A56" s="191" t="s">
        <v>739</v>
      </c>
      <c r="B56" s="373" t="s">
        <v>740</v>
      </c>
      <c r="C56" s="191"/>
      <c r="D56" s="193">
        <v>3.56603773584906</v>
      </c>
      <c r="E56" s="50"/>
      <c r="F56" s="241">
        <v>26520.0</v>
      </c>
      <c r="G56" s="219" t="s">
        <v>741</v>
      </c>
      <c r="H56" s="378" t="s">
        <v>535</v>
      </c>
      <c r="I56" s="40" t="s">
        <v>743</v>
      </c>
    </row>
    <row r="57" ht="15.75" customHeight="1">
      <c r="A57" s="191" t="s">
        <v>744</v>
      </c>
      <c r="B57" s="373" t="s">
        <v>745</v>
      </c>
      <c r="C57" s="191" t="s">
        <v>746</v>
      </c>
      <c r="D57" s="193">
        <f>442/424</f>
        <v>1.04245283</v>
      </c>
      <c r="E57" s="50"/>
      <c r="F57" s="241">
        <f>25440*D57</f>
        <v>26520</v>
      </c>
      <c r="G57" s="219" t="s">
        <v>40</v>
      </c>
      <c r="H57" s="378" t="s">
        <v>736</v>
      </c>
      <c r="I57" s="40" t="s">
        <v>749</v>
      </c>
    </row>
    <row r="58" ht="15.75" customHeight="1">
      <c r="A58" s="383" t="s">
        <v>750</v>
      </c>
      <c r="B58" s="386" t="s">
        <v>765</v>
      </c>
      <c r="C58" s="200" t="s">
        <v>769</v>
      </c>
      <c r="D58" s="201">
        <f>147/424</f>
        <v>0.3466981132</v>
      </c>
      <c r="E58" s="59"/>
      <c r="F58" s="390">
        <v>13080.0</v>
      </c>
      <c r="G58" s="393" t="s">
        <v>40</v>
      </c>
      <c r="H58" s="395"/>
      <c r="I58" s="396" t="s">
        <v>79</v>
      </c>
    </row>
    <row r="59" ht="15.75" customHeight="1">
      <c r="A59" s="397"/>
      <c r="B59" s="397"/>
      <c r="C59" s="399" t="s">
        <v>776</v>
      </c>
      <c r="D59" s="401">
        <f>33/424</f>
        <v>0.07783018868</v>
      </c>
      <c r="E59" s="317"/>
      <c r="F59" s="397"/>
      <c r="G59" s="397"/>
      <c r="H59" s="397"/>
      <c r="I59" s="397"/>
    </row>
    <row r="60" ht="15.75" customHeight="1">
      <c r="A60" s="403" t="s">
        <v>200</v>
      </c>
      <c r="B60" s="405"/>
      <c r="C60" s="405"/>
      <c r="D60" s="407">
        <f>SUM(D55:D59)</f>
        <v>5.330188679</v>
      </c>
      <c r="E60" s="409"/>
      <c r="F60" s="328">
        <f>SUM(F55:F59)</f>
        <v>73680</v>
      </c>
      <c r="G60" s="405"/>
      <c r="H60" s="410"/>
      <c r="I60" s="411"/>
    </row>
    <row r="61" ht="15.75" customHeight="1">
      <c r="A61" s="413" t="s">
        <v>456</v>
      </c>
      <c r="B61" s="15"/>
      <c r="C61" s="15"/>
      <c r="D61" s="15"/>
      <c r="E61" s="15"/>
      <c r="F61" s="15"/>
      <c r="G61" s="15"/>
      <c r="H61" s="15"/>
      <c r="I61" s="255"/>
    </row>
    <row r="62" ht="15.75" customHeight="1">
      <c r="A62" s="155" t="s">
        <v>792</v>
      </c>
      <c r="B62" s="167" t="s">
        <v>716</v>
      </c>
      <c r="C62" s="117" t="s">
        <v>795</v>
      </c>
      <c r="D62" s="160">
        <v>2.8</v>
      </c>
      <c r="E62" s="162"/>
      <c r="F62" s="164">
        <v>18943.68</v>
      </c>
      <c r="G62" s="167" t="s">
        <v>40</v>
      </c>
      <c r="H62" s="237"/>
      <c r="I62" s="77" t="s">
        <v>796</v>
      </c>
    </row>
    <row r="63" ht="15.75" customHeight="1">
      <c r="A63" s="218" t="s">
        <v>797</v>
      </c>
      <c r="B63" s="219"/>
      <c r="C63" s="132" t="s">
        <v>800</v>
      </c>
      <c r="D63" s="221">
        <v>3.26</v>
      </c>
      <c r="E63" s="224"/>
      <c r="F63" s="227">
        <v>24880.32</v>
      </c>
      <c r="G63" s="219" t="s">
        <v>40</v>
      </c>
      <c r="H63" s="230"/>
      <c r="I63" s="40" t="s">
        <v>801</v>
      </c>
    </row>
    <row r="64" ht="15.75" customHeight="1">
      <c r="A64" s="155" t="s">
        <v>802</v>
      </c>
      <c r="B64" s="167" t="s">
        <v>803</v>
      </c>
      <c r="C64" s="117" t="s">
        <v>804</v>
      </c>
      <c r="D64" s="160">
        <v>3.27</v>
      </c>
      <c r="E64" s="162"/>
      <c r="F64" s="164">
        <f>6765*D64</f>
        <v>22121.55</v>
      </c>
      <c r="G64" s="167" t="s">
        <v>40</v>
      </c>
      <c r="H64" s="237" t="s">
        <v>809</v>
      </c>
      <c r="I64" s="56" t="s">
        <v>79</v>
      </c>
    </row>
    <row r="65" ht="15.75" customHeight="1">
      <c r="A65" s="155" t="s">
        <v>810</v>
      </c>
      <c r="B65" s="167" t="s">
        <v>716</v>
      </c>
      <c r="C65" s="117" t="s">
        <v>811</v>
      </c>
      <c r="D65" s="160">
        <v>1.77</v>
      </c>
      <c r="E65" s="162"/>
      <c r="F65" s="164">
        <v>13534.0</v>
      </c>
      <c r="G65" s="167"/>
      <c r="H65" s="205" t="s">
        <v>812</v>
      </c>
      <c r="I65" s="56" t="s">
        <v>813</v>
      </c>
    </row>
    <row r="66" ht="15.75" customHeight="1">
      <c r="A66" s="417" t="s">
        <v>814</v>
      </c>
      <c r="B66" s="419" t="s">
        <v>817</v>
      </c>
      <c r="C66" s="117" t="s">
        <v>818</v>
      </c>
      <c r="D66" s="160">
        <f>901.32/424</f>
        <v>2.125754717</v>
      </c>
      <c r="E66" s="162"/>
      <c r="F66" s="164">
        <f t="shared" ref="F66:F67" si="1">25440*D66</f>
        <v>54079.2</v>
      </c>
      <c r="G66" s="167" t="s">
        <v>819</v>
      </c>
      <c r="H66" s="237" t="s">
        <v>820</v>
      </c>
      <c r="I66" s="56" t="s">
        <v>79</v>
      </c>
    </row>
    <row r="67" ht="15.75" customHeight="1">
      <c r="A67" s="31"/>
      <c r="B67" s="419" t="s">
        <v>821</v>
      </c>
      <c r="C67" s="117" t="s">
        <v>822</v>
      </c>
      <c r="D67" s="160">
        <f>830.47/424</f>
        <v>1.95865566</v>
      </c>
      <c r="E67" s="162"/>
      <c r="F67" s="164">
        <f t="shared" si="1"/>
        <v>49828.2</v>
      </c>
      <c r="G67" s="167" t="s">
        <v>819</v>
      </c>
      <c r="H67" s="237" t="s">
        <v>820</v>
      </c>
      <c r="I67" s="56" t="s">
        <v>79</v>
      </c>
    </row>
    <row r="68" ht="15.75" customHeight="1">
      <c r="A68" s="254" t="s">
        <v>200</v>
      </c>
      <c r="B68" s="257"/>
      <c r="C68" s="257"/>
      <c r="D68" s="258">
        <f>SUM(D62:D67)</f>
        <v>15.18441038</v>
      </c>
      <c r="E68" s="261"/>
      <c r="F68" s="263">
        <f>SUM(F62:F67)</f>
        <v>183386.95</v>
      </c>
      <c r="G68" s="257"/>
      <c r="H68" s="265"/>
      <c r="I68" s="428"/>
    </row>
    <row r="69" ht="15.75" customHeight="1">
      <c r="A69" s="152" t="s">
        <v>518</v>
      </c>
      <c r="B69" s="152"/>
      <c r="C69" s="270"/>
      <c r="D69" s="274">
        <f>D68+D60+D53+D45+E68</f>
        <v>70.72457075</v>
      </c>
      <c r="E69" s="274"/>
      <c r="F69" s="277">
        <f>F68+F60+F53+F45+F34</f>
        <v>1539555.148</v>
      </c>
      <c r="G69" s="279"/>
      <c r="H69" s="152"/>
      <c r="I69" s="152"/>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G5:G6"/>
    <mergeCell ref="H5:H6"/>
    <mergeCell ref="A1:I1"/>
    <mergeCell ref="A2:I2"/>
    <mergeCell ref="A3:I3"/>
    <mergeCell ref="A4:I4"/>
    <mergeCell ref="A5:A6"/>
    <mergeCell ref="B5:B6"/>
    <mergeCell ref="I5:I6"/>
    <mergeCell ref="H9:H10"/>
    <mergeCell ref="H14:H15"/>
    <mergeCell ref="C5:F5"/>
    <mergeCell ref="A7:I7"/>
    <mergeCell ref="A9:A10"/>
    <mergeCell ref="B9:B10"/>
    <mergeCell ref="G9:G10"/>
    <mergeCell ref="I9:I10"/>
    <mergeCell ref="A14:A15"/>
    <mergeCell ref="F58:F59"/>
    <mergeCell ref="G58:G59"/>
    <mergeCell ref="H58:H59"/>
    <mergeCell ref="I58:I59"/>
    <mergeCell ref="A58:A59"/>
    <mergeCell ref="A66:A67"/>
    <mergeCell ref="I14:I15"/>
    <mergeCell ref="A35:I35"/>
    <mergeCell ref="A46:I46"/>
    <mergeCell ref="A53:C53"/>
    <mergeCell ref="A54:I54"/>
    <mergeCell ref="B58:B59"/>
    <mergeCell ref="A61:I6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13"/>
    <col customWidth="1" min="2" max="2" width="24.13"/>
    <col customWidth="1" min="3" max="3" width="25.0"/>
    <col customWidth="1" min="4" max="4" width="27.13"/>
    <col customWidth="1" min="5" max="5" width="24.0"/>
    <col customWidth="1" min="6" max="6" width="21.38"/>
    <col customWidth="1" min="7" max="7" width="23.0"/>
    <col customWidth="1" min="8" max="8" width="25.0"/>
    <col customWidth="1" min="9" max="9" width="47.88"/>
    <col customWidth="1" min="10" max="10" width="20.88"/>
  </cols>
  <sheetData>
    <row r="1">
      <c r="A1" s="314" t="s">
        <v>0</v>
      </c>
    </row>
    <row r="2">
      <c r="A2" s="314" t="s">
        <v>3</v>
      </c>
    </row>
    <row r="3">
      <c r="A3" s="318" t="s">
        <v>621</v>
      </c>
    </row>
    <row r="4">
      <c r="A4" s="320" t="s">
        <v>15</v>
      </c>
      <c r="B4" s="325"/>
      <c r="C4" s="325"/>
      <c r="D4" s="325"/>
      <c r="E4" s="325"/>
      <c r="F4" s="325"/>
      <c r="G4" s="325"/>
      <c r="H4" s="325"/>
      <c r="I4" s="325"/>
    </row>
    <row r="5" ht="15.0" customHeight="1">
      <c r="A5" s="21" t="s">
        <v>16</v>
      </c>
      <c r="B5" s="21" t="s">
        <v>17</v>
      </c>
      <c r="C5" s="24" t="s">
        <v>18</v>
      </c>
      <c r="D5" s="27"/>
      <c r="E5" s="27"/>
      <c r="F5" s="28"/>
      <c r="G5" s="21" t="s">
        <v>20</v>
      </c>
      <c r="H5" s="21" t="s">
        <v>21</v>
      </c>
      <c r="I5" s="21" t="s">
        <v>22</v>
      </c>
    </row>
    <row r="6">
      <c r="A6" s="31"/>
      <c r="B6" s="31"/>
      <c r="C6" s="32" t="s">
        <v>23</v>
      </c>
      <c r="D6" s="32" t="s">
        <v>24</v>
      </c>
      <c r="E6" s="32" t="s">
        <v>25</v>
      </c>
      <c r="F6" s="32" t="s">
        <v>26</v>
      </c>
      <c r="G6" s="31"/>
      <c r="H6" s="31"/>
      <c r="I6" s="31"/>
    </row>
    <row r="7" ht="18.0" customHeight="1">
      <c r="A7" s="35" t="s">
        <v>27</v>
      </c>
      <c r="B7" s="27"/>
      <c r="C7" s="27"/>
      <c r="D7" s="27"/>
      <c r="E7" s="27"/>
      <c r="F7" s="27"/>
      <c r="G7" s="27"/>
      <c r="H7" s="27"/>
      <c r="I7" s="28"/>
    </row>
    <row r="8">
      <c r="A8" s="330" t="s">
        <v>632</v>
      </c>
      <c r="B8" s="331" t="s">
        <v>633</v>
      </c>
      <c r="C8" s="331" t="s">
        <v>634</v>
      </c>
      <c r="D8" s="331"/>
      <c r="E8" s="331"/>
      <c r="F8" s="331"/>
      <c r="G8" s="331"/>
      <c r="H8" s="331" t="s">
        <v>635</v>
      </c>
      <c r="I8" s="331" t="s">
        <v>636</v>
      </c>
    </row>
    <row r="9">
      <c r="A9" s="330" t="s">
        <v>637</v>
      </c>
      <c r="B9" s="126" t="s">
        <v>35</v>
      </c>
      <c r="C9" s="330" t="s">
        <v>638</v>
      </c>
      <c r="D9" s="334">
        <v>4.38</v>
      </c>
      <c r="E9" s="330"/>
      <c r="F9" s="337">
        <v>1856.79</v>
      </c>
      <c r="G9" s="331" t="s">
        <v>641</v>
      </c>
      <c r="H9" s="331" t="s">
        <v>642</v>
      </c>
      <c r="I9" s="331" t="s">
        <v>643</v>
      </c>
    </row>
    <row r="10">
      <c r="A10" s="340" t="s">
        <v>644</v>
      </c>
      <c r="B10" s="126" t="s">
        <v>35</v>
      </c>
      <c r="C10" s="342" t="s">
        <v>650</v>
      </c>
      <c r="D10" s="345">
        <f>1391.76/424</f>
        <v>3.28245283</v>
      </c>
      <c r="E10" s="342"/>
      <c r="F10" s="347">
        <v>34793.25</v>
      </c>
      <c r="G10" s="117" t="s">
        <v>40</v>
      </c>
      <c r="H10" s="342"/>
      <c r="I10" s="56" t="s">
        <v>682</v>
      </c>
    </row>
    <row r="11" ht="15.0" customHeight="1">
      <c r="A11" s="349" t="s">
        <v>683</v>
      </c>
      <c r="B11" s="350" t="s">
        <v>35</v>
      </c>
      <c r="C11" s="56" t="s">
        <v>685</v>
      </c>
      <c r="D11" s="57">
        <f>106.75/424</f>
        <v>0.2517688679</v>
      </c>
      <c r="E11" s="58"/>
      <c r="F11" s="354">
        <v>17933.0</v>
      </c>
      <c r="G11" s="357" t="s">
        <v>40</v>
      </c>
      <c r="H11" s="350" t="s">
        <v>701</v>
      </c>
      <c r="I11" s="350" t="s">
        <v>79</v>
      </c>
    </row>
    <row r="12">
      <c r="A12" s="31"/>
      <c r="B12" s="31"/>
      <c r="C12" s="56" t="s">
        <v>707</v>
      </c>
      <c r="D12" s="57">
        <f>503.82/424</f>
        <v>1.188254717</v>
      </c>
      <c r="E12" s="58"/>
      <c r="F12" s="31"/>
      <c r="G12" s="31"/>
      <c r="H12" s="31"/>
      <c r="I12" s="31"/>
    </row>
    <row r="13">
      <c r="A13" s="362" t="s">
        <v>718</v>
      </c>
      <c r="B13" s="366" t="s">
        <v>728</v>
      </c>
      <c r="C13" s="43" t="s">
        <v>729</v>
      </c>
      <c r="D13" s="45">
        <f>487.6/424</f>
        <v>1.15</v>
      </c>
      <c r="E13" s="47"/>
      <c r="F13" s="50">
        <v>14628.0</v>
      </c>
      <c r="G13" s="132" t="s">
        <v>40</v>
      </c>
      <c r="H13" s="139" t="s">
        <v>296</v>
      </c>
      <c r="I13" s="43" t="s">
        <v>730</v>
      </c>
      <c r="J13" s="369"/>
    </row>
    <row r="14">
      <c r="A14" s="372" t="s">
        <v>731</v>
      </c>
      <c r="B14" s="126" t="s">
        <v>35</v>
      </c>
      <c r="C14" s="342" t="s">
        <v>734</v>
      </c>
      <c r="D14" s="57">
        <f>712.75/424</f>
        <v>1.681014151</v>
      </c>
      <c r="E14" s="58"/>
      <c r="F14" s="59">
        <v>13829.5</v>
      </c>
      <c r="G14" s="117" t="s">
        <v>40</v>
      </c>
      <c r="H14" s="126"/>
      <c r="I14" s="56" t="s">
        <v>682</v>
      </c>
      <c r="J14" s="375"/>
    </row>
    <row r="15">
      <c r="A15" s="377" t="s">
        <v>737</v>
      </c>
      <c r="B15" s="380" t="s">
        <v>742</v>
      </c>
      <c r="C15" s="56" t="s">
        <v>748</v>
      </c>
      <c r="D15" s="57">
        <f>312.9/424</f>
        <v>0.7379716981</v>
      </c>
      <c r="E15" s="58"/>
      <c r="F15" s="59">
        <v>7822.5</v>
      </c>
      <c r="G15" s="117"/>
      <c r="H15" s="126" t="s">
        <v>751</v>
      </c>
      <c r="I15" s="56" t="s">
        <v>752</v>
      </c>
    </row>
    <row r="16">
      <c r="A16" s="377" t="s">
        <v>737</v>
      </c>
      <c r="B16" s="126" t="s">
        <v>35</v>
      </c>
      <c r="C16" s="56" t="s">
        <v>753</v>
      </c>
      <c r="D16" s="57">
        <f>121.7/424</f>
        <v>0.2870283019</v>
      </c>
      <c r="E16" s="58"/>
      <c r="F16" s="59">
        <v>3651.0</v>
      </c>
      <c r="G16" s="117" t="s">
        <v>40</v>
      </c>
      <c r="H16" s="126"/>
      <c r="I16" s="56" t="s">
        <v>682</v>
      </c>
    </row>
    <row r="17">
      <c r="A17" s="372" t="s">
        <v>754</v>
      </c>
      <c r="B17" s="126" t="s">
        <v>35</v>
      </c>
      <c r="C17" s="56" t="s">
        <v>755</v>
      </c>
      <c r="D17" s="57">
        <f>360/424</f>
        <v>0.8490566038</v>
      </c>
      <c r="E17" s="58"/>
      <c r="F17" s="59"/>
      <c r="G17" s="117"/>
      <c r="H17" s="126"/>
      <c r="I17" s="56" t="s">
        <v>682</v>
      </c>
      <c r="J17" s="369"/>
    </row>
    <row r="18">
      <c r="A18" s="372" t="s">
        <v>756</v>
      </c>
      <c r="B18" s="380" t="s">
        <v>757</v>
      </c>
      <c r="C18" s="56" t="s">
        <v>758</v>
      </c>
      <c r="D18" s="57"/>
      <c r="E18" s="58"/>
      <c r="F18" s="59">
        <v>3000.0</v>
      </c>
      <c r="G18" s="117" t="s">
        <v>40</v>
      </c>
      <c r="H18" s="126"/>
      <c r="I18" s="56" t="s">
        <v>759</v>
      </c>
      <c r="J18" s="369"/>
    </row>
    <row r="19">
      <c r="A19" s="372" t="s">
        <v>760</v>
      </c>
      <c r="B19" s="380" t="s">
        <v>761</v>
      </c>
      <c r="C19" s="56" t="s">
        <v>762</v>
      </c>
      <c r="D19" s="57"/>
      <c r="E19" s="58"/>
      <c r="F19" s="59">
        <v>490.0</v>
      </c>
      <c r="G19" s="117" t="s">
        <v>40</v>
      </c>
      <c r="H19" s="126"/>
      <c r="I19" s="56" t="s">
        <v>763</v>
      </c>
    </row>
    <row r="20">
      <c r="A20" s="372" t="s">
        <v>764</v>
      </c>
      <c r="B20" s="385" t="s">
        <v>766</v>
      </c>
      <c r="C20" s="56"/>
      <c r="D20" s="57"/>
      <c r="E20" s="58"/>
      <c r="F20" s="59"/>
      <c r="G20" s="117"/>
      <c r="H20" s="126" t="s">
        <v>635</v>
      </c>
      <c r="I20" s="56" t="s">
        <v>767</v>
      </c>
    </row>
    <row r="21" ht="15.75" customHeight="1">
      <c r="A21" s="349" t="s">
        <v>768</v>
      </c>
      <c r="B21" s="388" t="s">
        <v>770</v>
      </c>
      <c r="C21" s="56" t="s">
        <v>771</v>
      </c>
      <c r="D21" s="57"/>
      <c r="E21" s="58"/>
      <c r="F21" s="59">
        <v>5000.0</v>
      </c>
      <c r="G21" s="391" t="s">
        <v>40</v>
      </c>
      <c r="H21" s="394"/>
      <c r="I21" s="350" t="s">
        <v>772</v>
      </c>
    </row>
    <row r="22" ht="15.75" customHeight="1">
      <c r="A22" s="31"/>
      <c r="B22" s="31"/>
      <c r="C22" s="56" t="s">
        <v>773</v>
      </c>
      <c r="D22" s="57">
        <f>64/424</f>
        <v>0.1509433962</v>
      </c>
      <c r="E22" s="58"/>
      <c r="F22" s="59">
        <v>1920.0</v>
      </c>
      <c r="G22" s="31"/>
      <c r="H22" s="31"/>
      <c r="I22" s="31"/>
    </row>
    <row r="23" ht="15.75" customHeight="1">
      <c r="A23" s="372" t="s">
        <v>774</v>
      </c>
      <c r="B23" s="398" t="s">
        <v>775</v>
      </c>
      <c r="C23" s="56" t="s">
        <v>777</v>
      </c>
      <c r="D23" s="57">
        <v>0.44</v>
      </c>
      <c r="E23" s="58"/>
      <c r="F23" s="59">
        <v>3694.8</v>
      </c>
      <c r="G23" s="117" t="s">
        <v>40</v>
      </c>
      <c r="H23" s="126"/>
      <c r="I23" s="56" t="s">
        <v>778</v>
      </c>
    </row>
    <row r="24" ht="15.75" customHeight="1">
      <c r="A24" s="372" t="s">
        <v>779</v>
      </c>
      <c r="B24" s="400" t="s">
        <v>780</v>
      </c>
      <c r="C24" s="56" t="s">
        <v>781</v>
      </c>
      <c r="D24" s="57"/>
      <c r="E24" s="58"/>
      <c r="F24" s="59">
        <v>1400.0</v>
      </c>
      <c r="G24" s="117" t="s">
        <v>40</v>
      </c>
      <c r="H24" s="126"/>
      <c r="I24" s="56" t="s">
        <v>782</v>
      </c>
    </row>
    <row r="25" ht="15.75" customHeight="1">
      <c r="A25" s="362" t="s">
        <v>768</v>
      </c>
      <c r="B25" s="402" t="s">
        <v>783</v>
      </c>
      <c r="C25" s="43" t="s">
        <v>784</v>
      </c>
      <c r="D25" s="45"/>
      <c r="E25" s="47"/>
      <c r="F25" s="50">
        <v>14400.0</v>
      </c>
      <c r="G25" s="132" t="s">
        <v>40</v>
      </c>
      <c r="H25" s="139"/>
      <c r="I25" s="43" t="s">
        <v>785</v>
      </c>
    </row>
    <row r="26" ht="15.75" customHeight="1">
      <c r="A26" s="372" t="s">
        <v>786</v>
      </c>
      <c r="B26" s="404" t="s">
        <v>787</v>
      </c>
      <c r="C26" s="56"/>
      <c r="D26" s="57"/>
      <c r="E26" s="58"/>
      <c r="F26" s="59"/>
      <c r="G26" s="117" t="s">
        <v>40</v>
      </c>
      <c r="H26" s="126"/>
      <c r="I26" s="56" t="s">
        <v>788</v>
      </c>
    </row>
    <row r="27" ht="15.75" customHeight="1">
      <c r="A27" s="406" t="s">
        <v>789</v>
      </c>
      <c r="B27" s="408" t="s">
        <v>35</v>
      </c>
      <c r="C27" s="56" t="s">
        <v>790</v>
      </c>
      <c r="D27" s="57">
        <f>209.45/424</f>
        <v>0.4939858491</v>
      </c>
      <c r="E27" s="58"/>
      <c r="F27" s="412">
        <v>8857.25</v>
      </c>
      <c r="G27" s="393" t="s">
        <v>40</v>
      </c>
      <c r="H27" s="126"/>
      <c r="I27" s="396" t="s">
        <v>682</v>
      </c>
    </row>
    <row r="28" ht="15.75" customHeight="1">
      <c r="A28" s="31"/>
      <c r="B28" s="31"/>
      <c r="C28" s="56" t="s">
        <v>791</v>
      </c>
      <c r="D28" s="57">
        <f>144.16/424</f>
        <v>0.34</v>
      </c>
      <c r="E28" s="58"/>
      <c r="F28" s="31"/>
      <c r="G28" s="31"/>
      <c r="H28" s="126"/>
      <c r="I28" s="31"/>
    </row>
    <row r="29" ht="15.75" customHeight="1">
      <c r="A29" s="372" t="s">
        <v>793</v>
      </c>
      <c r="B29" s="398" t="s">
        <v>35</v>
      </c>
      <c r="C29" s="56" t="s">
        <v>794</v>
      </c>
      <c r="D29" s="57">
        <f>1231/424</f>
        <v>2.903301887</v>
      </c>
      <c r="E29" s="58"/>
      <c r="F29" s="59">
        <v>30825.0</v>
      </c>
      <c r="G29" s="117" t="s">
        <v>40</v>
      </c>
      <c r="H29" s="126"/>
      <c r="I29" s="56" t="s">
        <v>682</v>
      </c>
    </row>
    <row r="30" ht="15.75" customHeight="1">
      <c r="A30" s="372" t="s">
        <v>798</v>
      </c>
      <c r="B30" s="398" t="s">
        <v>35</v>
      </c>
      <c r="C30" s="56" t="s">
        <v>799</v>
      </c>
      <c r="D30" s="57">
        <f>712.67/424</f>
        <v>1.680825472</v>
      </c>
      <c r="E30" s="58"/>
      <c r="F30" s="59">
        <v>17307.0</v>
      </c>
      <c r="G30" s="117" t="s">
        <v>40</v>
      </c>
      <c r="H30" s="126"/>
      <c r="I30" s="56" t="s">
        <v>682</v>
      </c>
    </row>
    <row r="31" ht="15.75" customHeight="1">
      <c r="A31" s="372" t="s">
        <v>805</v>
      </c>
      <c r="B31" s="398" t="s">
        <v>35</v>
      </c>
      <c r="C31" s="56" t="s">
        <v>806</v>
      </c>
      <c r="D31" s="57">
        <v>0.73</v>
      </c>
      <c r="E31" s="58"/>
      <c r="F31" s="59">
        <v>21700.0</v>
      </c>
      <c r="G31" s="117" t="s">
        <v>807</v>
      </c>
      <c r="H31" s="126"/>
      <c r="I31" s="56" t="s">
        <v>682</v>
      </c>
      <c r="J31" s="414"/>
    </row>
    <row r="32" ht="15.75" customHeight="1">
      <c r="A32" s="415" t="s">
        <v>808</v>
      </c>
      <c r="B32" s="416" t="s">
        <v>35</v>
      </c>
      <c r="C32" s="418" t="s">
        <v>815</v>
      </c>
      <c r="D32" s="422">
        <f>394.32/424</f>
        <v>0.93</v>
      </c>
      <c r="E32" s="424"/>
      <c r="F32" s="426">
        <v>5914.8</v>
      </c>
      <c r="G32" s="393" t="s">
        <v>40</v>
      </c>
      <c r="H32" s="429"/>
      <c r="I32" s="396" t="s">
        <v>682</v>
      </c>
    </row>
    <row r="33" ht="15.75" customHeight="1">
      <c r="A33" s="31"/>
      <c r="B33" s="31"/>
      <c r="C33" s="418" t="s">
        <v>823</v>
      </c>
      <c r="D33" s="422">
        <f>487.6/424</f>
        <v>1.15</v>
      </c>
      <c r="E33" s="424"/>
      <c r="F33" s="426">
        <v>5851.2</v>
      </c>
      <c r="G33" s="31"/>
      <c r="H33" s="31"/>
      <c r="I33" s="31"/>
    </row>
    <row r="34" ht="15.75" customHeight="1">
      <c r="A34" s="433" t="s">
        <v>824</v>
      </c>
      <c r="B34" s="380" t="s">
        <v>825</v>
      </c>
      <c r="C34" s="56" t="s">
        <v>826</v>
      </c>
      <c r="D34" s="57">
        <v>0.393</v>
      </c>
      <c r="E34" s="58"/>
      <c r="F34" s="59">
        <v>4166.25</v>
      </c>
      <c r="G34" s="167" t="s">
        <v>827</v>
      </c>
      <c r="H34" s="127"/>
      <c r="I34" s="56" t="s">
        <v>201</v>
      </c>
      <c r="J34" s="436"/>
    </row>
    <row r="35" ht="15.75" customHeight="1">
      <c r="A35" s="372" t="s">
        <v>828</v>
      </c>
      <c r="B35" s="380" t="s">
        <v>829</v>
      </c>
      <c r="C35" s="56" t="s">
        <v>830</v>
      </c>
      <c r="D35" s="57">
        <f>28.7/424</f>
        <v>0.06768867925</v>
      </c>
      <c r="E35" s="58"/>
      <c r="F35" s="59">
        <v>2009.0</v>
      </c>
      <c r="G35" s="117" t="s">
        <v>40</v>
      </c>
      <c r="H35" s="126"/>
      <c r="I35" s="126" t="s">
        <v>831</v>
      </c>
    </row>
    <row r="36" ht="15.75" customHeight="1">
      <c r="A36" s="372" t="s">
        <v>832</v>
      </c>
      <c r="B36" s="380" t="s">
        <v>833</v>
      </c>
      <c r="C36" s="398" t="s">
        <v>265</v>
      </c>
      <c r="D36" s="57">
        <f>557/424</f>
        <v>1.313679245</v>
      </c>
      <c r="E36" s="58"/>
      <c r="F36" s="59">
        <v>16710.0</v>
      </c>
      <c r="G36" s="117" t="s">
        <v>40</v>
      </c>
      <c r="H36" s="126"/>
      <c r="I36" s="126" t="s">
        <v>834</v>
      </c>
    </row>
    <row r="37" ht="15.75" customHeight="1">
      <c r="A37" s="372" t="s">
        <v>835</v>
      </c>
      <c r="B37" s="380" t="s">
        <v>837</v>
      </c>
      <c r="C37" s="56" t="s">
        <v>65</v>
      </c>
      <c r="D37" s="57">
        <f>163/424</f>
        <v>0.3844339623</v>
      </c>
      <c r="E37" s="58"/>
      <c r="F37" s="59">
        <v>11445.0</v>
      </c>
      <c r="G37" s="117" t="s">
        <v>40</v>
      </c>
      <c r="H37" s="126"/>
      <c r="I37" s="126" t="s">
        <v>839</v>
      </c>
    </row>
    <row r="38" ht="15.75" customHeight="1">
      <c r="A38" s="372" t="s">
        <v>835</v>
      </c>
      <c r="B38" s="398"/>
      <c r="C38" s="56" t="s">
        <v>840</v>
      </c>
      <c r="D38" s="57">
        <f>950.48/424</f>
        <v>2.241698113</v>
      </c>
      <c r="E38" s="58"/>
      <c r="F38" s="59">
        <v>44611.4</v>
      </c>
      <c r="G38" s="117" t="s">
        <v>40</v>
      </c>
      <c r="H38" s="126" t="s">
        <v>134</v>
      </c>
      <c r="I38" s="126" t="s">
        <v>79</v>
      </c>
    </row>
    <row r="39" ht="15.75" customHeight="1">
      <c r="A39" s="372" t="s">
        <v>842</v>
      </c>
      <c r="B39" s="380" t="s">
        <v>843</v>
      </c>
      <c r="C39" s="56" t="s">
        <v>844</v>
      </c>
      <c r="D39" s="57"/>
      <c r="E39" s="58"/>
      <c r="F39" s="59">
        <v>2000.0</v>
      </c>
      <c r="G39" s="117" t="s">
        <v>40</v>
      </c>
      <c r="H39" s="126"/>
      <c r="I39" s="126" t="s">
        <v>845</v>
      </c>
    </row>
    <row r="40" ht="15.75" customHeight="1">
      <c r="A40" s="362" t="s">
        <v>846</v>
      </c>
      <c r="B40" s="446" t="s">
        <v>847</v>
      </c>
      <c r="C40" s="43" t="s">
        <v>849</v>
      </c>
      <c r="D40" s="45"/>
      <c r="E40" s="47"/>
      <c r="F40" s="50"/>
      <c r="G40" s="132" t="s">
        <v>40</v>
      </c>
      <c r="H40" s="139"/>
      <c r="I40" s="139" t="s">
        <v>850</v>
      </c>
    </row>
    <row r="41" ht="15.75" customHeight="1">
      <c r="A41" s="372" t="s">
        <v>851</v>
      </c>
      <c r="B41" s="380" t="s">
        <v>852</v>
      </c>
      <c r="C41" s="56" t="s">
        <v>853</v>
      </c>
      <c r="D41" s="57"/>
      <c r="E41" s="58"/>
      <c r="F41" s="59">
        <v>800.0</v>
      </c>
      <c r="G41" s="117" t="s">
        <v>40</v>
      </c>
      <c r="H41" s="126"/>
      <c r="I41" s="126" t="s">
        <v>201</v>
      </c>
    </row>
    <row r="42" ht="15.75" customHeight="1">
      <c r="A42" s="372" t="s">
        <v>851</v>
      </c>
      <c r="B42" s="380" t="s">
        <v>733</v>
      </c>
      <c r="C42" s="56" t="s">
        <v>854</v>
      </c>
      <c r="D42" s="57"/>
      <c r="E42" s="58"/>
      <c r="F42" s="59">
        <v>2000.0</v>
      </c>
      <c r="G42" s="117" t="s">
        <v>40</v>
      </c>
      <c r="H42" s="126"/>
      <c r="I42" s="126" t="s">
        <v>201</v>
      </c>
    </row>
    <row r="43" ht="15.75" customHeight="1">
      <c r="A43" s="372" t="s">
        <v>855</v>
      </c>
      <c r="B43" s="380" t="s">
        <v>856</v>
      </c>
      <c r="C43" s="56" t="s">
        <v>857</v>
      </c>
      <c r="D43" s="57">
        <v>0.47</v>
      </c>
      <c r="E43" s="58"/>
      <c r="F43" s="59">
        <v>16000.0</v>
      </c>
      <c r="G43" s="117" t="s">
        <v>40</v>
      </c>
      <c r="H43" s="126"/>
      <c r="I43" s="126" t="s">
        <v>858</v>
      </c>
    </row>
    <row r="44" ht="15.75" customHeight="1">
      <c r="A44" s="372" t="s">
        <v>859</v>
      </c>
      <c r="B44" s="380" t="s">
        <v>861</v>
      </c>
      <c r="C44" s="56" t="s">
        <v>36</v>
      </c>
      <c r="D44" s="57">
        <v>0.545</v>
      </c>
      <c r="E44" s="58"/>
      <c r="F44" s="59">
        <v>16170.0</v>
      </c>
      <c r="G44" s="117" t="s">
        <v>40</v>
      </c>
      <c r="H44" s="126"/>
      <c r="I44" s="126" t="s">
        <v>863</v>
      </c>
    </row>
    <row r="45" ht="15.75" customHeight="1">
      <c r="A45" s="415" t="s">
        <v>864</v>
      </c>
      <c r="B45" s="450" t="s">
        <v>865</v>
      </c>
      <c r="C45" s="56" t="s">
        <v>867</v>
      </c>
      <c r="D45" s="57">
        <f>122.25/424</f>
        <v>0.2883254717</v>
      </c>
      <c r="E45" s="58"/>
      <c r="F45" s="59">
        <v>4833.0</v>
      </c>
      <c r="G45" s="393" t="s">
        <v>869</v>
      </c>
      <c r="H45" s="429" t="s">
        <v>872</v>
      </c>
      <c r="I45" s="396" t="s">
        <v>876</v>
      </c>
    </row>
    <row r="46" ht="15.75" customHeight="1">
      <c r="A46" s="31"/>
      <c r="B46" s="31"/>
      <c r="C46" s="56" t="s">
        <v>882</v>
      </c>
      <c r="D46" s="57">
        <f>193.32/424</f>
        <v>0.4559433962</v>
      </c>
      <c r="E46" s="58"/>
      <c r="F46" s="59">
        <v>8557.5</v>
      </c>
      <c r="G46" s="31"/>
      <c r="H46" s="31"/>
      <c r="I46" s="31"/>
    </row>
    <row r="47" ht="15.75" customHeight="1">
      <c r="A47" s="415" t="s">
        <v>864</v>
      </c>
      <c r="B47" s="450" t="s">
        <v>900</v>
      </c>
      <c r="C47" s="56" t="s">
        <v>901</v>
      </c>
      <c r="D47" s="57">
        <f>936.11/424</f>
        <v>2.207806604</v>
      </c>
      <c r="E47" s="58"/>
      <c r="F47" s="59">
        <v>28402.75</v>
      </c>
      <c r="G47" s="393" t="s">
        <v>869</v>
      </c>
      <c r="H47" s="429" t="s">
        <v>872</v>
      </c>
      <c r="I47" s="396" t="s">
        <v>905</v>
      </c>
    </row>
    <row r="48" ht="15.75" customHeight="1">
      <c r="A48" s="31"/>
      <c r="B48" s="31"/>
      <c r="C48" s="56" t="s">
        <v>908</v>
      </c>
      <c r="D48" s="57">
        <f>186.62/424</f>
        <v>0.4401415094</v>
      </c>
      <c r="E48" s="58"/>
      <c r="F48" s="59">
        <v>13063.0</v>
      </c>
      <c r="G48" s="31"/>
      <c r="H48" s="31"/>
      <c r="I48" s="31"/>
    </row>
    <row r="49" ht="15.75" customHeight="1">
      <c r="A49" s="415" t="s">
        <v>864</v>
      </c>
      <c r="B49" s="450" t="s">
        <v>913</v>
      </c>
      <c r="C49" s="56" t="s">
        <v>914</v>
      </c>
      <c r="D49" s="57">
        <f>171.15/424</f>
        <v>0.4036556604</v>
      </c>
      <c r="E49" s="58"/>
      <c r="F49" s="59">
        <v>4278.75</v>
      </c>
      <c r="G49" s="393" t="s">
        <v>869</v>
      </c>
      <c r="H49" s="429" t="s">
        <v>872</v>
      </c>
      <c r="I49" s="396" t="s">
        <v>918</v>
      </c>
    </row>
    <row r="50" ht="15.75" customHeight="1">
      <c r="A50" s="31"/>
      <c r="B50" s="31"/>
      <c r="C50" s="56"/>
      <c r="D50" s="57"/>
      <c r="E50" s="58"/>
      <c r="F50" s="59"/>
      <c r="G50" s="31"/>
      <c r="H50" s="31"/>
      <c r="I50" s="31"/>
    </row>
    <row r="51" ht="15.75" customHeight="1">
      <c r="A51" s="372" t="s">
        <v>920</v>
      </c>
      <c r="B51" s="398" t="s">
        <v>921</v>
      </c>
      <c r="C51" s="56" t="s">
        <v>922</v>
      </c>
      <c r="D51" s="57">
        <v>0.64</v>
      </c>
      <c r="E51" s="58"/>
      <c r="F51" s="59">
        <v>8129.7</v>
      </c>
      <c r="G51" s="117" t="s">
        <v>40</v>
      </c>
      <c r="H51" s="126"/>
      <c r="I51" s="126" t="s">
        <v>79</v>
      </c>
      <c r="J51" s="467"/>
    </row>
    <row r="52" ht="15.75" customHeight="1">
      <c r="A52" s="372" t="s">
        <v>925</v>
      </c>
      <c r="B52" s="380" t="s">
        <v>926</v>
      </c>
      <c r="C52" s="56" t="s">
        <v>927</v>
      </c>
      <c r="D52" s="57">
        <v>0.703</v>
      </c>
      <c r="E52" s="58"/>
      <c r="F52" s="59">
        <f t="shared" ref="F52:F53" si="1">10600*D52</f>
        <v>7451.8</v>
      </c>
      <c r="G52" s="117" t="s">
        <v>6</v>
      </c>
      <c r="H52" s="126"/>
      <c r="I52" s="126" t="s">
        <v>928</v>
      </c>
    </row>
    <row r="53" ht="15.75" customHeight="1">
      <c r="A53" s="372" t="s">
        <v>925</v>
      </c>
      <c r="B53" s="380" t="s">
        <v>929</v>
      </c>
      <c r="C53" s="56" t="s">
        <v>241</v>
      </c>
      <c r="D53" s="57">
        <v>0.65</v>
      </c>
      <c r="E53" s="58"/>
      <c r="F53" s="59">
        <f t="shared" si="1"/>
        <v>6890</v>
      </c>
      <c r="G53" s="117" t="s">
        <v>6</v>
      </c>
      <c r="H53" s="126"/>
      <c r="I53" s="126" t="s">
        <v>930</v>
      </c>
    </row>
    <row r="54" ht="15.75" customHeight="1">
      <c r="A54" s="372" t="s">
        <v>931</v>
      </c>
      <c r="B54" s="380" t="s">
        <v>933</v>
      </c>
      <c r="C54" s="56" t="s">
        <v>934</v>
      </c>
      <c r="D54" s="57">
        <v>3.86</v>
      </c>
      <c r="E54" s="58"/>
      <c r="F54" s="59">
        <v>27828.32</v>
      </c>
      <c r="G54" s="117" t="s">
        <v>40</v>
      </c>
      <c r="H54" s="126" t="s">
        <v>935</v>
      </c>
      <c r="I54" s="126" t="s">
        <v>936</v>
      </c>
      <c r="J54" s="467"/>
    </row>
    <row r="55" ht="15.75" customHeight="1">
      <c r="A55" s="372" t="s">
        <v>937</v>
      </c>
      <c r="B55" s="380" t="s">
        <v>938</v>
      </c>
      <c r="C55" s="56" t="s">
        <v>939</v>
      </c>
      <c r="D55" s="57">
        <v>6.469</v>
      </c>
      <c r="E55" s="58"/>
      <c r="F55" s="59">
        <v>82294.5</v>
      </c>
      <c r="G55" s="117" t="s">
        <v>40</v>
      </c>
      <c r="H55" s="126"/>
      <c r="I55" s="126" t="s">
        <v>940</v>
      </c>
      <c r="J55" s="467"/>
    </row>
    <row r="56" ht="15.75" customHeight="1">
      <c r="A56" s="372" t="s">
        <v>941</v>
      </c>
      <c r="B56" s="398" t="s">
        <v>35</v>
      </c>
      <c r="C56" s="56" t="s">
        <v>867</v>
      </c>
      <c r="D56" s="57">
        <v>0.711</v>
      </c>
      <c r="E56" s="58"/>
      <c r="F56" s="59">
        <v>7540.0</v>
      </c>
      <c r="G56" s="117" t="s">
        <v>942</v>
      </c>
      <c r="H56" s="126"/>
      <c r="I56" s="126" t="s">
        <v>79</v>
      </c>
      <c r="J56" s="467"/>
    </row>
    <row r="57" ht="15.75" customHeight="1">
      <c r="A57" s="372" t="s">
        <v>943</v>
      </c>
      <c r="B57" s="398" t="s">
        <v>35</v>
      </c>
      <c r="C57" s="56" t="s">
        <v>944</v>
      </c>
      <c r="D57" s="57">
        <v>0.26</v>
      </c>
      <c r="E57" s="58"/>
      <c r="F57" s="59">
        <v>5553.0</v>
      </c>
      <c r="G57" s="117" t="s">
        <v>40</v>
      </c>
      <c r="H57" s="126" t="s">
        <v>296</v>
      </c>
      <c r="I57" s="126" t="s">
        <v>79</v>
      </c>
    </row>
    <row r="58" ht="15.75" customHeight="1">
      <c r="A58" s="372" t="s">
        <v>945</v>
      </c>
      <c r="B58" s="398" t="s">
        <v>35</v>
      </c>
      <c r="C58" s="56" t="s">
        <v>946</v>
      </c>
      <c r="D58" s="57">
        <v>0.27</v>
      </c>
      <c r="E58" s="58"/>
      <c r="F58" s="59">
        <v>8190.0</v>
      </c>
      <c r="G58" s="117" t="s">
        <v>40</v>
      </c>
      <c r="H58" s="126"/>
      <c r="I58" s="126" t="s">
        <v>79</v>
      </c>
    </row>
    <row r="59" ht="15.75" customHeight="1">
      <c r="A59" s="372" t="s">
        <v>947</v>
      </c>
      <c r="B59" s="380" t="s">
        <v>948</v>
      </c>
      <c r="C59" s="56" t="s">
        <v>944</v>
      </c>
      <c r="D59" s="57">
        <f>97/424</f>
        <v>0.2287735849</v>
      </c>
      <c r="E59" s="58"/>
      <c r="F59" s="59">
        <v>6811.7</v>
      </c>
      <c r="G59" s="117" t="s">
        <v>40</v>
      </c>
      <c r="H59" s="126"/>
      <c r="I59" s="126" t="s">
        <v>951</v>
      </c>
    </row>
    <row r="60" ht="15.75" customHeight="1">
      <c r="A60" s="372" t="s">
        <v>952</v>
      </c>
      <c r="B60" s="398"/>
      <c r="C60" s="56" t="s">
        <v>953</v>
      </c>
      <c r="D60" s="57">
        <f>1442.2/424</f>
        <v>3.401415094</v>
      </c>
      <c r="E60" s="58"/>
      <c r="F60" s="59">
        <v>36106.0</v>
      </c>
      <c r="G60" s="117" t="s">
        <v>955</v>
      </c>
      <c r="H60" s="126"/>
      <c r="I60" s="126" t="s">
        <v>79</v>
      </c>
      <c r="J60" s="375"/>
    </row>
    <row r="61" ht="15.75" customHeight="1">
      <c r="A61" s="372" t="s">
        <v>956</v>
      </c>
      <c r="B61" s="398" t="s">
        <v>35</v>
      </c>
      <c r="C61" s="56" t="s">
        <v>957</v>
      </c>
      <c r="D61" s="57">
        <v>0.96</v>
      </c>
      <c r="E61" s="58"/>
      <c r="F61" s="59">
        <f>10600*D61</f>
        <v>10176</v>
      </c>
      <c r="G61" s="117" t="s">
        <v>958</v>
      </c>
      <c r="H61" s="126"/>
      <c r="I61" s="126" t="s">
        <v>79</v>
      </c>
    </row>
    <row r="62" ht="15.75" customHeight="1">
      <c r="A62" s="372" t="s">
        <v>959</v>
      </c>
      <c r="B62" s="380" t="s">
        <v>960</v>
      </c>
      <c r="C62" s="56" t="s">
        <v>961</v>
      </c>
      <c r="D62" s="57">
        <f>236/424</f>
        <v>0.5566037736</v>
      </c>
      <c r="E62" s="58"/>
      <c r="F62" s="59">
        <v>5900.0</v>
      </c>
      <c r="G62" s="117" t="s">
        <v>40</v>
      </c>
      <c r="H62" s="126"/>
      <c r="I62" s="126" t="s">
        <v>201</v>
      </c>
    </row>
    <row r="63" ht="15.75" customHeight="1">
      <c r="A63" s="372" t="s">
        <v>959</v>
      </c>
      <c r="B63" s="380" t="s">
        <v>963</v>
      </c>
      <c r="C63" s="56" t="s">
        <v>964</v>
      </c>
      <c r="D63" s="57">
        <f>171.99/424</f>
        <v>0.4056367925</v>
      </c>
      <c r="E63" s="58"/>
      <c r="F63" s="59">
        <v>4299.75</v>
      </c>
      <c r="G63" s="117" t="s">
        <v>40</v>
      </c>
      <c r="H63" s="126"/>
      <c r="I63" s="126" t="s">
        <v>201</v>
      </c>
    </row>
    <row r="64" ht="15.75" customHeight="1">
      <c r="A64" s="372" t="s">
        <v>967</v>
      </c>
      <c r="B64" s="380" t="s">
        <v>968</v>
      </c>
      <c r="C64" s="56" t="s">
        <v>969</v>
      </c>
      <c r="D64" s="57">
        <f>261/424</f>
        <v>0.6155660377</v>
      </c>
      <c r="E64" s="58"/>
      <c r="F64" s="59">
        <v>6525.0</v>
      </c>
      <c r="G64" s="117" t="s">
        <v>40</v>
      </c>
      <c r="H64" s="126"/>
      <c r="I64" s="126" t="s">
        <v>201</v>
      </c>
    </row>
    <row r="65" ht="15.75" customHeight="1">
      <c r="A65" s="372" t="s">
        <v>970</v>
      </c>
      <c r="B65" s="479" t="s">
        <v>972</v>
      </c>
      <c r="C65" s="56" t="s">
        <v>977</v>
      </c>
      <c r="D65" s="57">
        <v>0.15</v>
      </c>
      <c r="E65" s="58"/>
      <c r="F65" s="59">
        <v>1600.0</v>
      </c>
      <c r="G65" s="117" t="s">
        <v>40</v>
      </c>
      <c r="H65" s="126"/>
      <c r="I65" s="126" t="s">
        <v>201</v>
      </c>
      <c r="J65" s="481"/>
    </row>
    <row r="66" ht="15.75" customHeight="1">
      <c r="A66" s="372" t="s">
        <v>979</v>
      </c>
      <c r="B66" s="479" t="s">
        <v>980</v>
      </c>
      <c r="C66" s="56" t="s">
        <v>981</v>
      </c>
      <c r="D66" s="57">
        <v>0.28</v>
      </c>
      <c r="E66" s="58"/>
      <c r="F66" s="59">
        <v>3004.0</v>
      </c>
      <c r="G66" s="117" t="s">
        <v>40</v>
      </c>
      <c r="H66" s="126"/>
      <c r="I66" s="126" t="s">
        <v>982</v>
      </c>
    </row>
    <row r="67" ht="15.75" customHeight="1">
      <c r="A67" s="372" t="s">
        <v>983</v>
      </c>
      <c r="B67" s="398" t="s">
        <v>35</v>
      </c>
      <c r="C67" s="56" t="s">
        <v>984</v>
      </c>
      <c r="D67" s="57">
        <f>546.86/424</f>
        <v>1.289764151</v>
      </c>
      <c r="E67" s="58"/>
      <c r="F67" s="59">
        <f>10600*D67</f>
        <v>13671.5</v>
      </c>
      <c r="G67" s="117" t="s">
        <v>40</v>
      </c>
      <c r="H67" s="126"/>
      <c r="I67" s="126" t="s">
        <v>987</v>
      </c>
    </row>
    <row r="68" ht="15.75" customHeight="1">
      <c r="A68" s="372" t="s">
        <v>988</v>
      </c>
      <c r="B68" s="398" t="s">
        <v>35</v>
      </c>
      <c r="C68" s="56" t="s">
        <v>989</v>
      </c>
      <c r="D68" s="57">
        <v>1.03</v>
      </c>
      <c r="E68" s="58"/>
      <c r="F68" s="59">
        <v>11022.0</v>
      </c>
      <c r="G68" s="117" t="s">
        <v>40</v>
      </c>
      <c r="H68" s="126"/>
      <c r="I68" s="126" t="s">
        <v>79</v>
      </c>
    </row>
    <row r="69" ht="15.75" customHeight="1">
      <c r="A69" s="372" t="s">
        <v>990</v>
      </c>
      <c r="B69" s="398" t="s">
        <v>35</v>
      </c>
      <c r="C69" s="56" t="s">
        <v>991</v>
      </c>
      <c r="D69" s="57">
        <v>1.13</v>
      </c>
      <c r="E69" s="58"/>
      <c r="F69" s="59">
        <v>9582.4</v>
      </c>
      <c r="G69" s="117" t="s">
        <v>992</v>
      </c>
      <c r="H69" s="126"/>
      <c r="I69" s="126"/>
    </row>
    <row r="70" ht="15.75" customHeight="1">
      <c r="A70" s="372" t="s">
        <v>993</v>
      </c>
      <c r="B70" s="398" t="s">
        <v>994</v>
      </c>
      <c r="C70" s="56" t="s">
        <v>995</v>
      </c>
      <c r="D70" s="57">
        <f>1044.25/424</f>
        <v>2.462853774</v>
      </c>
      <c r="E70" s="58"/>
      <c r="F70" s="59">
        <v>26106.25</v>
      </c>
      <c r="G70" s="117" t="s">
        <v>40</v>
      </c>
      <c r="H70" s="126"/>
      <c r="I70" s="126" t="s">
        <v>79</v>
      </c>
    </row>
    <row r="71" ht="15.75" customHeight="1">
      <c r="A71" s="372" t="s">
        <v>996</v>
      </c>
      <c r="B71" s="398" t="s">
        <v>35</v>
      </c>
      <c r="C71" s="56" t="s">
        <v>997</v>
      </c>
      <c r="D71" s="57">
        <f>438.65/424</f>
        <v>1.034551887</v>
      </c>
      <c r="E71" s="58"/>
      <c r="F71" s="59">
        <v>32898.75</v>
      </c>
      <c r="G71" s="117" t="s">
        <v>40</v>
      </c>
      <c r="H71" s="126"/>
      <c r="I71" s="126" t="s">
        <v>79</v>
      </c>
    </row>
    <row r="72" ht="15.75" customHeight="1">
      <c r="A72" s="372" t="s">
        <v>998</v>
      </c>
      <c r="B72" s="398" t="s">
        <v>878</v>
      </c>
      <c r="C72" s="56" t="s">
        <v>999</v>
      </c>
      <c r="D72" s="57">
        <f>2005.13/424</f>
        <v>4.729080189</v>
      </c>
      <c r="E72" s="58"/>
      <c r="F72" s="59">
        <v>100256.5</v>
      </c>
      <c r="G72" s="117" t="s">
        <v>40</v>
      </c>
      <c r="H72" s="126" t="s">
        <v>134</v>
      </c>
      <c r="I72" s="126" t="s">
        <v>1001</v>
      </c>
    </row>
    <row r="73" ht="15.75" customHeight="1">
      <c r="A73" s="372" t="s">
        <v>1002</v>
      </c>
      <c r="B73" s="398" t="s">
        <v>35</v>
      </c>
      <c r="C73" s="56" t="s">
        <v>1003</v>
      </c>
      <c r="D73" s="57">
        <f>1800/424</f>
        <v>4.245283019</v>
      </c>
      <c r="E73" s="58"/>
      <c r="F73" s="59">
        <v>45000.0</v>
      </c>
      <c r="G73" s="117" t="s">
        <v>40</v>
      </c>
      <c r="H73" s="126" t="s">
        <v>134</v>
      </c>
      <c r="I73" s="126" t="s">
        <v>79</v>
      </c>
    </row>
    <row r="74" ht="15.75" customHeight="1">
      <c r="A74" s="372" t="s">
        <v>1007</v>
      </c>
      <c r="B74" s="479" t="s">
        <v>1008</v>
      </c>
      <c r="C74" s="56" t="s">
        <v>1009</v>
      </c>
      <c r="D74" s="57">
        <v>0.47</v>
      </c>
      <c r="E74" s="58"/>
      <c r="F74" s="59">
        <v>5000.0</v>
      </c>
      <c r="G74" s="117" t="s">
        <v>40</v>
      </c>
      <c r="H74" s="126"/>
      <c r="I74" s="126" t="s">
        <v>201</v>
      </c>
    </row>
    <row r="75" ht="15.75" customHeight="1">
      <c r="A75" s="372" t="s">
        <v>1007</v>
      </c>
      <c r="B75" s="400" t="s">
        <v>1010</v>
      </c>
      <c r="C75" s="56" t="s">
        <v>1011</v>
      </c>
      <c r="D75" s="57">
        <v>0.548</v>
      </c>
      <c r="E75" s="58"/>
      <c r="F75" s="59">
        <v>5800.0</v>
      </c>
      <c r="G75" s="117" t="s">
        <v>40</v>
      </c>
      <c r="H75" s="126"/>
      <c r="I75" s="126" t="s">
        <v>201</v>
      </c>
    </row>
    <row r="76" ht="15.75" customHeight="1">
      <c r="A76" s="372" t="s">
        <v>1007</v>
      </c>
      <c r="B76" s="400" t="s">
        <v>1012</v>
      </c>
      <c r="C76" s="56" t="s">
        <v>1013</v>
      </c>
      <c r="D76" s="57">
        <v>0.41</v>
      </c>
      <c r="E76" s="58"/>
      <c r="F76" s="59">
        <v>4350.0</v>
      </c>
      <c r="G76" s="117" t="s">
        <v>40</v>
      </c>
      <c r="H76" s="126"/>
      <c r="I76" s="126" t="s">
        <v>201</v>
      </c>
    </row>
    <row r="77" ht="15.75" customHeight="1">
      <c r="A77" s="362" t="s">
        <v>1014</v>
      </c>
      <c r="B77" s="457" t="s">
        <v>35</v>
      </c>
      <c r="C77" s="43" t="s">
        <v>1015</v>
      </c>
      <c r="D77" s="45">
        <f>868.5/424</f>
        <v>2.048349057</v>
      </c>
      <c r="E77" s="47"/>
      <c r="F77" s="50">
        <v>17370.0</v>
      </c>
      <c r="G77" s="132" t="s">
        <v>40</v>
      </c>
      <c r="H77" s="139"/>
      <c r="I77" s="139" t="s">
        <v>1016</v>
      </c>
    </row>
    <row r="78" ht="15.75" customHeight="1">
      <c r="A78" s="372" t="s">
        <v>1017</v>
      </c>
      <c r="B78" s="385" t="s">
        <v>1018</v>
      </c>
      <c r="C78" s="56" t="s">
        <v>1019</v>
      </c>
      <c r="D78" s="57">
        <v>1.817</v>
      </c>
      <c r="E78" s="58"/>
      <c r="F78" s="59">
        <v>10825.0</v>
      </c>
      <c r="G78" s="117" t="s">
        <v>40</v>
      </c>
      <c r="H78" s="126"/>
      <c r="I78" s="126" t="s">
        <v>1020</v>
      </c>
    </row>
    <row r="79" ht="15.75" customHeight="1">
      <c r="A79" s="494" t="s">
        <v>200</v>
      </c>
      <c r="B79" s="496" t="s">
        <v>904</v>
      </c>
      <c r="C79" s="108"/>
      <c r="D79" s="111">
        <f>SUM(D8:D78)</f>
        <v>73.21385377</v>
      </c>
      <c r="E79" s="111"/>
      <c r="F79" s="114">
        <f>SUM(F8:F78)</f>
        <v>900102.91</v>
      </c>
      <c r="G79" s="108"/>
      <c r="H79" s="108"/>
      <c r="I79" s="108"/>
    </row>
    <row r="80" ht="15.75" customHeight="1">
      <c r="A80" s="35" t="s">
        <v>30</v>
      </c>
      <c r="B80" s="27"/>
      <c r="C80" s="27"/>
      <c r="D80" s="27"/>
      <c r="E80" s="27"/>
      <c r="F80" s="27"/>
      <c r="G80" s="27"/>
      <c r="H80" s="27"/>
      <c r="I80" s="28"/>
    </row>
    <row r="81" ht="15.75" customHeight="1">
      <c r="A81" s="362" t="s">
        <v>1027</v>
      </c>
      <c r="B81" s="43" t="s">
        <v>35</v>
      </c>
      <c r="C81" s="43" t="s">
        <v>262</v>
      </c>
      <c r="D81" s="45">
        <f>400/424</f>
        <v>0.9433962264</v>
      </c>
      <c r="E81" s="47"/>
      <c r="F81" s="50">
        <v>12000.0</v>
      </c>
      <c r="G81" s="43" t="s">
        <v>1031</v>
      </c>
      <c r="H81" s="43"/>
      <c r="I81" s="43" t="s">
        <v>1032</v>
      </c>
    </row>
    <row r="82" ht="15.75" customHeight="1">
      <c r="A82" s="372" t="s">
        <v>1035</v>
      </c>
      <c r="B82" s="400" t="s">
        <v>1036</v>
      </c>
      <c r="C82" s="56" t="s">
        <v>1038</v>
      </c>
      <c r="D82" s="57">
        <f>318/424</f>
        <v>0.75</v>
      </c>
      <c r="E82" s="58"/>
      <c r="F82" s="59">
        <v>11100.0</v>
      </c>
      <c r="G82" s="56" t="s">
        <v>1041</v>
      </c>
      <c r="H82" s="56"/>
      <c r="I82" s="56" t="s">
        <v>1043</v>
      </c>
    </row>
    <row r="83" ht="15.75" customHeight="1">
      <c r="A83" s="504" t="s">
        <v>1047</v>
      </c>
      <c r="B83" s="507"/>
      <c r="C83" s="510" t="s">
        <v>904</v>
      </c>
      <c r="D83" s="515">
        <f>162/424</f>
        <v>0.3820754717</v>
      </c>
      <c r="E83" s="518"/>
      <c r="F83" s="521">
        <v>3240.0</v>
      </c>
      <c r="G83" s="510" t="s">
        <v>1041</v>
      </c>
      <c r="H83" s="510"/>
      <c r="I83" s="510" t="s">
        <v>1069</v>
      </c>
    </row>
    <row r="84" ht="15.75" customHeight="1">
      <c r="A84" s="504" t="s">
        <v>1070</v>
      </c>
      <c r="B84" s="507"/>
      <c r="C84" s="510" t="s">
        <v>1071</v>
      </c>
      <c r="D84" s="515">
        <f>218/424</f>
        <v>0.5141509434</v>
      </c>
      <c r="E84" s="518"/>
      <c r="F84" s="521">
        <v>8720.0</v>
      </c>
      <c r="G84" s="510" t="s">
        <v>1041</v>
      </c>
      <c r="H84" s="510"/>
      <c r="I84" s="510" t="s">
        <v>1072</v>
      </c>
    </row>
    <row r="85" ht="15.75" customHeight="1">
      <c r="A85" s="504" t="s">
        <v>1073</v>
      </c>
      <c r="B85" s="507" t="s">
        <v>35</v>
      </c>
      <c r="C85" s="510" t="s">
        <v>1074</v>
      </c>
      <c r="D85" s="515">
        <f>964/424</f>
        <v>2.273584906</v>
      </c>
      <c r="E85" s="518"/>
      <c r="F85" s="521">
        <v>48558.8</v>
      </c>
      <c r="G85" s="510" t="s">
        <v>1041</v>
      </c>
      <c r="H85" s="510"/>
      <c r="I85" s="510" t="s">
        <v>1077</v>
      </c>
    </row>
    <row r="86" ht="15.75" customHeight="1">
      <c r="A86" s="372" t="s">
        <v>1078</v>
      </c>
      <c r="B86" s="400" t="s">
        <v>1079</v>
      </c>
      <c r="C86" s="56" t="s">
        <v>1080</v>
      </c>
      <c r="D86" s="57">
        <f>522/424</f>
        <v>1.231132075</v>
      </c>
      <c r="E86" s="58"/>
      <c r="F86" s="59">
        <v>19040.0</v>
      </c>
      <c r="G86" s="56" t="s">
        <v>1041</v>
      </c>
      <c r="H86" s="56"/>
      <c r="I86" s="56" t="s">
        <v>1081</v>
      </c>
    </row>
    <row r="87" ht="15.75" customHeight="1">
      <c r="A87" s="527" t="s">
        <v>1082</v>
      </c>
      <c r="B87" s="457" t="s">
        <v>1084</v>
      </c>
      <c r="C87" s="43" t="s">
        <v>1085</v>
      </c>
      <c r="D87" s="45">
        <f>167/424</f>
        <v>0.3938679245</v>
      </c>
      <c r="E87" s="47"/>
      <c r="F87" s="50">
        <v>5010.0</v>
      </c>
      <c r="G87" s="43" t="s">
        <v>1041</v>
      </c>
      <c r="H87" s="43"/>
      <c r="I87" s="226" t="s">
        <v>1089</v>
      </c>
      <c r="J87" s="285" t="s">
        <v>1091</v>
      </c>
    </row>
    <row r="88" ht="15.75" customHeight="1">
      <c r="A88" s="31"/>
      <c r="B88" s="457" t="s">
        <v>1092</v>
      </c>
      <c r="C88" s="43" t="s">
        <v>1093</v>
      </c>
      <c r="D88" s="45">
        <v>0.578</v>
      </c>
      <c r="E88" s="47"/>
      <c r="F88" s="50">
        <v>9800.0</v>
      </c>
      <c r="G88" s="43" t="s">
        <v>1041</v>
      </c>
      <c r="H88" s="43"/>
      <c r="I88" s="31"/>
    </row>
    <row r="89" ht="15.75" customHeight="1">
      <c r="A89" s="533">
        <v>42941.0</v>
      </c>
      <c r="B89" s="457"/>
      <c r="C89" s="43" t="s">
        <v>1096</v>
      </c>
      <c r="D89" s="45"/>
      <c r="E89" s="45">
        <v>167.0</v>
      </c>
      <c r="F89" s="50"/>
      <c r="G89" s="43"/>
      <c r="H89" s="43"/>
      <c r="I89" s="534" t="s">
        <v>1097</v>
      </c>
    </row>
    <row r="90" ht="15.75" customHeight="1">
      <c r="A90" s="535" t="s">
        <v>1098</v>
      </c>
      <c r="B90" s="457" t="s">
        <v>35</v>
      </c>
      <c r="C90" s="43" t="s">
        <v>1099</v>
      </c>
      <c r="D90" s="45">
        <f>680/424</f>
        <v>1.603773585</v>
      </c>
      <c r="E90" s="47"/>
      <c r="F90" s="50">
        <v>27200.0</v>
      </c>
      <c r="G90" s="43" t="s">
        <v>1041</v>
      </c>
      <c r="H90" s="43"/>
      <c r="I90" s="43" t="s">
        <v>1102</v>
      </c>
    </row>
    <row r="91" ht="15.75" customHeight="1">
      <c r="A91" s="535" t="s">
        <v>1103</v>
      </c>
      <c r="B91" s="457" t="s">
        <v>35</v>
      </c>
      <c r="C91" s="43" t="s">
        <v>1104</v>
      </c>
      <c r="D91" s="45">
        <f>362/424</f>
        <v>0.8537735849</v>
      </c>
      <c r="E91" s="47"/>
      <c r="F91" s="50">
        <v>12693.0</v>
      </c>
      <c r="G91" s="43" t="s">
        <v>1041</v>
      </c>
      <c r="H91" s="43"/>
      <c r="I91" s="43" t="s">
        <v>1105</v>
      </c>
    </row>
    <row r="92" ht="15.75" customHeight="1">
      <c r="A92" s="535" t="s">
        <v>1106</v>
      </c>
      <c r="B92" s="402" t="s">
        <v>1107</v>
      </c>
      <c r="C92" s="43" t="s">
        <v>755</v>
      </c>
      <c r="D92" s="45">
        <v>0.342</v>
      </c>
      <c r="E92" s="47"/>
      <c r="F92" s="50">
        <v>12693.0</v>
      </c>
      <c r="G92" s="43" t="s">
        <v>1041</v>
      </c>
      <c r="H92" s="43" t="s">
        <v>656</v>
      </c>
      <c r="I92" s="43" t="s">
        <v>1108</v>
      </c>
    </row>
    <row r="93" ht="15.75" customHeight="1">
      <c r="A93" s="494" t="s">
        <v>200</v>
      </c>
      <c r="B93" s="143"/>
      <c r="C93" s="143"/>
      <c r="D93" s="111">
        <f>SUM(D81:D92)</f>
        <v>9.865754717</v>
      </c>
      <c r="E93" s="145"/>
      <c r="F93" s="146">
        <f>SUM(F81:F92)</f>
        <v>170054.8</v>
      </c>
      <c r="G93" s="185"/>
      <c r="H93" s="150"/>
      <c r="I93" s="351"/>
    </row>
    <row r="94" ht="15.75" customHeight="1">
      <c r="A94" s="35" t="s">
        <v>312</v>
      </c>
      <c r="B94" s="27"/>
      <c r="C94" s="27"/>
      <c r="D94" s="27"/>
      <c r="E94" s="27"/>
      <c r="F94" s="27"/>
      <c r="G94" s="27"/>
      <c r="H94" s="27"/>
      <c r="I94" s="28"/>
    </row>
    <row r="95" ht="15.75" customHeight="1">
      <c r="A95" s="543" t="s">
        <v>1113</v>
      </c>
      <c r="B95" s="132" t="s">
        <v>35</v>
      </c>
      <c r="C95" s="132" t="s">
        <v>1117</v>
      </c>
      <c r="D95" s="219">
        <v>4.478</v>
      </c>
      <c r="E95" s="543"/>
      <c r="F95" s="545">
        <v>75956.0</v>
      </c>
      <c r="G95" s="543" t="s">
        <v>1127</v>
      </c>
      <c r="H95" s="132" t="s">
        <v>383</v>
      </c>
      <c r="I95" s="132" t="s">
        <v>1128</v>
      </c>
    </row>
    <row r="96" ht="15.75" customHeight="1">
      <c r="A96" s="548" t="s">
        <v>1129</v>
      </c>
      <c r="B96" s="355" t="s">
        <v>1134</v>
      </c>
      <c r="C96" s="238" t="s">
        <v>1138</v>
      </c>
      <c r="D96" s="550">
        <v>4.167</v>
      </c>
      <c r="E96" s="224"/>
      <c r="F96" s="552">
        <v>28272.0</v>
      </c>
      <c r="G96" s="238" t="s">
        <v>40</v>
      </c>
      <c r="H96" s="238" t="s">
        <v>722</v>
      </c>
      <c r="I96" s="556" t="s">
        <v>1159</v>
      </c>
    </row>
    <row r="97" ht="54.75" customHeight="1">
      <c r="A97" s="31"/>
      <c r="B97" s="355" t="s">
        <v>1167</v>
      </c>
      <c r="C97" s="31"/>
      <c r="D97" s="31"/>
      <c r="E97" s="224"/>
      <c r="F97" s="31"/>
      <c r="G97" s="31"/>
      <c r="H97" s="31"/>
      <c r="I97" s="31"/>
    </row>
    <row r="98" ht="15.75" customHeight="1">
      <c r="A98" s="558" t="s">
        <v>1169</v>
      </c>
      <c r="B98" s="560" t="s">
        <v>1170</v>
      </c>
      <c r="C98" s="167" t="s">
        <v>1171</v>
      </c>
      <c r="D98" s="179">
        <v>2.16</v>
      </c>
      <c r="E98" s="162"/>
      <c r="F98" s="564">
        <v>27599.0</v>
      </c>
      <c r="G98" s="117" t="s">
        <v>1127</v>
      </c>
      <c r="H98" s="167" t="s">
        <v>1173</v>
      </c>
      <c r="I98" s="117" t="s">
        <v>1174</v>
      </c>
    </row>
    <row r="99" ht="15.75" customHeight="1">
      <c r="A99" s="567" t="s">
        <v>1175</v>
      </c>
      <c r="B99" s="355" t="s">
        <v>1183</v>
      </c>
      <c r="C99" s="571" t="s">
        <v>1184</v>
      </c>
      <c r="D99" s="576">
        <f>464.28/424</f>
        <v>1.095</v>
      </c>
      <c r="E99" s="224"/>
      <c r="F99" s="578">
        <v>13928.4</v>
      </c>
      <c r="G99" s="581" t="s">
        <v>40</v>
      </c>
      <c r="H99" s="571" t="s">
        <v>702</v>
      </c>
      <c r="I99" s="584" t="s">
        <v>1193</v>
      </c>
    </row>
    <row r="100" ht="15.75" customHeight="1">
      <c r="A100" s="567" t="s">
        <v>1204</v>
      </c>
      <c r="B100" s="219" t="s">
        <v>339</v>
      </c>
      <c r="C100" s="219" t="s">
        <v>1205</v>
      </c>
      <c r="D100" s="587">
        <v>0.479</v>
      </c>
      <c r="E100" s="224"/>
      <c r="F100" s="545">
        <v>6099.0</v>
      </c>
      <c r="G100" s="224" t="s">
        <v>40</v>
      </c>
      <c r="H100" s="219" t="s">
        <v>1212</v>
      </c>
      <c r="I100" s="40" t="s">
        <v>1213</v>
      </c>
    </row>
    <row r="101" ht="15.75" customHeight="1">
      <c r="A101" s="590" t="s">
        <v>200</v>
      </c>
      <c r="B101" s="27"/>
      <c r="C101" s="28"/>
      <c r="D101" s="111">
        <f>SUM(D95:D100)</f>
        <v>12.379</v>
      </c>
      <c r="E101" s="114"/>
      <c r="F101" s="184">
        <f>SUM(F95:F100)</f>
        <v>151854.4</v>
      </c>
      <c r="G101" s="595"/>
      <c r="H101" s="186"/>
      <c r="I101" s="370"/>
    </row>
    <row r="102" ht="15.75" customHeight="1">
      <c r="A102" s="601" t="s">
        <v>390</v>
      </c>
      <c r="B102" s="27"/>
      <c r="C102" s="27"/>
      <c r="D102" s="27"/>
      <c r="E102" s="27"/>
      <c r="F102" s="27"/>
      <c r="G102" s="27"/>
      <c r="H102" s="27"/>
      <c r="I102" s="28"/>
    </row>
    <row r="103" ht="15.75" customHeight="1">
      <c r="A103" s="605" t="s">
        <v>1231</v>
      </c>
      <c r="B103" s="605" t="s">
        <v>1236</v>
      </c>
      <c r="C103" s="605"/>
      <c r="D103" s="201">
        <f>1490/424</f>
        <v>3.514150943</v>
      </c>
      <c r="E103" s="201"/>
      <c r="F103" s="206">
        <f t="shared" ref="F103:F105" si="2">10918*D103</f>
        <v>38367.5</v>
      </c>
      <c r="G103" s="167" t="s">
        <v>1238</v>
      </c>
      <c r="H103" s="203" t="s">
        <v>1239</v>
      </c>
      <c r="I103" s="56" t="s">
        <v>1240</v>
      </c>
    </row>
    <row r="104" ht="15.75" customHeight="1">
      <c r="A104" s="605" t="s">
        <v>1241</v>
      </c>
      <c r="B104" s="605" t="s">
        <v>35</v>
      </c>
      <c r="C104" s="605" t="s">
        <v>755</v>
      </c>
      <c r="D104" s="201">
        <f>1510/424</f>
        <v>3.561320755</v>
      </c>
      <c r="E104" s="201"/>
      <c r="F104" s="206">
        <f t="shared" si="2"/>
        <v>38882.5</v>
      </c>
      <c r="G104" s="167" t="s">
        <v>1246</v>
      </c>
      <c r="H104" s="203" t="s">
        <v>1247</v>
      </c>
      <c r="I104" s="56" t="s">
        <v>1240</v>
      </c>
    </row>
    <row r="105" ht="15.75" customHeight="1">
      <c r="A105" s="611" t="s">
        <v>1248</v>
      </c>
      <c r="B105" s="611" t="s">
        <v>35</v>
      </c>
      <c r="C105" s="611" t="s">
        <v>755</v>
      </c>
      <c r="D105" s="614">
        <f>1622/424</f>
        <v>3.825471698</v>
      </c>
      <c r="E105" s="614"/>
      <c r="F105" s="618">
        <f t="shared" si="2"/>
        <v>41766.5</v>
      </c>
      <c r="G105" s="621"/>
      <c r="H105" s="625"/>
      <c r="I105" s="626" t="s">
        <v>1280</v>
      </c>
    </row>
    <row r="106" ht="15.75" customHeight="1">
      <c r="A106" s="611" t="s">
        <v>1281</v>
      </c>
      <c r="B106" s="611" t="s">
        <v>35</v>
      </c>
      <c r="C106" s="630" t="s">
        <v>1282</v>
      </c>
      <c r="D106" s="614">
        <v>0.49</v>
      </c>
      <c r="E106" s="614"/>
      <c r="F106" s="618">
        <v>5350.0</v>
      </c>
      <c r="G106" s="635" t="s">
        <v>1285</v>
      </c>
      <c r="H106" s="637" t="s">
        <v>1292</v>
      </c>
      <c r="I106" s="641" t="s">
        <v>1294</v>
      </c>
    </row>
    <row r="107" ht="15.75" customHeight="1">
      <c r="A107" s="611" t="s">
        <v>1299</v>
      </c>
      <c r="B107" s="645" t="s">
        <v>35</v>
      </c>
      <c r="C107" s="31"/>
      <c r="D107" s="614">
        <v>1.05</v>
      </c>
      <c r="E107" s="614"/>
      <c r="F107" s="618">
        <v>11350.0</v>
      </c>
      <c r="G107" s="31"/>
      <c r="H107" s="31"/>
      <c r="I107" s="31"/>
    </row>
    <row r="108" ht="15.75" customHeight="1">
      <c r="A108" s="558"/>
      <c r="B108" s="157" t="s">
        <v>1304</v>
      </c>
      <c r="C108" s="117"/>
      <c r="D108" s="160"/>
      <c r="E108" s="162"/>
      <c r="F108" s="164"/>
      <c r="G108" s="117" t="s">
        <v>1307</v>
      </c>
      <c r="H108" s="649"/>
      <c r="I108" s="56" t="s">
        <v>1316</v>
      </c>
    </row>
    <row r="109" ht="64.5" customHeight="1">
      <c r="A109" s="605" t="s">
        <v>1317</v>
      </c>
      <c r="B109" s="651" t="s">
        <v>1318</v>
      </c>
      <c r="C109" s="605" t="s">
        <v>1320</v>
      </c>
      <c r="D109" s="201">
        <f>1000/424</f>
        <v>2.358490566</v>
      </c>
      <c r="E109" s="201"/>
      <c r="F109" s="206">
        <f>10918*D109</f>
        <v>25750</v>
      </c>
      <c r="G109" s="167" t="s">
        <v>1323</v>
      </c>
      <c r="H109" s="203"/>
      <c r="I109" s="77" t="s">
        <v>1324</v>
      </c>
      <c r="J109" s="658" t="s">
        <v>1325</v>
      </c>
    </row>
    <row r="110" ht="15.75" customHeight="1">
      <c r="A110" s="662" t="s">
        <v>200</v>
      </c>
      <c r="B110" s="662"/>
      <c r="C110" s="662"/>
      <c r="D110" s="214">
        <f>SUM(D103:D109)</f>
        <v>14.79943396</v>
      </c>
      <c r="E110" s="215"/>
      <c r="F110" s="114">
        <f>SUM(F103:F109)</f>
        <v>161466.5</v>
      </c>
      <c r="G110" s="664"/>
      <c r="H110" s="667"/>
      <c r="I110" s="671"/>
    </row>
    <row r="111" ht="15.75" customHeight="1">
      <c r="A111" s="601" t="s">
        <v>456</v>
      </c>
      <c r="B111" s="27"/>
      <c r="C111" s="27"/>
      <c r="D111" s="27"/>
      <c r="E111" s="27"/>
      <c r="F111" s="27"/>
      <c r="G111" s="27"/>
      <c r="H111" s="27"/>
      <c r="I111" s="28"/>
    </row>
    <row r="112" ht="15.75" customHeight="1">
      <c r="A112" s="676" t="s">
        <v>1338</v>
      </c>
      <c r="B112" s="355" t="s">
        <v>1345</v>
      </c>
      <c r="C112" s="132" t="s">
        <v>1346</v>
      </c>
      <c r="D112" s="221">
        <v>8.225</v>
      </c>
      <c r="E112" s="224"/>
      <c r="F112" s="227">
        <v>63000.0</v>
      </c>
      <c r="G112" s="219" t="s">
        <v>40</v>
      </c>
      <c r="H112" s="681"/>
      <c r="I112" s="43" t="s">
        <v>1365</v>
      </c>
    </row>
    <row r="113" ht="15.75" customHeight="1">
      <c r="A113" s="686" t="s">
        <v>1366</v>
      </c>
      <c r="B113" s="167" t="s">
        <v>1370</v>
      </c>
      <c r="C113" s="117" t="s">
        <v>755</v>
      </c>
      <c r="D113" s="160">
        <f>1072.47/424</f>
        <v>2.529410377</v>
      </c>
      <c r="E113" s="162"/>
      <c r="F113" s="164">
        <v>19308.76</v>
      </c>
      <c r="G113" s="167" t="s">
        <v>40</v>
      </c>
      <c r="H113" s="649" t="s">
        <v>1371</v>
      </c>
      <c r="I113" s="61" t="s">
        <v>1372</v>
      </c>
    </row>
    <row r="114" ht="15.75" customHeight="1">
      <c r="A114" s="686" t="s">
        <v>1373</v>
      </c>
      <c r="B114" s="692" t="s">
        <v>1374</v>
      </c>
      <c r="C114" s="117" t="s">
        <v>1399</v>
      </c>
      <c r="D114" s="160">
        <v>1.24</v>
      </c>
      <c r="E114" s="162"/>
      <c r="F114" s="164">
        <v>9446.46</v>
      </c>
      <c r="G114" s="167" t="s">
        <v>40</v>
      </c>
      <c r="H114" s="649" t="s">
        <v>1371</v>
      </c>
      <c r="I114" s="61" t="s">
        <v>1372</v>
      </c>
    </row>
    <row r="115" ht="15.75" customHeight="1">
      <c r="A115" s="686" t="s">
        <v>1402</v>
      </c>
      <c r="B115" s="694" t="s">
        <v>1406</v>
      </c>
      <c r="C115" s="117" t="s">
        <v>1416</v>
      </c>
      <c r="D115" s="160">
        <v>1.31</v>
      </c>
      <c r="E115" s="162"/>
      <c r="F115" s="164">
        <v>9992.17</v>
      </c>
      <c r="G115" s="167" t="s">
        <v>40</v>
      </c>
      <c r="H115" s="649" t="s">
        <v>1371</v>
      </c>
      <c r="I115" s="61" t="s">
        <v>1417</v>
      </c>
    </row>
    <row r="116" ht="15.75" customHeight="1">
      <c r="A116" s="686" t="s">
        <v>1402</v>
      </c>
      <c r="B116" s="697" t="s">
        <v>1418</v>
      </c>
      <c r="C116" s="117" t="s">
        <v>1422</v>
      </c>
      <c r="D116" s="160">
        <v>0.8</v>
      </c>
      <c r="E116" s="162"/>
      <c r="F116" s="164">
        <v>6161.94</v>
      </c>
      <c r="G116" s="167" t="s">
        <v>40</v>
      </c>
      <c r="H116" s="649" t="s">
        <v>1371</v>
      </c>
      <c r="I116" s="56" t="s">
        <v>1423</v>
      </c>
    </row>
    <row r="117" ht="15.75" customHeight="1">
      <c r="A117" s="676" t="s">
        <v>1424</v>
      </c>
      <c r="B117" s="355" t="s">
        <v>1425</v>
      </c>
      <c r="C117" s="132" t="s">
        <v>1426</v>
      </c>
      <c r="D117" s="221">
        <v>0.31</v>
      </c>
      <c r="E117" s="224"/>
      <c r="F117" s="227">
        <v>3150.0</v>
      </c>
      <c r="G117" s="219" t="s">
        <v>1429</v>
      </c>
      <c r="H117" s="681" t="s">
        <v>1430</v>
      </c>
      <c r="I117" s="43" t="s">
        <v>1431</v>
      </c>
    </row>
    <row r="118" ht="15.75" customHeight="1">
      <c r="A118" s="701" t="s">
        <v>1432</v>
      </c>
      <c r="B118" s="704" t="s">
        <v>1440</v>
      </c>
      <c r="C118" s="708"/>
      <c r="D118" s="710">
        <f>SUM(D112:D117)</f>
        <v>14.41441038</v>
      </c>
      <c r="E118" s="711"/>
      <c r="F118" s="714"/>
      <c r="G118" s="719" t="s">
        <v>1455</v>
      </c>
      <c r="H118" s="722"/>
      <c r="I118" s="725" t="s">
        <v>1516</v>
      </c>
    </row>
    <row r="119" ht="15.75" customHeight="1">
      <c r="A119" s="728" t="s">
        <v>200</v>
      </c>
      <c r="B119" s="732"/>
      <c r="C119" s="732"/>
      <c r="D119" s="734">
        <f>SUM(D112:D118)</f>
        <v>28.82882075</v>
      </c>
      <c r="E119" s="737"/>
      <c r="F119" s="740">
        <f>SUM(F112:F118)</f>
        <v>111059.33</v>
      </c>
      <c r="G119" s="743"/>
      <c r="H119" s="744"/>
      <c r="I119" s="746"/>
      <c r="J119" s="749"/>
    </row>
    <row r="120" ht="15.75" customHeight="1">
      <c r="A120" s="751" t="s">
        <v>747</v>
      </c>
      <c r="B120" s="351"/>
      <c r="C120" s="351"/>
      <c r="D120" s="274">
        <f>D119+D110+D101+D93+D79</f>
        <v>139.0868632</v>
      </c>
      <c r="E120" s="351"/>
      <c r="F120" s="277">
        <f>F119+F110+F101+F93+F79</f>
        <v>1494537.94</v>
      </c>
      <c r="G120" s="351"/>
      <c r="H120" s="351"/>
      <c r="I120" s="351"/>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G47:G48"/>
    <mergeCell ref="H47:H48"/>
    <mergeCell ref="G49:G50"/>
    <mergeCell ref="H49:H50"/>
    <mergeCell ref="I49:I50"/>
    <mergeCell ref="B45:B46"/>
    <mergeCell ref="G45:G46"/>
    <mergeCell ref="H45:H46"/>
    <mergeCell ref="I45:I46"/>
    <mergeCell ref="B47:B48"/>
    <mergeCell ref="I47:I48"/>
    <mergeCell ref="A80:I80"/>
    <mergeCell ref="G27:G28"/>
    <mergeCell ref="G32:G33"/>
    <mergeCell ref="H32:H33"/>
    <mergeCell ref="I32:I33"/>
    <mergeCell ref="I87:I88"/>
    <mergeCell ref="A45:A46"/>
    <mergeCell ref="A87:A88"/>
    <mergeCell ref="A94:I94"/>
    <mergeCell ref="A96:A97"/>
    <mergeCell ref="D96:D97"/>
    <mergeCell ref="F96:F97"/>
    <mergeCell ref="I96:I97"/>
    <mergeCell ref="A1:I1"/>
    <mergeCell ref="A2:I2"/>
    <mergeCell ref="A3:I3"/>
    <mergeCell ref="A4:I4"/>
    <mergeCell ref="A5:A6"/>
    <mergeCell ref="B5:B6"/>
    <mergeCell ref="I5:I6"/>
    <mergeCell ref="C5:F5"/>
    <mergeCell ref="A7:I7"/>
    <mergeCell ref="B11:B12"/>
    <mergeCell ref="F11:F12"/>
    <mergeCell ref="G11:G12"/>
    <mergeCell ref="H11:H12"/>
    <mergeCell ref="I11:I12"/>
    <mergeCell ref="G5:G6"/>
    <mergeCell ref="H5:H6"/>
    <mergeCell ref="G21:G22"/>
    <mergeCell ref="H21:H22"/>
    <mergeCell ref="I21:I22"/>
    <mergeCell ref="F27:F28"/>
    <mergeCell ref="I27:I28"/>
    <mergeCell ref="A11:A12"/>
    <mergeCell ref="A21:A22"/>
    <mergeCell ref="B21:B22"/>
    <mergeCell ref="A27:A28"/>
    <mergeCell ref="B27:B28"/>
    <mergeCell ref="A32:A33"/>
    <mergeCell ref="B32:B33"/>
    <mergeCell ref="A47:A48"/>
    <mergeCell ref="A49:A50"/>
    <mergeCell ref="B49:B50"/>
    <mergeCell ref="G96:G97"/>
    <mergeCell ref="H96:H97"/>
    <mergeCell ref="C96:C97"/>
    <mergeCell ref="A101:C101"/>
    <mergeCell ref="A102:I102"/>
    <mergeCell ref="C106:C107"/>
    <mergeCell ref="G106:G107"/>
    <mergeCell ref="H106:H107"/>
    <mergeCell ref="I106:I107"/>
    <mergeCell ref="A111:I11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30.0"/>
    <col customWidth="1" min="3" max="3" width="28.0"/>
    <col customWidth="1" min="4" max="4" width="33.0"/>
    <col customWidth="1" min="5" max="5" width="25.0"/>
    <col customWidth="1" min="6" max="6" width="36.88"/>
    <col customWidth="1" min="7" max="7" width="32.63"/>
    <col customWidth="1" min="8" max="8" width="38.88"/>
    <col customWidth="1" min="9" max="9" width="40.75"/>
    <col customWidth="1" min="10" max="10" width="22.25"/>
    <col customWidth="1" min="11" max="11" width="8.63"/>
  </cols>
  <sheetData>
    <row r="1">
      <c r="A1" s="314" t="s">
        <v>0</v>
      </c>
      <c r="J1" s="314"/>
    </row>
    <row r="2">
      <c r="A2" s="314" t="s">
        <v>3</v>
      </c>
      <c r="J2" s="314"/>
    </row>
    <row r="3">
      <c r="A3" s="318" t="s">
        <v>816</v>
      </c>
      <c r="J3" s="318"/>
    </row>
    <row r="4" ht="15.0" customHeight="1">
      <c r="A4" s="420" t="s">
        <v>16</v>
      </c>
      <c r="B4" s="421" t="s">
        <v>17</v>
      </c>
      <c r="C4" s="423" t="s">
        <v>18</v>
      </c>
      <c r="D4" s="425"/>
      <c r="E4" s="425"/>
      <c r="F4" s="427"/>
      <c r="G4" s="421" t="s">
        <v>20</v>
      </c>
      <c r="H4" s="421" t="s">
        <v>21</v>
      </c>
      <c r="I4" s="430" t="s">
        <v>22</v>
      </c>
      <c r="J4" s="431"/>
    </row>
    <row r="5" ht="39.0" customHeight="1">
      <c r="A5" s="432"/>
      <c r="B5" s="434"/>
      <c r="C5" s="435" t="s">
        <v>23</v>
      </c>
      <c r="D5" s="435" t="s">
        <v>24</v>
      </c>
      <c r="E5" s="435" t="s">
        <v>25</v>
      </c>
      <c r="F5" s="435" t="s">
        <v>26</v>
      </c>
      <c r="G5" s="434"/>
      <c r="H5" s="434"/>
      <c r="I5" s="437"/>
      <c r="J5" s="431"/>
    </row>
    <row r="6" ht="18.0" customHeight="1">
      <c r="A6" s="438" t="s">
        <v>27</v>
      </c>
      <c r="B6" s="425"/>
      <c r="C6" s="425"/>
      <c r="D6" s="425"/>
      <c r="E6" s="425"/>
      <c r="F6" s="425"/>
      <c r="G6" s="425"/>
      <c r="H6" s="425"/>
      <c r="I6" s="439"/>
      <c r="J6" s="440"/>
    </row>
    <row r="7">
      <c r="A7" s="441" t="s">
        <v>836</v>
      </c>
      <c r="B7" s="442" t="s">
        <v>838</v>
      </c>
      <c r="C7" s="443" t="s">
        <v>841</v>
      </c>
      <c r="D7" s="444">
        <v>0.91</v>
      </c>
      <c r="E7" s="443"/>
      <c r="F7" s="445">
        <v>9597.5</v>
      </c>
      <c r="G7" s="442" t="s">
        <v>346</v>
      </c>
      <c r="H7" s="443"/>
      <c r="I7" s="447" t="s">
        <v>848</v>
      </c>
      <c r="J7" s="448"/>
    </row>
    <row r="8">
      <c r="A8" s="441" t="s">
        <v>860</v>
      </c>
      <c r="B8" s="442" t="s">
        <v>35</v>
      </c>
      <c r="C8" s="443" t="s">
        <v>862</v>
      </c>
      <c r="D8" s="444">
        <v>0.17</v>
      </c>
      <c r="E8" s="443"/>
      <c r="F8" s="449">
        <v>1800.0</v>
      </c>
      <c r="G8" s="442" t="s">
        <v>346</v>
      </c>
      <c r="H8" s="443"/>
      <c r="I8" s="447" t="s">
        <v>848</v>
      </c>
      <c r="J8" s="448"/>
    </row>
    <row r="9">
      <c r="A9" s="441" t="s">
        <v>866</v>
      </c>
      <c r="B9" s="451" t="s">
        <v>837</v>
      </c>
      <c r="C9" s="442" t="s">
        <v>868</v>
      </c>
      <c r="D9" s="444">
        <v>0.36</v>
      </c>
      <c r="E9" s="443"/>
      <c r="F9" s="449">
        <v>3825.0</v>
      </c>
      <c r="G9" s="442" t="s">
        <v>346</v>
      </c>
      <c r="H9" s="443"/>
      <c r="I9" s="447" t="s">
        <v>201</v>
      </c>
      <c r="J9" s="448"/>
    </row>
    <row r="10" ht="137.25" customHeight="1">
      <c r="A10" s="441" t="s">
        <v>870</v>
      </c>
      <c r="B10" s="452" t="s">
        <v>871</v>
      </c>
      <c r="C10" s="442" t="s">
        <v>873</v>
      </c>
      <c r="D10" s="444">
        <v>2.72</v>
      </c>
      <c r="E10" s="442"/>
      <c r="F10" s="449">
        <v>42995.2</v>
      </c>
      <c r="G10" s="442" t="s">
        <v>346</v>
      </c>
      <c r="H10" s="442" t="s">
        <v>874</v>
      </c>
      <c r="I10" s="453" t="s">
        <v>875</v>
      </c>
      <c r="J10" s="448"/>
      <c r="K10" s="392"/>
    </row>
    <row r="11">
      <c r="A11" s="441" t="s">
        <v>877</v>
      </c>
      <c r="B11" s="454" t="s">
        <v>878</v>
      </c>
      <c r="C11" s="442" t="s">
        <v>879</v>
      </c>
      <c r="D11" s="444">
        <v>0.16</v>
      </c>
      <c r="E11" s="442"/>
      <c r="F11" s="449">
        <v>1700.0</v>
      </c>
      <c r="G11" s="442" t="s">
        <v>880</v>
      </c>
      <c r="H11" s="442" t="s">
        <v>881</v>
      </c>
      <c r="I11" s="447" t="s">
        <v>883</v>
      </c>
      <c r="J11" s="448"/>
    </row>
    <row r="12">
      <c r="A12" s="441" t="s">
        <v>884</v>
      </c>
      <c r="B12" s="454" t="s">
        <v>35</v>
      </c>
      <c r="C12" s="442" t="s">
        <v>885</v>
      </c>
      <c r="D12" s="444">
        <v>1.7</v>
      </c>
      <c r="E12" s="442"/>
      <c r="F12" s="449">
        <v>18000.0</v>
      </c>
      <c r="G12" s="442" t="s">
        <v>346</v>
      </c>
      <c r="H12" s="442" t="s">
        <v>886</v>
      </c>
      <c r="I12" s="447" t="s">
        <v>848</v>
      </c>
      <c r="J12" s="448"/>
    </row>
    <row r="13">
      <c r="A13" s="441" t="s">
        <v>887</v>
      </c>
      <c r="B13" s="455" t="s">
        <v>888</v>
      </c>
      <c r="C13" s="442" t="s">
        <v>889</v>
      </c>
      <c r="D13" s="444">
        <v>2.9</v>
      </c>
      <c r="E13" s="442"/>
      <c r="F13" s="449">
        <f>4440+21068</f>
        <v>25508</v>
      </c>
      <c r="G13" s="442" t="s">
        <v>346</v>
      </c>
      <c r="H13" s="442"/>
      <c r="I13" s="447" t="s">
        <v>890</v>
      </c>
      <c r="J13" s="448"/>
    </row>
    <row r="14">
      <c r="A14" s="441" t="s">
        <v>891</v>
      </c>
      <c r="B14" s="454" t="s">
        <v>35</v>
      </c>
      <c r="C14" s="442" t="s">
        <v>892</v>
      </c>
      <c r="D14" s="444">
        <v>0.12</v>
      </c>
      <c r="E14" s="442"/>
      <c r="F14" s="449">
        <v>2626.0</v>
      </c>
      <c r="G14" s="442" t="s">
        <v>346</v>
      </c>
      <c r="H14" s="442"/>
      <c r="I14" s="447" t="s">
        <v>848</v>
      </c>
      <c r="J14" s="448"/>
    </row>
    <row r="15">
      <c r="A15" s="441" t="s">
        <v>893</v>
      </c>
      <c r="B15" s="454" t="s">
        <v>35</v>
      </c>
      <c r="C15" s="442" t="s">
        <v>894</v>
      </c>
      <c r="D15" s="444">
        <v>1.19</v>
      </c>
      <c r="E15" s="442"/>
      <c r="F15" s="449">
        <v>12562.5</v>
      </c>
      <c r="G15" s="442" t="s">
        <v>346</v>
      </c>
      <c r="H15" s="442"/>
      <c r="I15" s="447" t="s">
        <v>895</v>
      </c>
      <c r="J15" s="448"/>
    </row>
    <row r="16">
      <c r="A16" s="441" t="s">
        <v>896</v>
      </c>
      <c r="B16" s="455" t="s">
        <v>897</v>
      </c>
      <c r="C16" s="442"/>
      <c r="D16" s="444"/>
      <c r="E16" s="442"/>
      <c r="F16" s="449"/>
      <c r="G16" s="442" t="s">
        <v>346</v>
      </c>
      <c r="H16" s="442"/>
      <c r="I16" s="447" t="s">
        <v>898</v>
      </c>
      <c r="J16" s="448"/>
    </row>
    <row r="17" ht="237.75" customHeight="1">
      <c r="A17" s="456" t="s">
        <v>899</v>
      </c>
      <c r="B17" s="457" t="s">
        <v>902</v>
      </c>
      <c r="C17" s="458" t="s">
        <v>903</v>
      </c>
      <c r="D17" s="459">
        <v>9.99</v>
      </c>
      <c r="E17" s="458"/>
      <c r="F17" s="460" t="s">
        <v>904</v>
      </c>
      <c r="G17" s="458" t="s">
        <v>346</v>
      </c>
      <c r="H17" s="458" t="s">
        <v>906</v>
      </c>
      <c r="I17" s="461" t="s">
        <v>907</v>
      </c>
      <c r="J17" s="448" t="s">
        <v>909</v>
      </c>
      <c r="K17" s="392"/>
    </row>
    <row r="18" ht="227.25" customHeight="1">
      <c r="A18" s="462" t="s">
        <v>910</v>
      </c>
      <c r="B18" s="459" t="s">
        <v>911</v>
      </c>
      <c r="C18" s="458" t="s">
        <v>912</v>
      </c>
      <c r="D18" s="463">
        <f>3760.47/424</f>
        <v>8.869033019</v>
      </c>
      <c r="E18" s="457"/>
      <c r="F18" s="463">
        <v>112814.0</v>
      </c>
      <c r="G18" s="459" t="s">
        <v>915</v>
      </c>
      <c r="H18" s="464" t="s">
        <v>917</v>
      </c>
      <c r="I18" s="465" t="s">
        <v>919</v>
      </c>
      <c r="J18" s="466"/>
    </row>
    <row r="19">
      <c r="A19" s="468" t="s">
        <v>924</v>
      </c>
      <c r="B19" s="470" t="s">
        <v>932</v>
      </c>
      <c r="C19" s="442" t="s">
        <v>949</v>
      </c>
      <c r="D19" s="472">
        <f>168/424</f>
        <v>0.3962264151</v>
      </c>
      <c r="E19" s="454"/>
      <c r="F19" s="472">
        <v>5040.0</v>
      </c>
      <c r="G19" s="444" t="s">
        <v>915</v>
      </c>
      <c r="H19" s="474" t="s">
        <v>917</v>
      </c>
      <c r="I19" s="478" t="s">
        <v>966</v>
      </c>
      <c r="J19" s="466"/>
    </row>
    <row r="20">
      <c r="A20" s="468" t="s">
        <v>974</v>
      </c>
      <c r="B20" s="444" t="s">
        <v>975</v>
      </c>
      <c r="C20" s="442" t="s">
        <v>976</v>
      </c>
      <c r="D20" s="472">
        <f>4324.8/424</f>
        <v>10.2</v>
      </c>
      <c r="E20" s="454"/>
      <c r="F20" s="472">
        <v>3060.0</v>
      </c>
      <c r="G20" s="444" t="s">
        <v>915</v>
      </c>
      <c r="H20" s="482"/>
      <c r="I20" s="478" t="s">
        <v>848</v>
      </c>
      <c r="J20" s="466"/>
    </row>
    <row r="21" ht="15.75" customHeight="1">
      <c r="A21" s="484" t="s">
        <v>985</v>
      </c>
      <c r="B21" s="486" t="s">
        <v>35</v>
      </c>
      <c r="C21" s="442" t="s">
        <v>908</v>
      </c>
      <c r="D21" s="472">
        <f>176/424</f>
        <v>0.4150943396</v>
      </c>
      <c r="E21" s="454"/>
      <c r="F21" s="472">
        <v>8800.0</v>
      </c>
      <c r="G21" s="444" t="s">
        <v>915</v>
      </c>
      <c r="H21" s="474"/>
      <c r="I21" s="489" t="s">
        <v>848</v>
      </c>
      <c r="J21" s="491"/>
    </row>
    <row r="22" ht="15.75" customHeight="1">
      <c r="A22" s="493"/>
      <c r="B22" s="41"/>
      <c r="C22" s="442" t="s">
        <v>1021</v>
      </c>
      <c r="D22" s="472">
        <f>742.6/424</f>
        <v>1.751415094</v>
      </c>
      <c r="E22" s="454"/>
      <c r="F22" s="472">
        <v>37130.0</v>
      </c>
      <c r="G22" s="444" t="s">
        <v>915</v>
      </c>
      <c r="H22" s="474"/>
      <c r="I22" s="497"/>
      <c r="J22" s="491"/>
    </row>
    <row r="23" ht="15.75" customHeight="1">
      <c r="A23" s="499"/>
      <c r="B23" s="31"/>
      <c r="C23" s="442" t="s">
        <v>1024</v>
      </c>
      <c r="D23" s="472">
        <f>206/424</f>
        <v>0.4858490566</v>
      </c>
      <c r="E23" s="454"/>
      <c r="F23" s="472">
        <v>5100.0</v>
      </c>
      <c r="G23" s="444" t="s">
        <v>915</v>
      </c>
      <c r="H23" s="474"/>
      <c r="I23" s="502"/>
      <c r="J23" s="491"/>
    </row>
    <row r="24" ht="15.75" customHeight="1">
      <c r="A24" s="468" t="s">
        <v>1028</v>
      </c>
      <c r="B24" s="470" t="s">
        <v>1029</v>
      </c>
      <c r="C24" s="442" t="s">
        <v>1030</v>
      </c>
      <c r="D24" s="472">
        <f>2614.3/424</f>
        <v>6.165801887</v>
      </c>
      <c r="E24" s="454"/>
      <c r="F24" s="472">
        <v>67467.5</v>
      </c>
      <c r="G24" s="444" t="s">
        <v>915</v>
      </c>
      <c r="H24" s="474" t="s">
        <v>1033</v>
      </c>
      <c r="I24" s="478" t="s">
        <v>1034</v>
      </c>
      <c r="J24" s="466"/>
    </row>
    <row r="25" ht="15.75" customHeight="1">
      <c r="A25" s="468" t="s">
        <v>1037</v>
      </c>
      <c r="B25" s="451" t="s">
        <v>1039</v>
      </c>
      <c r="C25" s="442" t="s">
        <v>1040</v>
      </c>
      <c r="D25" s="472">
        <f>74.73/424</f>
        <v>0.17625</v>
      </c>
      <c r="E25" s="454"/>
      <c r="F25" s="472">
        <v>2899.2</v>
      </c>
      <c r="G25" s="444" t="s">
        <v>915</v>
      </c>
      <c r="H25" s="474"/>
      <c r="I25" s="478" t="s">
        <v>1042</v>
      </c>
      <c r="J25" s="466"/>
    </row>
    <row r="26" ht="15.75" customHeight="1">
      <c r="A26" s="468" t="s">
        <v>1044</v>
      </c>
      <c r="B26" s="451" t="s">
        <v>1045</v>
      </c>
      <c r="C26" s="442" t="s">
        <v>1046</v>
      </c>
      <c r="D26" s="472">
        <f>122.64/424</f>
        <v>0.289245283</v>
      </c>
      <c r="E26" s="454"/>
      <c r="F26" s="472">
        <v>3679.2</v>
      </c>
      <c r="G26" s="444" t="s">
        <v>1048</v>
      </c>
      <c r="H26" s="474"/>
      <c r="I26" s="478" t="s">
        <v>1049</v>
      </c>
      <c r="J26" s="466"/>
    </row>
    <row r="27" ht="15.75" customHeight="1">
      <c r="A27" s="468" t="s">
        <v>1051</v>
      </c>
      <c r="B27" s="506" t="s">
        <v>35</v>
      </c>
      <c r="C27" s="442" t="s">
        <v>1052</v>
      </c>
      <c r="D27" s="472">
        <f>327.75/424</f>
        <v>0.772995283</v>
      </c>
      <c r="E27" s="454"/>
      <c r="F27" s="472">
        <v>6555.0</v>
      </c>
      <c r="G27" s="444" t="s">
        <v>1053</v>
      </c>
      <c r="H27" s="474"/>
      <c r="I27" s="478" t="s">
        <v>1054</v>
      </c>
      <c r="J27" s="466"/>
    </row>
    <row r="28" ht="15.75" customHeight="1">
      <c r="A28" s="462" t="s">
        <v>1055</v>
      </c>
      <c r="B28" s="508" t="s">
        <v>1056</v>
      </c>
      <c r="C28" s="458" t="s">
        <v>1057</v>
      </c>
      <c r="D28" s="463">
        <f>302.94/424</f>
        <v>0.7144811321</v>
      </c>
      <c r="E28" s="457"/>
      <c r="F28" s="463">
        <v>8179.0</v>
      </c>
      <c r="G28" s="459" t="s">
        <v>915</v>
      </c>
      <c r="H28" s="464" t="s">
        <v>1058</v>
      </c>
      <c r="I28" s="465" t="s">
        <v>1059</v>
      </c>
      <c r="J28" s="466"/>
      <c r="K28" s="392"/>
    </row>
    <row r="29" ht="15.75" customHeight="1">
      <c r="A29" s="511" t="s">
        <v>1061</v>
      </c>
      <c r="B29" s="479" t="s">
        <v>1062</v>
      </c>
      <c r="C29" s="398"/>
      <c r="D29" s="513"/>
      <c r="E29" s="398"/>
      <c r="F29" s="513"/>
      <c r="G29" s="514" t="s">
        <v>915</v>
      </c>
      <c r="H29" s="517"/>
      <c r="I29" s="520" t="s">
        <v>1065</v>
      </c>
      <c r="J29" s="466"/>
      <c r="K29" s="392"/>
    </row>
    <row r="30" ht="15.75" customHeight="1">
      <c r="A30" s="511" t="s">
        <v>1067</v>
      </c>
      <c r="B30" s="523" t="s">
        <v>1068</v>
      </c>
      <c r="C30" s="398" t="s">
        <v>1075</v>
      </c>
      <c r="D30" s="513"/>
      <c r="E30" s="398"/>
      <c r="F30" s="513"/>
      <c r="G30" s="514" t="s">
        <v>915</v>
      </c>
      <c r="H30" s="517"/>
      <c r="I30" s="520" t="s">
        <v>201</v>
      </c>
      <c r="J30" s="466"/>
    </row>
    <row r="31" ht="15.75" customHeight="1">
      <c r="A31" s="525" t="s">
        <v>1076</v>
      </c>
      <c r="B31" s="416" t="s">
        <v>35</v>
      </c>
      <c r="C31" s="398" t="s">
        <v>1083</v>
      </c>
      <c r="D31" s="513">
        <f>465.7/424</f>
        <v>1.098349057</v>
      </c>
      <c r="E31" s="398"/>
      <c r="F31" s="513">
        <v>23285.0</v>
      </c>
      <c r="G31" s="416" t="s">
        <v>1086</v>
      </c>
      <c r="H31" s="529" t="s">
        <v>1087</v>
      </c>
      <c r="I31" s="531" t="s">
        <v>1090</v>
      </c>
      <c r="J31" s="532"/>
    </row>
    <row r="32" ht="15.75" customHeight="1">
      <c r="A32" s="493"/>
      <c r="B32" s="41"/>
      <c r="C32" s="398" t="s">
        <v>1095</v>
      </c>
      <c r="D32" s="513">
        <f>9.3/424</f>
        <v>0.02193396226</v>
      </c>
      <c r="E32" s="398"/>
      <c r="F32" s="513">
        <v>558.0</v>
      </c>
      <c r="G32" s="41"/>
      <c r="H32" s="41"/>
      <c r="I32" s="497"/>
      <c r="J32" s="532"/>
    </row>
    <row r="33" ht="15.75" customHeight="1">
      <c r="A33" s="499"/>
      <c r="B33" s="31"/>
      <c r="C33" s="398" t="s">
        <v>647</v>
      </c>
      <c r="D33" s="513">
        <f>320.01/424</f>
        <v>0.754740566</v>
      </c>
      <c r="E33" s="398"/>
      <c r="F33" s="513">
        <v>9627.0</v>
      </c>
      <c r="G33" s="31"/>
      <c r="H33" s="31"/>
      <c r="I33" s="502"/>
      <c r="J33" s="532"/>
    </row>
    <row r="34" ht="15.75" customHeight="1">
      <c r="A34" s="536" t="s">
        <v>1100</v>
      </c>
      <c r="B34" s="537" t="s">
        <v>1101</v>
      </c>
      <c r="C34" s="398"/>
      <c r="D34" s="513"/>
      <c r="E34" s="398"/>
      <c r="F34" s="513"/>
      <c r="G34" s="538"/>
      <c r="H34" s="539"/>
      <c r="I34" s="540" t="s">
        <v>1109</v>
      </c>
      <c r="J34" s="532"/>
    </row>
    <row r="35" ht="205.5" customHeight="1">
      <c r="A35" s="511" t="s">
        <v>1110</v>
      </c>
      <c r="B35" s="541" t="s">
        <v>1111</v>
      </c>
      <c r="C35" s="398" t="s">
        <v>1112</v>
      </c>
      <c r="D35" s="513">
        <f>203/424</f>
        <v>0.4787735849</v>
      </c>
      <c r="E35" s="398"/>
      <c r="F35" s="513">
        <v>6090.0</v>
      </c>
      <c r="G35" s="514" t="s">
        <v>915</v>
      </c>
      <c r="H35" s="542" t="s">
        <v>917</v>
      </c>
      <c r="I35" s="520" t="s">
        <v>1114</v>
      </c>
      <c r="J35" s="466"/>
      <c r="K35" s="392"/>
    </row>
    <row r="36" ht="15.75" customHeight="1">
      <c r="A36" s="511" t="s">
        <v>1115</v>
      </c>
      <c r="B36" s="398" t="s">
        <v>878</v>
      </c>
      <c r="C36" s="398" t="s">
        <v>1116</v>
      </c>
      <c r="D36" s="513">
        <f>76/424</f>
        <v>0.179245283</v>
      </c>
      <c r="E36" s="398"/>
      <c r="F36" s="513">
        <v>50000.0</v>
      </c>
      <c r="G36" s="514" t="s">
        <v>915</v>
      </c>
      <c r="H36" s="517" t="s">
        <v>1118</v>
      </c>
      <c r="I36" s="520" t="s">
        <v>1119</v>
      </c>
      <c r="J36" s="466"/>
    </row>
    <row r="37" ht="160.5" customHeight="1">
      <c r="A37" s="511" t="s">
        <v>1120</v>
      </c>
      <c r="B37" s="541" t="s">
        <v>1121</v>
      </c>
      <c r="C37" s="398" t="s">
        <v>1122</v>
      </c>
      <c r="D37" s="513">
        <f>227.28/424</f>
        <v>0.5360377358</v>
      </c>
      <c r="E37" s="398"/>
      <c r="F37" s="513">
        <v>13636.0</v>
      </c>
      <c r="G37" s="514" t="s">
        <v>915</v>
      </c>
      <c r="H37" s="517" t="s">
        <v>228</v>
      </c>
      <c r="I37" s="520" t="s">
        <v>1123</v>
      </c>
      <c r="J37" s="466"/>
    </row>
    <row r="38" ht="15.75" customHeight="1">
      <c r="A38" s="468" t="s">
        <v>1124</v>
      </c>
      <c r="B38" s="546" t="s">
        <v>1125</v>
      </c>
      <c r="C38" s="454" t="s">
        <v>1130</v>
      </c>
      <c r="D38" s="472">
        <f>96.3/424</f>
        <v>0.2271226415</v>
      </c>
      <c r="E38" s="454"/>
      <c r="F38" s="472">
        <v>2407.0</v>
      </c>
      <c r="G38" s="444" t="s">
        <v>915</v>
      </c>
      <c r="H38" s="474" t="s">
        <v>606</v>
      </c>
      <c r="I38" s="478" t="s">
        <v>1133</v>
      </c>
      <c r="J38" s="466"/>
    </row>
    <row r="39" ht="15.75" customHeight="1">
      <c r="A39" s="468" t="s">
        <v>1135</v>
      </c>
      <c r="B39" s="451" t="s">
        <v>1136</v>
      </c>
      <c r="C39" s="454" t="s">
        <v>1137</v>
      </c>
      <c r="D39" s="472">
        <f>102.6/424</f>
        <v>0.2419811321</v>
      </c>
      <c r="E39" s="454"/>
      <c r="F39" s="472">
        <v>2565.0</v>
      </c>
      <c r="G39" s="444" t="s">
        <v>915</v>
      </c>
      <c r="H39" s="474" t="s">
        <v>606</v>
      </c>
      <c r="I39" s="478" t="s">
        <v>1140</v>
      </c>
      <c r="J39" s="466"/>
    </row>
    <row r="40" ht="15.75" customHeight="1">
      <c r="A40" s="468" t="s">
        <v>1141</v>
      </c>
      <c r="B40" s="444" t="s">
        <v>35</v>
      </c>
      <c r="C40" s="442" t="s">
        <v>1142</v>
      </c>
      <c r="D40" s="472">
        <v>1.027</v>
      </c>
      <c r="E40" s="454"/>
      <c r="F40" s="472">
        <v>10888.75</v>
      </c>
      <c r="G40" s="444" t="s">
        <v>915</v>
      </c>
      <c r="H40" s="474" t="s">
        <v>1143</v>
      </c>
      <c r="I40" s="478" t="s">
        <v>682</v>
      </c>
      <c r="J40" s="466"/>
    </row>
    <row r="41" ht="15.75" customHeight="1">
      <c r="A41" s="468" t="s">
        <v>1144</v>
      </c>
      <c r="B41" s="451" t="s">
        <v>1145</v>
      </c>
      <c r="C41" s="442" t="s">
        <v>1146</v>
      </c>
      <c r="D41" s="472">
        <f>270/424</f>
        <v>0.6367924528</v>
      </c>
      <c r="E41" s="454"/>
      <c r="F41" s="472">
        <v>6750.0</v>
      </c>
      <c r="G41" s="444" t="s">
        <v>915</v>
      </c>
      <c r="H41" s="474"/>
      <c r="I41" s="478" t="s">
        <v>1147</v>
      </c>
      <c r="J41" s="466"/>
    </row>
    <row r="42" ht="15.75" customHeight="1">
      <c r="A42" s="468" t="s">
        <v>1148</v>
      </c>
      <c r="B42" s="451" t="s">
        <v>1149</v>
      </c>
      <c r="C42" s="442" t="s">
        <v>1150</v>
      </c>
      <c r="D42" s="472">
        <f>1658.17/424</f>
        <v>3.910778302</v>
      </c>
      <c r="E42" s="454"/>
      <c r="F42" s="472">
        <v>41454.25</v>
      </c>
      <c r="G42" s="444" t="s">
        <v>915</v>
      </c>
      <c r="H42" s="474" t="s">
        <v>1152</v>
      </c>
      <c r="I42" s="478" t="s">
        <v>201</v>
      </c>
      <c r="J42" s="466"/>
    </row>
    <row r="43" ht="15.75" customHeight="1">
      <c r="A43" s="468" t="s">
        <v>1153</v>
      </c>
      <c r="B43" s="451" t="s">
        <v>1154</v>
      </c>
      <c r="C43" s="442" t="s">
        <v>685</v>
      </c>
      <c r="D43" s="472">
        <f>153/424</f>
        <v>0.3608490566</v>
      </c>
      <c r="E43" s="454"/>
      <c r="F43" s="472">
        <v>7650.0</v>
      </c>
      <c r="G43" s="444" t="s">
        <v>915</v>
      </c>
      <c r="H43" s="474" t="s">
        <v>1155</v>
      </c>
      <c r="I43" s="478" t="s">
        <v>1157</v>
      </c>
      <c r="J43" s="466"/>
    </row>
    <row r="44" ht="156.75" customHeight="1">
      <c r="A44" s="511" t="s">
        <v>1158</v>
      </c>
      <c r="B44" s="380" t="s">
        <v>1162</v>
      </c>
      <c r="C44" s="342" t="s">
        <v>1163</v>
      </c>
      <c r="D44" s="513">
        <f>655/424</f>
        <v>1.544811321</v>
      </c>
      <c r="E44" s="398"/>
      <c r="F44" s="513">
        <v>22925.0</v>
      </c>
      <c r="G44" s="514" t="s">
        <v>915</v>
      </c>
      <c r="H44" s="517" t="s">
        <v>503</v>
      </c>
      <c r="I44" s="520" t="s">
        <v>1164</v>
      </c>
      <c r="J44" s="466"/>
      <c r="K44" s="392"/>
    </row>
    <row r="45" ht="15.75" customHeight="1">
      <c r="A45" s="468" t="s">
        <v>1165</v>
      </c>
      <c r="B45" s="444" t="s">
        <v>35</v>
      </c>
      <c r="C45" s="442" t="s">
        <v>1166</v>
      </c>
      <c r="D45" s="472">
        <v>0.856</v>
      </c>
      <c r="E45" s="454"/>
      <c r="F45" s="472">
        <v>9075.0</v>
      </c>
      <c r="G45" s="444" t="s">
        <v>915</v>
      </c>
      <c r="H45" s="474"/>
      <c r="I45" s="478" t="s">
        <v>682</v>
      </c>
      <c r="J45" s="466"/>
    </row>
    <row r="46" ht="15.75" customHeight="1">
      <c r="A46" s="559" t="s">
        <v>1168</v>
      </c>
      <c r="B46" s="562" t="s">
        <v>35</v>
      </c>
      <c r="C46" s="442" t="s">
        <v>1172</v>
      </c>
      <c r="D46" s="472">
        <f>84/424</f>
        <v>0.1981132075</v>
      </c>
      <c r="E46" s="454"/>
      <c r="F46" s="472">
        <v>4200.0</v>
      </c>
      <c r="G46" s="486" t="s">
        <v>915</v>
      </c>
      <c r="H46" s="474"/>
      <c r="I46" s="489" t="s">
        <v>682</v>
      </c>
      <c r="J46" s="491"/>
    </row>
    <row r="47" ht="15.75" customHeight="1">
      <c r="A47" s="499"/>
      <c r="B47" s="31"/>
      <c r="C47" s="442" t="s">
        <v>1015</v>
      </c>
      <c r="D47" s="472">
        <f>668.66/424</f>
        <v>1.577028302</v>
      </c>
      <c r="E47" s="454"/>
      <c r="F47" s="472">
        <v>16716.5</v>
      </c>
      <c r="G47" s="31"/>
      <c r="H47" s="31"/>
      <c r="I47" s="502"/>
      <c r="J47" s="491"/>
    </row>
    <row r="48" ht="15.75" customHeight="1">
      <c r="A48" s="468" t="s">
        <v>1176</v>
      </c>
      <c r="B48" s="444" t="s">
        <v>1177</v>
      </c>
      <c r="C48" s="442" t="s">
        <v>1178</v>
      </c>
      <c r="D48" s="472">
        <f>463/424</f>
        <v>1.091981132</v>
      </c>
      <c r="E48" s="454"/>
      <c r="F48" s="472">
        <v>9610.0</v>
      </c>
      <c r="G48" s="444" t="s">
        <v>915</v>
      </c>
      <c r="H48" s="474"/>
      <c r="I48" s="478" t="s">
        <v>1179</v>
      </c>
      <c r="J48" s="466"/>
    </row>
    <row r="49" ht="15.75" customHeight="1">
      <c r="A49" s="468" t="s">
        <v>1180</v>
      </c>
      <c r="B49" s="444" t="s">
        <v>35</v>
      </c>
      <c r="C49" s="442" t="s">
        <v>1181</v>
      </c>
      <c r="D49" s="568">
        <v>2.195</v>
      </c>
      <c r="E49" s="454"/>
      <c r="F49" s="472">
        <v>23280.0</v>
      </c>
      <c r="G49" s="444" t="s">
        <v>915</v>
      </c>
      <c r="H49" s="474"/>
      <c r="I49" s="478" t="s">
        <v>682</v>
      </c>
      <c r="J49" s="466"/>
    </row>
    <row r="50" ht="15.75" customHeight="1">
      <c r="A50" s="573" t="s">
        <v>1185</v>
      </c>
      <c r="B50" s="486" t="s">
        <v>35</v>
      </c>
      <c r="C50" s="442" t="s">
        <v>1187</v>
      </c>
      <c r="D50" s="568">
        <f>668.66/424</f>
        <v>1.577028302</v>
      </c>
      <c r="E50" s="454"/>
      <c r="F50" s="472">
        <v>12950.0</v>
      </c>
      <c r="G50" s="486" t="s">
        <v>915</v>
      </c>
      <c r="H50" s="474"/>
      <c r="I50" s="489" t="s">
        <v>682</v>
      </c>
      <c r="J50" s="491"/>
    </row>
    <row r="51" ht="15.75" customHeight="1">
      <c r="A51" s="499"/>
      <c r="B51" s="31"/>
      <c r="C51" s="442" t="s">
        <v>1188</v>
      </c>
      <c r="D51" s="568">
        <f>84/424</f>
        <v>0.1981132075</v>
      </c>
      <c r="E51" s="454"/>
      <c r="F51" s="472">
        <v>3500.0</v>
      </c>
      <c r="G51" s="31"/>
      <c r="H51" s="474"/>
      <c r="I51" s="502"/>
      <c r="J51" s="491"/>
    </row>
    <row r="52" ht="15.75" customHeight="1">
      <c r="A52" s="580" t="s">
        <v>1190</v>
      </c>
      <c r="B52" s="582" t="s">
        <v>35</v>
      </c>
      <c r="C52" s="442" t="s">
        <v>1194</v>
      </c>
      <c r="D52" s="568">
        <f>1447.2/424</f>
        <v>3.413207547</v>
      </c>
      <c r="E52" s="454"/>
      <c r="F52" s="472">
        <v>36180.0</v>
      </c>
      <c r="G52" s="582" t="s">
        <v>1195</v>
      </c>
      <c r="H52" s="474" t="s">
        <v>134</v>
      </c>
      <c r="I52" s="478" t="s">
        <v>682</v>
      </c>
      <c r="J52" s="466"/>
    </row>
    <row r="53" ht="15.75" customHeight="1">
      <c r="A53" s="580" t="s">
        <v>1197</v>
      </c>
      <c r="B53" s="470" t="s">
        <v>1198</v>
      </c>
      <c r="C53" s="442" t="s">
        <v>193</v>
      </c>
      <c r="D53" s="568">
        <f>484/424</f>
        <v>1.141509434</v>
      </c>
      <c r="E53" s="454"/>
      <c r="F53" s="472">
        <v>13552.0</v>
      </c>
      <c r="G53" s="582"/>
      <c r="H53" s="474" t="s">
        <v>1200</v>
      </c>
      <c r="I53" s="478" t="s">
        <v>1201</v>
      </c>
      <c r="J53" s="466"/>
    </row>
    <row r="54" ht="15.75" customHeight="1">
      <c r="A54" s="468" t="s">
        <v>1202</v>
      </c>
      <c r="B54" s="444" t="s">
        <v>35</v>
      </c>
      <c r="C54" s="442" t="s">
        <v>1203</v>
      </c>
      <c r="D54" s="568">
        <f>1181.12/424</f>
        <v>2.785660377</v>
      </c>
      <c r="E54" s="454"/>
      <c r="F54" s="472">
        <v>49213.33</v>
      </c>
      <c r="G54" s="444" t="s">
        <v>915</v>
      </c>
      <c r="H54" s="474"/>
      <c r="I54" s="478" t="s">
        <v>682</v>
      </c>
      <c r="J54" s="466"/>
      <c r="K54" s="586"/>
    </row>
    <row r="55" ht="15.75" customHeight="1">
      <c r="A55" s="468" t="s">
        <v>1207</v>
      </c>
      <c r="B55" s="444" t="s">
        <v>35</v>
      </c>
      <c r="C55" s="442" t="s">
        <v>1208</v>
      </c>
      <c r="D55" s="568">
        <v>0.43</v>
      </c>
      <c r="E55" s="454"/>
      <c r="F55" s="472">
        <f>(F53/D53)*D55</f>
        <v>5104.96</v>
      </c>
      <c r="G55" s="444" t="s">
        <v>1210</v>
      </c>
      <c r="H55" s="474"/>
      <c r="I55" s="478" t="s">
        <v>682</v>
      </c>
      <c r="J55" s="466"/>
      <c r="K55" s="586"/>
    </row>
    <row r="56" ht="15.75" customHeight="1">
      <c r="A56" s="468" t="s">
        <v>1211</v>
      </c>
      <c r="B56" s="589" t="s">
        <v>426</v>
      </c>
      <c r="C56" s="442" t="s">
        <v>1215</v>
      </c>
      <c r="D56" s="568">
        <f>217/424</f>
        <v>0.5117924528</v>
      </c>
      <c r="E56" s="454"/>
      <c r="F56" s="472">
        <v>6076.0</v>
      </c>
      <c r="G56" s="444" t="s">
        <v>915</v>
      </c>
      <c r="H56" s="474"/>
      <c r="I56" s="478" t="s">
        <v>1216</v>
      </c>
      <c r="J56" s="466"/>
    </row>
    <row r="57" ht="15.75" customHeight="1">
      <c r="A57" s="468" t="s">
        <v>1217</v>
      </c>
      <c r="B57" s="444" t="s">
        <v>35</v>
      </c>
      <c r="C57" s="442" t="s">
        <v>1218</v>
      </c>
      <c r="D57" s="568">
        <v>1.56</v>
      </c>
      <c r="E57" s="454"/>
      <c r="F57" s="472">
        <v>18633.16</v>
      </c>
      <c r="G57" s="444" t="s">
        <v>481</v>
      </c>
      <c r="H57" s="444" t="s">
        <v>481</v>
      </c>
      <c r="I57" s="478" t="s">
        <v>682</v>
      </c>
      <c r="J57" s="466"/>
    </row>
    <row r="58" ht="242.25" customHeight="1">
      <c r="A58" s="592" t="s">
        <v>1219</v>
      </c>
      <c r="B58" s="594" t="s">
        <v>1225</v>
      </c>
      <c r="C58" s="342" t="s">
        <v>1227</v>
      </c>
      <c r="D58" s="598">
        <f>186/424</f>
        <v>0.4386792453</v>
      </c>
      <c r="E58" s="398"/>
      <c r="F58" s="513">
        <v>5208.0</v>
      </c>
      <c r="G58" s="514" t="s">
        <v>915</v>
      </c>
      <c r="H58" s="514" t="s">
        <v>481</v>
      </c>
      <c r="I58" s="600" t="s">
        <v>1230</v>
      </c>
      <c r="J58" s="604"/>
    </row>
    <row r="59" ht="180.0" customHeight="1">
      <c r="A59" s="592" t="s">
        <v>1234</v>
      </c>
      <c r="B59" s="594" t="s">
        <v>1235</v>
      </c>
      <c r="C59" s="342" t="s">
        <v>1011</v>
      </c>
      <c r="D59" s="598">
        <f>154/424</f>
        <v>0.3632075472</v>
      </c>
      <c r="E59" s="398"/>
      <c r="F59" s="513">
        <v>4312.0</v>
      </c>
      <c r="G59" s="514" t="s">
        <v>915</v>
      </c>
      <c r="H59" s="514" t="s">
        <v>481</v>
      </c>
      <c r="I59" s="607" t="s">
        <v>1237</v>
      </c>
      <c r="J59" s="604"/>
    </row>
    <row r="60" ht="168.0" customHeight="1">
      <c r="A60" s="592" t="s">
        <v>1234</v>
      </c>
      <c r="B60" s="594" t="s">
        <v>1235</v>
      </c>
      <c r="C60" s="342" t="s">
        <v>1013</v>
      </c>
      <c r="D60" s="598">
        <f>160/424</f>
        <v>0.3773584906</v>
      </c>
      <c r="E60" s="398"/>
      <c r="F60" s="513">
        <v>4480.0</v>
      </c>
      <c r="G60" s="514" t="s">
        <v>915</v>
      </c>
      <c r="H60" s="514" t="s">
        <v>481</v>
      </c>
      <c r="I60" s="607" t="s">
        <v>1242</v>
      </c>
      <c r="J60" s="604"/>
    </row>
    <row r="61" ht="15.75" customHeight="1">
      <c r="A61" s="468" t="s">
        <v>1243</v>
      </c>
      <c r="B61" s="444" t="s">
        <v>1244</v>
      </c>
      <c r="C61" s="442" t="s">
        <v>1245</v>
      </c>
      <c r="D61" s="568">
        <f>463/424</f>
        <v>1.091981132</v>
      </c>
      <c r="E61" s="454"/>
      <c r="F61" s="472">
        <v>15330.0</v>
      </c>
      <c r="G61" s="444" t="s">
        <v>1249</v>
      </c>
      <c r="H61" s="474" t="s">
        <v>1250</v>
      </c>
      <c r="I61" s="478" t="s">
        <v>1251</v>
      </c>
      <c r="J61" s="466"/>
    </row>
    <row r="62" ht="15.75" customHeight="1">
      <c r="A62" s="468" t="s">
        <v>1252</v>
      </c>
      <c r="B62" s="444" t="s">
        <v>35</v>
      </c>
      <c r="C62" s="442" t="s">
        <v>1253</v>
      </c>
      <c r="D62" s="568">
        <f>457.3/424</f>
        <v>1.078537736</v>
      </c>
      <c r="E62" s="454"/>
      <c r="F62" s="472">
        <v>13719.0</v>
      </c>
      <c r="G62" s="444" t="s">
        <v>1086</v>
      </c>
      <c r="H62" s="474" t="s">
        <v>184</v>
      </c>
      <c r="I62" s="478" t="s">
        <v>682</v>
      </c>
      <c r="J62" s="466"/>
    </row>
    <row r="63" ht="15.75" customHeight="1">
      <c r="A63" s="468" t="s">
        <v>1254</v>
      </c>
      <c r="B63" s="444" t="s">
        <v>878</v>
      </c>
      <c r="C63" s="442" t="s">
        <v>36</v>
      </c>
      <c r="D63" s="568">
        <f>157/424</f>
        <v>0.3702830189</v>
      </c>
      <c r="E63" s="454"/>
      <c r="F63" s="472">
        <v>9468.0</v>
      </c>
      <c r="G63" s="444" t="s">
        <v>1255</v>
      </c>
      <c r="H63" s="474"/>
      <c r="I63" s="478" t="s">
        <v>682</v>
      </c>
      <c r="J63" s="466"/>
    </row>
    <row r="64" ht="15.75" customHeight="1">
      <c r="A64" s="468" t="s">
        <v>1256</v>
      </c>
      <c r="B64" s="470" t="s">
        <v>1257</v>
      </c>
      <c r="C64" s="442" t="s">
        <v>1258</v>
      </c>
      <c r="D64" s="568">
        <f>991.66/424</f>
        <v>2.338820755</v>
      </c>
      <c r="E64" s="454"/>
      <c r="F64" s="472">
        <v>29749.8</v>
      </c>
      <c r="G64" s="444" t="s">
        <v>1260</v>
      </c>
      <c r="H64" s="474"/>
      <c r="I64" s="478" t="s">
        <v>201</v>
      </c>
      <c r="J64" s="466"/>
    </row>
    <row r="65" ht="15.75" customHeight="1">
      <c r="A65" s="468" t="s">
        <v>1261</v>
      </c>
      <c r="B65" s="470" t="s">
        <v>1262</v>
      </c>
      <c r="C65" s="442" t="s">
        <v>1263</v>
      </c>
      <c r="D65" s="568">
        <f>1300.4/424</f>
        <v>3.066981132</v>
      </c>
      <c r="E65" s="454"/>
      <c r="F65" s="472">
        <v>52016.0</v>
      </c>
      <c r="G65" s="444" t="s">
        <v>346</v>
      </c>
      <c r="H65" s="474"/>
      <c r="I65" s="478" t="s">
        <v>1264</v>
      </c>
      <c r="J65" s="466"/>
    </row>
    <row r="66" ht="15.75" customHeight="1">
      <c r="A66" s="468" t="s">
        <v>1265</v>
      </c>
      <c r="B66" s="470" t="s">
        <v>1266</v>
      </c>
      <c r="C66" s="442" t="s">
        <v>1267</v>
      </c>
      <c r="D66" s="568">
        <f>1066.784/424</f>
        <v>2.516</v>
      </c>
      <c r="E66" s="454"/>
      <c r="F66" s="472">
        <v>53339.2</v>
      </c>
      <c r="G66" s="444" t="s">
        <v>346</v>
      </c>
      <c r="H66" s="474" t="s">
        <v>481</v>
      </c>
      <c r="I66" s="478" t="s">
        <v>201</v>
      </c>
      <c r="J66" s="466"/>
    </row>
    <row r="67" ht="15.75" customHeight="1">
      <c r="A67" s="468" t="s">
        <v>1269</v>
      </c>
      <c r="B67" s="589" t="s">
        <v>1101</v>
      </c>
      <c r="C67" s="442" t="s">
        <v>1270</v>
      </c>
      <c r="D67" s="568">
        <f>914.6/424</f>
        <v>2.157075472</v>
      </c>
      <c r="E67" s="454"/>
      <c r="F67" s="472">
        <v>36584.0</v>
      </c>
      <c r="G67" s="444" t="s">
        <v>346</v>
      </c>
      <c r="H67" s="474"/>
      <c r="I67" s="478" t="s">
        <v>682</v>
      </c>
      <c r="J67" s="466"/>
    </row>
    <row r="68" ht="15.75" customHeight="1">
      <c r="A68" s="468" t="s">
        <v>1272</v>
      </c>
      <c r="B68" s="444" t="s">
        <v>1273</v>
      </c>
      <c r="C68" s="442" t="s">
        <v>1274</v>
      </c>
      <c r="D68" s="568">
        <f>323.74/424</f>
        <v>0.7635377358</v>
      </c>
      <c r="E68" s="454"/>
      <c r="F68" s="472">
        <v>12949.0</v>
      </c>
      <c r="G68" s="444" t="s">
        <v>346</v>
      </c>
      <c r="H68" s="474"/>
      <c r="I68" s="478" t="s">
        <v>682</v>
      </c>
      <c r="J68" s="466"/>
    </row>
    <row r="69" ht="15.75" customHeight="1">
      <c r="A69" s="511" t="s">
        <v>1275</v>
      </c>
      <c r="B69" s="594" t="s">
        <v>1276</v>
      </c>
      <c r="C69" s="398" t="s">
        <v>1277</v>
      </c>
      <c r="D69" s="624">
        <f>3000/424</f>
        <v>7.075471698</v>
      </c>
      <c r="E69" s="629"/>
      <c r="F69" s="513"/>
      <c r="G69" s="514" t="s">
        <v>346</v>
      </c>
      <c r="H69" s="398"/>
      <c r="I69" s="633" t="s">
        <v>1284</v>
      </c>
      <c r="J69" s="638" t="s">
        <v>1289</v>
      </c>
    </row>
    <row r="70" ht="38.25" customHeight="1">
      <c r="A70" s="511" t="s">
        <v>1295</v>
      </c>
      <c r="B70" s="642" t="s">
        <v>1296</v>
      </c>
      <c r="C70" s="398" t="s">
        <v>1300</v>
      </c>
      <c r="D70" s="646">
        <f>249.33/424</f>
        <v>0.5880424528</v>
      </c>
      <c r="E70" s="629"/>
      <c r="F70" s="513"/>
      <c r="G70" s="514" t="s">
        <v>346</v>
      </c>
      <c r="H70" s="398" t="s">
        <v>134</v>
      </c>
      <c r="I70" s="520" t="s">
        <v>201</v>
      </c>
    </row>
    <row r="71" ht="15.75" customHeight="1">
      <c r="A71" s="511" t="s">
        <v>1305</v>
      </c>
      <c r="B71" s="642" t="s">
        <v>1296</v>
      </c>
      <c r="C71" s="398" t="s">
        <v>1306</v>
      </c>
      <c r="D71" s="646">
        <f>220/424</f>
        <v>0.5188679245</v>
      </c>
      <c r="E71" s="629"/>
      <c r="F71" s="513">
        <v>5500.0</v>
      </c>
      <c r="G71" s="514" t="s">
        <v>346</v>
      </c>
      <c r="H71" s="398" t="s">
        <v>460</v>
      </c>
      <c r="I71" s="520" t="s">
        <v>1308</v>
      </c>
      <c r="J71" s="466"/>
    </row>
    <row r="72" ht="146.25" customHeight="1">
      <c r="A72" s="511" t="s">
        <v>1309</v>
      </c>
      <c r="B72" s="380" t="s">
        <v>1310</v>
      </c>
      <c r="C72" s="398" t="s">
        <v>1312</v>
      </c>
      <c r="D72" s="624">
        <f>459.58/424</f>
        <v>1.083915094</v>
      </c>
      <c r="E72" s="629"/>
      <c r="F72" s="513">
        <v>32170.6</v>
      </c>
      <c r="G72" s="514" t="s">
        <v>346</v>
      </c>
      <c r="H72" s="398" t="s">
        <v>134</v>
      </c>
      <c r="I72" s="653" t="s">
        <v>1315</v>
      </c>
      <c r="J72" s="466"/>
    </row>
    <row r="73" ht="15.75" customHeight="1">
      <c r="A73" s="656" t="s">
        <v>200</v>
      </c>
      <c r="B73" s="659" t="s">
        <v>904</v>
      </c>
      <c r="C73" s="663"/>
      <c r="D73" s="668">
        <f>SUM(D7:D72)</f>
        <v>102.839</v>
      </c>
      <c r="E73" s="668"/>
      <c r="F73" s="673">
        <f>SUM(F7:F72)</f>
        <v>1060090.65</v>
      </c>
      <c r="G73" s="663"/>
      <c r="H73" s="663"/>
      <c r="I73" s="677"/>
      <c r="J73" s="680"/>
      <c r="K73" s="392"/>
    </row>
    <row r="74" ht="15.75" customHeight="1">
      <c r="A74" s="685" t="s">
        <v>30</v>
      </c>
      <c r="B74" s="27"/>
      <c r="C74" s="27"/>
      <c r="D74" s="27"/>
      <c r="E74" s="27"/>
      <c r="F74" s="27"/>
      <c r="G74" s="27"/>
      <c r="H74" s="27"/>
      <c r="I74" s="687"/>
      <c r="J74" s="440"/>
      <c r="K74" s="690"/>
    </row>
    <row r="75" ht="100.5" customHeight="1">
      <c r="A75" s="462" t="s">
        <v>1384</v>
      </c>
      <c r="B75" s="693" t="s">
        <v>1385</v>
      </c>
      <c r="C75" s="457" t="s">
        <v>1413</v>
      </c>
      <c r="D75" s="695">
        <v>0.42</v>
      </c>
      <c r="E75" s="698"/>
      <c r="F75" s="463">
        <v>6300.0</v>
      </c>
      <c r="G75" s="457"/>
      <c r="H75" s="457" t="s">
        <v>1427</v>
      </c>
      <c r="I75" s="465" t="s">
        <v>1428</v>
      </c>
      <c r="J75" s="700"/>
      <c r="K75" s="690"/>
    </row>
    <row r="76" ht="15.75" customHeight="1">
      <c r="A76" s="511" t="s">
        <v>1433</v>
      </c>
      <c r="B76" s="398" t="s">
        <v>1434</v>
      </c>
      <c r="C76" s="398" t="s">
        <v>1093</v>
      </c>
      <c r="D76" s="624">
        <v>0.46</v>
      </c>
      <c r="E76" s="629"/>
      <c r="F76" s="513">
        <v>12555.0</v>
      </c>
      <c r="G76" s="398"/>
      <c r="H76" s="398" t="s">
        <v>1427</v>
      </c>
      <c r="I76" s="520" t="s">
        <v>1435</v>
      </c>
      <c r="J76" s="700"/>
      <c r="K76" s="690"/>
    </row>
    <row r="77" ht="15.75" customHeight="1">
      <c r="A77" s="511" t="s">
        <v>1436</v>
      </c>
      <c r="B77" s="523" t="s">
        <v>1437</v>
      </c>
      <c r="C77" s="398" t="s">
        <v>1438</v>
      </c>
      <c r="D77" s="624"/>
      <c r="E77" s="629"/>
      <c r="F77" s="513">
        <v>33900.0</v>
      </c>
      <c r="G77" s="398"/>
      <c r="H77" s="398" t="s">
        <v>1439</v>
      </c>
      <c r="I77" s="705" t="s">
        <v>1441</v>
      </c>
      <c r="J77" s="709" t="s">
        <v>1442</v>
      </c>
      <c r="K77" s="392"/>
    </row>
    <row r="78" ht="173.25" customHeight="1">
      <c r="A78" s="462" t="s">
        <v>1444</v>
      </c>
      <c r="B78" s="508" t="s">
        <v>1445</v>
      </c>
      <c r="C78" s="457" t="s">
        <v>1446</v>
      </c>
      <c r="D78" s="695">
        <f>604/424</f>
        <v>1.424528302</v>
      </c>
      <c r="E78" s="698"/>
      <c r="F78" s="463">
        <v>21140.0</v>
      </c>
      <c r="G78" s="458" t="s">
        <v>1447</v>
      </c>
      <c r="H78" s="457" t="s">
        <v>656</v>
      </c>
      <c r="I78" s="465" t="s">
        <v>1448</v>
      </c>
      <c r="J78" s="700"/>
      <c r="K78" s="392"/>
    </row>
    <row r="79" ht="15.75" customHeight="1">
      <c r="A79" s="468" t="s">
        <v>1449</v>
      </c>
      <c r="B79" s="451" t="s">
        <v>1450</v>
      </c>
      <c r="C79" s="454" t="s">
        <v>1451</v>
      </c>
      <c r="D79" s="716">
        <f>623/424</f>
        <v>1.469339623</v>
      </c>
      <c r="E79" s="718"/>
      <c r="F79" s="472">
        <v>21790.0</v>
      </c>
      <c r="G79" s="454" t="s">
        <v>1508</v>
      </c>
      <c r="H79" s="454" t="s">
        <v>656</v>
      </c>
      <c r="I79" s="478" t="s">
        <v>1509</v>
      </c>
      <c r="J79" s="700"/>
    </row>
    <row r="80" ht="15.75" customHeight="1">
      <c r="A80" s="462" t="s">
        <v>1510</v>
      </c>
      <c r="B80" s="508" t="s">
        <v>1511</v>
      </c>
      <c r="C80" s="457" t="s">
        <v>1512</v>
      </c>
      <c r="D80" s="695">
        <f>219/424</f>
        <v>0.516509434</v>
      </c>
      <c r="E80" s="698"/>
      <c r="F80" s="463">
        <v>10560.0</v>
      </c>
      <c r="G80" s="457" t="s">
        <v>1508</v>
      </c>
      <c r="H80" s="457"/>
      <c r="I80" s="465" t="s">
        <v>1515</v>
      </c>
      <c r="J80" s="700"/>
      <c r="K80" s="392"/>
    </row>
    <row r="81" ht="15.75" customHeight="1">
      <c r="A81" s="468" t="s">
        <v>1517</v>
      </c>
      <c r="B81" s="444" t="s">
        <v>1518</v>
      </c>
      <c r="C81" s="442" t="s">
        <v>1519</v>
      </c>
      <c r="D81" s="568">
        <f>394/424</f>
        <v>0.929245283</v>
      </c>
      <c r="E81" s="454"/>
      <c r="F81" s="472">
        <v>13813.0</v>
      </c>
      <c r="G81" s="444" t="s">
        <v>648</v>
      </c>
      <c r="H81" s="562" t="s">
        <v>656</v>
      </c>
      <c r="I81" s="478" t="s">
        <v>1521</v>
      </c>
      <c r="J81" s="466"/>
    </row>
    <row r="82" ht="15.75" customHeight="1">
      <c r="A82" s="468" t="s">
        <v>1522</v>
      </c>
      <c r="B82" s="444" t="s">
        <v>1523</v>
      </c>
      <c r="C82" s="442" t="s">
        <v>1524</v>
      </c>
      <c r="D82" s="568">
        <f>520/424</f>
        <v>1.226415094</v>
      </c>
      <c r="E82" s="454"/>
      <c r="F82" s="472">
        <v>52864.0</v>
      </c>
      <c r="G82" s="444" t="s">
        <v>648</v>
      </c>
      <c r="H82" s="562" t="s">
        <v>656</v>
      </c>
      <c r="I82" s="478" t="s">
        <v>1525</v>
      </c>
      <c r="J82" s="466"/>
    </row>
    <row r="83" ht="15.75" customHeight="1">
      <c r="A83" s="468" t="s">
        <v>1526</v>
      </c>
      <c r="B83" s="451" t="s">
        <v>1527</v>
      </c>
      <c r="C83" s="442" t="s">
        <v>1528</v>
      </c>
      <c r="D83" s="568">
        <f>358/424</f>
        <v>0.8443396226</v>
      </c>
      <c r="E83" s="454"/>
      <c r="F83" s="472">
        <v>35850.0</v>
      </c>
      <c r="G83" s="444" t="s">
        <v>648</v>
      </c>
      <c r="H83" s="562" t="s">
        <v>656</v>
      </c>
      <c r="I83" s="730" t="s">
        <v>1529</v>
      </c>
      <c r="J83" s="466"/>
    </row>
    <row r="84" ht="15.75" customHeight="1">
      <c r="A84" s="511" t="s">
        <v>1530</v>
      </c>
      <c r="B84" s="541" t="s">
        <v>1531</v>
      </c>
      <c r="C84" s="342" t="s">
        <v>1532</v>
      </c>
      <c r="D84" s="598">
        <f>591/424</f>
        <v>1.393867925</v>
      </c>
      <c r="E84" s="398"/>
      <c r="F84" s="513">
        <v>59173.0</v>
      </c>
      <c r="G84" s="514" t="s">
        <v>648</v>
      </c>
      <c r="H84" s="733" t="s">
        <v>656</v>
      </c>
      <c r="I84" s="398" t="s">
        <v>1534</v>
      </c>
      <c r="J84" s="466"/>
      <c r="K84" s="392"/>
    </row>
    <row r="85" ht="15.75" customHeight="1">
      <c r="A85" s="525" t="s">
        <v>1535</v>
      </c>
      <c r="B85" s="416" t="s">
        <v>35</v>
      </c>
      <c r="C85" s="742" t="s">
        <v>1536</v>
      </c>
      <c r="D85" s="745">
        <f>105/424</f>
        <v>0.2476415094</v>
      </c>
      <c r="E85" s="748"/>
      <c r="F85" s="750">
        <v>4200.0</v>
      </c>
      <c r="G85" s="416" t="s">
        <v>1508</v>
      </c>
      <c r="H85" s="752"/>
      <c r="I85" s="416" t="s">
        <v>1595</v>
      </c>
      <c r="J85" s="753"/>
      <c r="K85" s="392"/>
    </row>
    <row r="86" ht="15.75" customHeight="1">
      <c r="A86" s="499"/>
      <c r="B86" s="31"/>
      <c r="C86" s="742" t="s">
        <v>1604</v>
      </c>
      <c r="D86" s="745">
        <f>33/424</f>
        <v>0.07783018868</v>
      </c>
      <c r="E86" s="748"/>
      <c r="F86" s="750">
        <v>3325.0</v>
      </c>
      <c r="G86" s="31"/>
      <c r="H86" s="754"/>
      <c r="I86" s="41"/>
      <c r="J86" s="753"/>
      <c r="K86" s="392"/>
    </row>
    <row r="87" ht="15.75" customHeight="1">
      <c r="A87" s="511" t="s">
        <v>1631</v>
      </c>
      <c r="B87" s="398" t="s">
        <v>35</v>
      </c>
      <c r="C87" s="398" t="s">
        <v>853</v>
      </c>
      <c r="D87" s="624"/>
      <c r="E87" s="629"/>
      <c r="F87" s="513">
        <v>2800.0</v>
      </c>
      <c r="G87" s="398" t="s">
        <v>1508</v>
      </c>
      <c r="H87" s="755"/>
      <c r="I87" s="31"/>
      <c r="J87" s="753"/>
      <c r="K87" s="392"/>
    </row>
    <row r="88" ht="159.0" customHeight="1">
      <c r="A88" s="511" t="s">
        <v>1641</v>
      </c>
      <c r="B88" s="380" t="s">
        <v>1642</v>
      </c>
      <c r="C88" s="398" t="s">
        <v>1644</v>
      </c>
      <c r="D88" s="624">
        <f>429.5/424</f>
        <v>1.012971698</v>
      </c>
      <c r="E88" s="629"/>
      <c r="F88" s="513">
        <v>15032.0</v>
      </c>
      <c r="G88" s="398" t="s">
        <v>656</v>
      </c>
      <c r="H88" s="755" t="s">
        <v>656</v>
      </c>
      <c r="I88" s="400" t="s">
        <v>1660</v>
      </c>
      <c r="J88" s="700" t="s">
        <v>1663</v>
      </c>
      <c r="K88" s="392"/>
    </row>
    <row r="89" ht="84.75" customHeight="1">
      <c r="A89" s="462" t="s">
        <v>1665</v>
      </c>
      <c r="B89" s="569" t="s">
        <v>1668</v>
      </c>
      <c r="C89" s="457" t="s">
        <v>1671</v>
      </c>
      <c r="D89" s="695">
        <f>139/424</f>
        <v>0.3278301887</v>
      </c>
      <c r="E89" s="698"/>
      <c r="F89" s="463">
        <v>4900.0</v>
      </c>
      <c r="G89" s="457" t="s">
        <v>1508</v>
      </c>
      <c r="H89" s="756"/>
      <c r="I89" s="402" t="s">
        <v>1685</v>
      </c>
      <c r="J89" s="700"/>
      <c r="K89" s="392"/>
    </row>
    <row r="90" ht="15.75" customHeight="1">
      <c r="A90" s="511" t="s">
        <v>1686</v>
      </c>
      <c r="B90" s="758" t="s">
        <v>1687</v>
      </c>
      <c r="C90" s="398" t="s">
        <v>1691</v>
      </c>
      <c r="D90" s="624">
        <v>2.02</v>
      </c>
      <c r="E90" s="629"/>
      <c r="F90" s="513">
        <v>25694.0</v>
      </c>
      <c r="G90" s="398" t="s">
        <v>1693</v>
      </c>
      <c r="H90" s="733" t="s">
        <v>1694</v>
      </c>
      <c r="I90" s="398" t="s">
        <v>79</v>
      </c>
      <c r="J90" s="700"/>
      <c r="K90" s="392"/>
    </row>
    <row r="91" ht="15.75" customHeight="1">
      <c r="A91" s="511" t="s">
        <v>1696</v>
      </c>
      <c r="B91" s="541" t="s">
        <v>1697</v>
      </c>
      <c r="C91" s="398" t="s">
        <v>1698</v>
      </c>
      <c r="D91" s="624">
        <f>427/424</f>
        <v>1.007075472</v>
      </c>
      <c r="E91" s="629"/>
      <c r="F91" s="513">
        <v>42798.0</v>
      </c>
      <c r="G91" s="398" t="s">
        <v>656</v>
      </c>
      <c r="H91" s="755"/>
      <c r="I91" s="398" t="s">
        <v>1702</v>
      </c>
      <c r="J91" s="700"/>
      <c r="K91" s="392"/>
    </row>
    <row r="92" ht="15.75" customHeight="1">
      <c r="A92" s="656" t="s">
        <v>200</v>
      </c>
      <c r="B92" s="759"/>
      <c r="C92" s="760"/>
      <c r="D92" s="668">
        <f>SUM(D75:D91)</f>
        <v>13.37759434</v>
      </c>
      <c r="E92" s="761"/>
      <c r="F92" s="761">
        <f>SUM(F75:F91)</f>
        <v>366694</v>
      </c>
      <c r="G92" s="762"/>
      <c r="H92" s="763"/>
      <c r="I92" s="764"/>
      <c r="J92" s="392"/>
      <c r="K92" s="392"/>
    </row>
    <row r="93" ht="15.75" customHeight="1">
      <c r="A93" s="765" t="s">
        <v>390</v>
      </c>
      <c r="B93" s="27"/>
      <c r="C93" s="27"/>
      <c r="D93" s="27"/>
      <c r="E93" s="27"/>
      <c r="F93" s="27"/>
      <c r="G93" s="27"/>
      <c r="H93" s="27"/>
      <c r="I93" s="687"/>
      <c r="J93" s="440"/>
      <c r="K93" s="392"/>
    </row>
    <row r="94" ht="94.5" customHeight="1">
      <c r="A94" s="468" t="s">
        <v>1768</v>
      </c>
      <c r="B94" s="452" t="s">
        <v>1769</v>
      </c>
      <c r="C94" s="454" t="s">
        <v>1083</v>
      </c>
      <c r="D94" s="716">
        <f>353.2/424</f>
        <v>0.8330188679</v>
      </c>
      <c r="E94" s="718"/>
      <c r="F94" s="472">
        <v>28250.0</v>
      </c>
      <c r="G94" s="454" t="s">
        <v>1779</v>
      </c>
      <c r="H94" s="454" t="s">
        <v>1780</v>
      </c>
      <c r="I94" s="478" t="s">
        <v>1782</v>
      </c>
      <c r="J94" s="700"/>
      <c r="K94" s="392"/>
    </row>
    <row r="95" ht="82.5" customHeight="1">
      <c r="A95" s="468" t="s">
        <v>1784</v>
      </c>
      <c r="B95" s="452" t="s">
        <v>1785</v>
      </c>
      <c r="C95" s="454" t="s">
        <v>32</v>
      </c>
      <c r="D95" s="716">
        <v>0.92</v>
      </c>
      <c r="E95" s="718"/>
      <c r="F95" s="472"/>
      <c r="G95" s="454" t="s">
        <v>1779</v>
      </c>
      <c r="H95" s="454"/>
      <c r="I95" s="478" t="s">
        <v>1788</v>
      </c>
      <c r="J95" s="700"/>
      <c r="K95" s="392"/>
    </row>
    <row r="96" ht="15.75" customHeight="1">
      <c r="A96" s="468" t="s">
        <v>1790</v>
      </c>
      <c r="B96" s="451" t="s">
        <v>1792</v>
      </c>
      <c r="C96" s="454" t="s">
        <v>241</v>
      </c>
      <c r="D96" s="716">
        <f>569/424</f>
        <v>1.341981132</v>
      </c>
      <c r="E96" s="718"/>
      <c r="F96" s="472"/>
      <c r="G96" s="454" t="s">
        <v>1779</v>
      </c>
      <c r="H96" s="454" t="s">
        <v>1780</v>
      </c>
      <c r="I96" s="766" t="s">
        <v>904</v>
      </c>
      <c r="J96" s="700"/>
      <c r="K96" s="392"/>
    </row>
    <row r="97" ht="45.0" customHeight="1">
      <c r="A97" s="468" t="s">
        <v>1809</v>
      </c>
      <c r="B97" s="768" t="s">
        <v>1813</v>
      </c>
      <c r="C97" s="454" t="s">
        <v>1842</v>
      </c>
      <c r="D97" s="716">
        <f>469/424</f>
        <v>1.106132075</v>
      </c>
      <c r="E97" s="718"/>
      <c r="F97" s="472"/>
      <c r="G97" s="454" t="s">
        <v>535</v>
      </c>
      <c r="H97" s="454" t="s">
        <v>535</v>
      </c>
      <c r="I97" s="478" t="s">
        <v>1843</v>
      </c>
      <c r="J97" s="700"/>
      <c r="K97" s="392"/>
    </row>
    <row r="98" ht="15.75" customHeight="1">
      <c r="A98" s="511" t="s">
        <v>1844</v>
      </c>
      <c r="B98" s="541" t="s">
        <v>1845</v>
      </c>
      <c r="C98" s="398" t="s">
        <v>1846</v>
      </c>
      <c r="D98" s="773"/>
      <c r="E98" s="629"/>
      <c r="F98" s="776">
        <v>1120.0</v>
      </c>
      <c r="G98" s="398" t="s">
        <v>346</v>
      </c>
      <c r="H98" s="398" t="s">
        <v>299</v>
      </c>
      <c r="I98" s="531" t="s">
        <v>1847</v>
      </c>
      <c r="J98" s="778" t="s">
        <v>1848</v>
      </c>
      <c r="K98" s="392"/>
    </row>
    <row r="99" ht="112.5" customHeight="1">
      <c r="A99" s="511" t="s">
        <v>1844</v>
      </c>
      <c r="B99" s="398" t="s">
        <v>1849</v>
      </c>
      <c r="C99" s="398" t="s">
        <v>1846</v>
      </c>
      <c r="D99" s="782"/>
      <c r="E99" s="629"/>
      <c r="F99" s="31"/>
      <c r="G99" s="398" t="s">
        <v>346</v>
      </c>
      <c r="H99" s="398" t="s">
        <v>299</v>
      </c>
      <c r="I99" s="502"/>
      <c r="J99" s="325"/>
      <c r="K99" s="392"/>
    </row>
    <row r="100" ht="15.75" customHeight="1">
      <c r="A100" s="511" t="s">
        <v>1850</v>
      </c>
      <c r="B100" s="398" t="s">
        <v>35</v>
      </c>
      <c r="C100" s="398"/>
      <c r="D100" s="624">
        <f>1196/424</f>
        <v>2.820754717</v>
      </c>
      <c r="E100" s="629"/>
      <c r="F100" s="513"/>
      <c r="G100" s="398" t="s">
        <v>1851</v>
      </c>
      <c r="H100" s="398" t="s">
        <v>1852</v>
      </c>
      <c r="I100" s="520" t="s">
        <v>1853</v>
      </c>
      <c r="J100" s="700"/>
      <c r="K100" s="392"/>
    </row>
    <row r="101" ht="15.75" customHeight="1">
      <c r="A101" s="511" t="s">
        <v>1854</v>
      </c>
      <c r="B101" s="398" t="s">
        <v>1855</v>
      </c>
      <c r="C101" s="398"/>
      <c r="D101" s="624">
        <f>185/424</f>
        <v>0.4363207547</v>
      </c>
      <c r="E101" s="629"/>
      <c r="F101" s="513"/>
      <c r="G101" s="398" t="s">
        <v>346</v>
      </c>
      <c r="H101" s="398" t="s">
        <v>1780</v>
      </c>
      <c r="I101" s="520" t="s">
        <v>1856</v>
      </c>
      <c r="J101" s="700"/>
      <c r="K101" s="392"/>
    </row>
    <row r="102" ht="15.75" customHeight="1">
      <c r="A102" s="511" t="s">
        <v>1854</v>
      </c>
      <c r="B102" s="398" t="s">
        <v>1857</v>
      </c>
      <c r="C102" s="398"/>
      <c r="D102" s="624">
        <f>197/424</f>
        <v>0.4646226415</v>
      </c>
      <c r="E102" s="629"/>
      <c r="F102" s="513"/>
      <c r="G102" s="398" t="s">
        <v>346</v>
      </c>
      <c r="H102" s="398" t="s">
        <v>1780</v>
      </c>
      <c r="I102" s="520" t="s">
        <v>1856</v>
      </c>
      <c r="J102" s="700"/>
      <c r="K102" s="392"/>
    </row>
    <row r="103" ht="15.75" customHeight="1">
      <c r="A103" s="511" t="s">
        <v>1854</v>
      </c>
      <c r="B103" s="398" t="s">
        <v>1858</v>
      </c>
      <c r="C103" s="398"/>
      <c r="D103" s="624">
        <f>120/424</f>
        <v>0.2830188679</v>
      </c>
      <c r="E103" s="629"/>
      <c r="F103" s="513"/>
      <c r="G103" s="398" t="s">
        <v>346</v>
      </c>
      <c r="H103" s="398" t="s">
        <v>1780</v>
      </c>
      <c r="I103" s="520" t="s">
        <v>1859</v>
      </c>
      <c r="J103" s="700"/>
      <c r="K103" s="392"/>
    </row>
    <row r="104" ht="15.75" customHeight="1">
      <c r="A104" s="462" t="s">
        <v>1860</v>
      </c>
      <c r="B104" s="457" t="s">
        <v>646</v>
      </c>
      <c r="C104" s="457"/>
      <c r="D104" s="695">
        <v>0.82</v>
      </c>
      <c r="E104" s="698"/>
      <c r="F104" s="463"/>
      <c r="G104" s="457" t="s">
        <v>346</v>
      </c>
      <c r="H104" s="457" t="s">
        <v>1780</v>
      </c>
      <c r="I104" s="465" t="s">
        <v>1861</v>
      </c>
      <c r="J104" s="700"/>
      <c r="K104" s="392"/>
    </row>
    <row r="105" ht="15.75" customHeight="1">
      <c r="A105" s="788" t="s">
        <v>1862</v>
      </c>
      <c r="B105" s="398" t="s">
        <v>1867</v>
      </c>
      <c r="C105" s="398"/>
      <c r="D105" s="624">
        <v>0.47</v>
      </c>
      <c r="E105" s="629"/>
      <c r="F105" s="513"/>
      <c r="G105" s="398" t="s">
        <v>346</v>
      </c>
      <c r="H105" s="398" t="s">
        <v>1780</v>
      </c>
      <c r="I105" s="520" t="s">
        <v>1868</v>
      </c>
      <c r="J105" s="700"/>
      <c r="K105" s="392"/>
    </row>
    <row r="106" ht="15.75" customHeight="1">
      <c r="A106" s="493"/>
      <c r="B106" s="380" t="s">
        <v>1869</v>
      </c>
      <c r="C106" s="398"/>
      <c r="D106" s="624">
        <v>0.72</v>
      </c>
      <c r="E106" s="629"/>
      <c r="F106" s="513"/>
      <c r="G106" s="398" t="s">
        <v>346</v>
      </c>
      <c r="H106" s="398" t="s">
        <v>1780</v>
      </c>
      <c r="I106" s="520" t="s">
        <v>1870</v>
      </c>
      <c r="J106" s="700"/>
      <c r="K106" s="392"/>
    </row>
    <row r="107" ht="15.75" customHeight="1">
      <c r="A107" s="493"/>
      <c r="B107" s="398" t="s">
        <v>1871</v>
      </c>
      <c r="C107" s="398"/>
      <c r="D107" s="624">
        <v>0.6</v>
      </c>
      <c r="E107" s="629"/>
      <c r="F107" s="513"/>
      <c r="G107" s="398" t="s">
        <v>346</v>
      </c>
      <c r="H107" s="398" t="s">
        <v>1780</v>
      </c>
      <c r="I107" s="520" t="s">
        <v>1872</v>
      </c>
      <c r="J107" s="700"/>
      <c r="K107" s="392"/>
    </row>
    <row r="108" ht="15.75" customHeight="1">
      <c r="A108" s="499"/>
      <c r="B108" s="479" t="s">
        <v>1873</v>
      </c>
      <c r="C108" s="398" t="s">
        <v>1215</v>
      </c>
      <c r="D108" s="624">
        <v>0.67</v>
      </c>
      <c r="E108" s="629"/>
      <c r="F108" s="513"/>
      <c r="G108" s="398" t="s">
        <v>346</v>
      </c>
      <c r="H108" s="398" t="s">
        <v>1780</v>
      </c>
      <c r="I108" s="520" t="s">
        <v>1874</v>
      </c>
      <c r="J108" s="700"/>
      <c r="K108" s="392"/>
    </row>
    <row r="109" ht="15.75" customHeight="1">
      <c r="A109" s="511" t="s">
        <v>1875</v>
      </c>
      <c r="B109" s="398" t="s">
        <v>35</v>
      </c>
      <c r="C109" s="398" t="s">
        <v>1532</v>
      </c>
      <c r="D109" s="624">
        <f>383/424</f>
        <v>0.9033018868</v>
      </c>
      <c r="E109" s="629"/>
      <c r="F109" s="513"/>
      <c r="G109" s="398" t="s">
        <v>1876</v>
      </c>
      <c r="H109" s="398" t="s">
        <v>1780</v>
      </c>
      <c r="I109" s="520" t="s">
        <v>1877</v>
      </c>
      <c r="J109" s="700"/>
      <c r="K109" s="392"/>
    </row>
    <row r="110" ht="15.75" customHeight="1">
      <c r="A110" s="511" t="s">
        <v>1878</v>
      </c>
      <c r="B110" s="398" t="s">
        <v>35</v>
      </c>
      <c r="C110" s="398"/>
      <c r="D110" s="624">
        <v>3.327</v>
      </c>
      <c r="E110" s="629"/>
      <c r="F110" s="513"/>
      <c r="G110" s="398" t="s">
        <v>1876</v>
      </c>
      <c r="H110" s="398" t="s">
        <v>1780</v>
      </c>
      <c r="I110" s="520" t="s">
        <v>1879</v>
      </c>
      <c r="J110" s="700"/>
      <c r="K110" s="392"/>
    </row>
    <row r="111" ht="15.75" customHeight="1">
      <c r="A111" s="511" t="s">
        <v>1880</v>
      </c>
      <c r="B111" s="398" t="s">
        <v>35</v>
      </c>
      <c r="C111" s="398"/>
      <c r="D111" s="624">
        <v>3.957</v>
      </c>
      <c r="E111" s="629"/>
      <c r="F111" s="513"/>
      <c r="G111" s="398" t="s">
        <v>1876</v>
      </c>
      <c r="H111" s="398" t="s">
        <v>1780</v>
      </c>
      <c r="I111" s="520" t="s">
        <v>1879</v>
      </c>
      <c r="J111" s="700"/>
      <c r="K111" s="392"/>
    </row>
    <row r="112" ht="15.75" customHeight="1">
      <c r="A112" s="511" t="s">
        <v>1881</v>
      </c>
      <c r="B112" s="380" t="s">
        <v>1882</v>
      </c>
      <c r="C112" s="398" t="s">
        <v>1883</v>
      </c>
      <c r="D112" s="624">
        <v>0.33</v>
      </c>
      <c r="E112" s="629"/>
      <c r="F112" s="513"/>
      <c r="G112" s="398" t="s">
        <v>346</v>
      </c>
      <c r="H112" s="398" t="s">
        <v>1780</v>
      </c>
      <c r="I112" s="520" t="s">
        <v>1884</v>
      </c>
      <c r="J112" s="700"/>
      <c r="K112" s="392"/>
    </row>
    <row r="113" ht="44.25" customHeight="1">
      <c r="A113" s="462" t="s">
        <v>1886</v>
      </c>
      <c r="B113" s="508" t="s">
        <v>1887</v>
      </c>
      <c r="C113" s="457" t="s">
        <v>1888</v>
      </c>
      <c r="D113" s="695">
        <v>0.5</v>
      </c>
      <c r="E113" s="698"/>
      <c r="F113" s="463"/>
      <c r="G113" s="457" t="s">
        <v>1779</v>
      </c>
      <c r="H113" s="457"/>
      <c r="I113" s="465" t="s">
        <v>1889</v>
      </c>
      <c r="J113" s="700"/>
      <c r="K113" s="392"/>
    </row>
    <row r="114" ht="15.75" customHeight="1">
      <c r="A114" s="511" t="s">
        <v>1890</v>
      </c>
      <c r="B114" s="398" t="s">
        <v>35</v>
      </c>
      <c r="C114" s="398" t="s">
        <v>1891</v>
      </c>
      <c r="D114" s="624">
        <v>0.97</v>
      </c>
      <c r="E114" s="629"/>
      <c r="F114" s="513">
        <v>15433.0</v>
      </c>
      <c r="G114" s="398" t="s">
        <v>346</v>
      </c>
      <c r="H114" s="398"/>
      <c r="I114" s="520" t="s">
        <v>1879</v>
      </c>
      <c r="J114" s="700"/>
      <c r="K114" s="392"/>
    </row>
    <row r="115" ht="15.75" customHeight="1">
      <c r="A115" s="511" t="s">
        <v>1898</v>
      </c>
      <c r="B115" s="398" t="s">
        <v>1899</v>
      </c>
      <c r="C115" s="398"/>
      <c r="D115" s="624"/>
      <c r="E115" s="629"/>
      <c r="F115" s="513"/>
      <c r="G115" s="398"/>
      <c r="H115" s="398"/>
      <c r="I115" s="520" t="s">
        <v>1900</v>
      </c>
      <c r="J115" s="700"/>
      <c r="K115" s="392"/>
    </row>
    <row r="116" ht="15.75" customHeight="1">
      <c r="A116" s="511" t="s">
        <v>1901</v>
      </c>
      <c r="B116" s="490" t="s">
        <v>1902</v>
      </c>
      <c r="C116" s="398" t="s">
        <v>1903</v>
      </c>
      <c r="D116" s="624">
        <f>97.52/424</f>
        <v>0.23</v>
      </c>
      <c r="E116" s="629"/>
      <c r="F116" s="513"/>
      <c r="G116" s="398" t="s">
        <v>346</v>
      </c>
      <c r="H116" s="398"/>
      <c r="I116" s="520" t="s">
        <v>1904</v>
      </c>
      <c r="J116" s="700"/>
      <c r="K116" s="392"/>
    </row>
    <row r="117" ht="15.75" customHeight="1">
      <c r="A117" s="511" t="s">
        <v>1905</v>
      </c>
      <c r="B117" s="380" t="s">
        <v>1906</v>
      </c>
      <c r="C117" s="398" t="s">
        <v>1907</v>
      </c>
      <c r="D117" s="624">
        <f>499.896/424</f>
        <v>1.179</v>
      </c>
      <c r="E117" s="629"/>
      <c r="F117" s="513"/>
      <c r="G117" s="398" t="s">
        <v>346</v>
      </c>
      <c r="H117" s="398"/>
      <c r="I117" s="520" t="s">
        <v>1879</v>
      </c>
      <c r="J117" s="700"/>
      <c r="K117" s="392"/>
    </row>
    <row r="118" ht="15.75" customHeight="1">
      <c r="A118" s="511" t="s">
        <v>1901</v>
      </c>
      <c r="B118" s="380" t="s">
        <v>1909</v>
      </c>
      <c r="C118" s="398" t="s">
        <v>806</v>
      </c>
      <c r="D118" s="624">
        <f>118.72/424</f>
        <v>0.28</v>
      </c>
      <c r="E118" s="629"/>
      <c r="F118" s="513"/>
      <c r="G118" s="398" t="s">
        <v>346</v>
      </c>
      <c r="H118" s="398"/>
      <c r="I118" s="520" t="s">
        <v>1879</v>
      </c>
      <c r="J118" s="700"/>
      <c r="K118" s="392"/>
    </row>
    <row r="119" ht="15.75" customHeight="1">
      <c r="A119" s="511" t="s">
        <v>1910</v>
      </c>
      <c r="B119" s="400" t="s">
        <v>1911</v>
      </c>
      <c r="C119" s="398" t="s">
        <v>1912</v>
      </c>
      <c r="D119" s="624">
        <f>169.6/424</f>
        <v>0.4</v>
      </c>
      <c r="E119" s="629"/>
      <c r="F119" s="513"/>
      <c r="G119" s="398" t="s">
        <v>346</v>
      </c>
      <c r="H119" s="398"/>
      <c r="I119" s="520" t="s">
        <v>1879</v>
      </c>
      <c r="J119" s="700"/>
      <c r="K119" s="392"/>
    </row>
    <row r="120" ht="15.75" customHeight="1">
      <c r="A120" s="462" t="s">
        <v>1913</v>
      </c>
      <c r="B120" s="801"/>
      <c r="C120" s="457" t="s">
        <v>1917</v>
      </c>
      <c r="D120" s="695">
        <v>3.0707</v>
      </c>
      <c r="E120" s="698"/>
      <c r="F120" s="463"/>
      <c r="G120" s="457"/>
      <c r="H120" s="457"/>
      <c r="I120" s="465" t="s">
        <v>1918</v>
      </c>
      <c r="J120" s="700"/>
      <c r="K120" s="392"/>
    </row>
    <row r="121" ht="15.75" customHeight="1">
      <c r="A121" s="511" t="s">
        <v>1919</v>
      </c>
      <c r="B121" s="380" t="s">
        <v>1920</v>
      </c>
      <c r="C121" s="398" t="s">
        <v>1921</v>
      </c>
      <c r="D121" s="624">
        <f>324/424</f>
        <v>0.7641509434</v>
      </c>
      <c r="E121" s="629"/>
      <c r="F121" s="513"/>
      <c r="G121" s="398" t="s">
        <v>346</v>
      </c>
      <c r="H121" s="398" t="s">
        <v>1780</v>
      </c>
      <c r="I121" s="520" t="s">
        <v>1922</v>
      </c>
      <c r="J121" s="700"/>
      <c r="K121" s="392"/>
    </row>
    <row r="122" ht="15.75" customHeight="1">
      <c r="A122" s="807" t="s">
        <v>1923</v>
      </c>
      <c r="B122" s="458" t="s">
        <v>35</v>
      </c>
      <c r="C122" s="457" t="s">
        <v>1671</v>
      </c>
      <c r="D122" s="695">
        <f>639/424</f>
        <v>1.507075472</v>
      </c>
      <c r="E122" s="698"/>
      <c r="F122" s="463"/>
      <c r="G122" s="457" t="s">
        <v>346</v>
      </c>
      <c r="H122" s="457"/>
      <c r="I122" s="465" t="s">
        <v>1932</v>
      </c>
      <c r="J122" s="700"/>
      <c r="K122" s="392"/>
    </row>
    <row r="123" ht="15.75" customHeight="1">
      <c r="A123" s="810" t="s">
        <v>1919</v>
      </c>
      <c r="B123" s="508" t="s">
        <v>1935</v>
      </c>
      <c r="C123" s="457" t="s">
        <v>1936</v>
      </c>
      <c r="D123" s="695">
        <v>0.456</v>
      </c>
      <c r="E123" s="698"/>
      <c r="F123" s="463"/>
      <c r="G123" s="457" t="s">
        <v>346</v>
      </c>
      <c r="H123" s="457"/>
      <c r="I123" s="465" t="s">
        <v>1879</v>
      </c>
      <c r="J123" s="700"/>
      <c r="K123" s="392"/>
    </row>
    <row r="124" ht="15.75" customHeight="1">
      <c r="A124" s="499"/>
      <c r="B124" s="508" t="s">
        <v>1937</v>
      </c>
      <c r="C124" s="457" t="s">
        <v>1938</v>
      </c>
      <c r="D124" s="695">
        <v>0.333</v>
      </c>
      <c r="E124" s="698"/>
      <c r="F124" s="463"/>
      <c r="G124" s="457" t="s">
        <v>346</v>
      </c>
      <c r="H124" s="457"/>
      <c r="I124" s="465" t="s">
        <v>1939</v>
      </c>
      <c r="J124" s="700"/>
      <c r="K124" s="392"/>
    </row>
    <row r="125" ht="15.75" customHeight="1">
      <c r="A125" s="815" t="s">
        <v>1940</v>
      </c>
      <c r="B125" s="398" t="s">
        <v>1943</v>
      </c>
      <c r="C125" s="398" t="s">
        <v>1944</v>
      </c>
      <c r="D125" s="624">
        <f>1611/424</f>
        <v>3.799528302</v>
      </c>
      <c r="E125" s="629"/>
      <c r="F125" s="513"/>
      <c r="G125" s="398" t="s">
        <v>346</v>
      </c>
      <c r="H125" s="398" t="s">
        <v>1780</v>
      </c>
      <c r="I125" s="520" t="s">
        <v>1879</v>
      </c>
      <c r="J125" s="700"/>
      <c r="K125" s="392"/>
    </row>
    <row r="126" ht="62.25" customHeight="1">
      <c r="A126" s="815" t="s">
        <v>1946</v>
      </c>
      <c r="B126" s="541" t="s">
        <v>1947</v>
      </c>
      <c r="C126" s="398" t="s">
        <v>1948</v>
      </c>
      <c r="D126" s="624">
        <f>1494/424</f>
        <v>3.523584906</v>
      </c>
      <c r="E126" s="629"/>
      <c r="F126" s="513"/>
      <c r="G126" s="398" t="s">
        <v>346</v>
      </c>
      <c r="H126" s="398" t="s">
        <v>1780</v>
      </c>
      <c r="I126" s="520" t="s">
        <v>1950</v>
      </c>
      <c r="J126" s="700"/>
      <c r="K126" s="392"/>
    </row>
    <row r="127" ht="15.75" customHeight="1">
      <c r="A127" s="788" t="s">
        <v>1951</v>
      </c>
      <c r="B127" s="380" t="s">
        <v>1955</v>
      </c>
      <c r="C127" s="398" t="s">
        <v>1957</v>
      </c>
      <c r="D127" s="624">
        <v>1.23</v>
      </c>
      <c r="E127" s="629">
        <v>520.0</v>
      </c>
      <c r="F127" s="513"/>
      <c r="G127" s="398" t="s">
        <v>346</v>
      </c>
      <c r="H127" s="398"/>
      <c r="I127" s="520" t="s">
        <v>1958</v>
      </c>
      <c r="J127" s="700"/>
      <c r="K127" s="392"/>
    </row>
    <row r="128" ht="94.5" customHeight="1">
      <c r="A128" s="499"/>
      <c r="B128" s="380" t="s">
        <v>1959</v>
      </c>
      <c r="C128" s="398" t="s">
        <v>1960</v>
      </c>
      <c r="D128" s="624">
        <v>0.01</v>
      </c>
      <c r="E128" s="629"/>
      <c r="F128" s="513"/>
      <c r="G128" s="398" t="s">
        <v>346</v>
      </c>
      <c r="H128" s="398"/>
      <c r="I128" s="520" t="s">
        <v>1879</v>
      </c>
      <c r="J128" s="700" t="s">
        <v>1961</v>
      </c>
      <c r="K128" s="392"/>
    </row>
    <row r="129" ht="84.75" customHeight="1">
      <c r="A129" s="815" t="s">
        <v>1962</v>
      </c>
      <c r="B129" s="541" t="s">
        <v>1963</v>
      </c>
      <c r="C129" s="398" t="s">
        <v>1964</v>
      </c>
      <c r="D129" s="624">
        <v>0.85</v>
      </c>
      <c r="E129" s="629"/>
      <c r="F129" s="513"/>
      <c r="G129" s="398" t="s">
        <v>346</v>
      </c>
      <c r="H129" s="398"/>
      <c r="I129" s="520" t="s">
        <v>1965</v>
      </c>
      <c r="J129" s="700"/>
      <c r="K129" s="392"/>
    </row>
    <row r="130" ht="15.75" customHeight="1">
      <c r="A130" s="656" t="s">
        <v>200</v>
      </c>
      <c r="B130" s="760"/>
      <c r="C130" s="760"/>
      <c r="D130" s="668">
        <f>SUM(D94:D129)</f>
        <v>39.10619057</v>
      </c>
      <c r="E130" s="761"/>
      <c r="F130" s="761">
        <f>SUM(F94:F129)</f>
        <v>44803</v>
      </c>
      <c r="G130" s="762"/>
      <c r="H130" s="763"/>
      <c r="I130" s="829"/>
      <c r="J130" s="392"/>
      <c r="K130" s="392"/>
    </row>
    <row r="131" ht="15.75" customHeight="1">
      <c r="A131" s="685" t="s">
        <v>312</v>
      </c>
      <c r="B131" s="27"/>
      <c r="C131" s="27"/>
      <c r="D131" s="27"/>
      <c r="E131" s="27"/>
      <c r="F131" s="27"/>
      <c r="G131" s="27"/>
      <c r="H131" s="27"/>
      <c r="I131" s="687"/>
      <c r="J131" s="440"/>
      <c r="K131" s="392"/>
    </row>
    <row r="132" ht="15.75" customHeight="1">
      <c r="A132" s="834" t="s">
        <v>1972</v>
      </c>
      <c r="B132" s="458" t="s">
        <v>35</v>
      </c>
      <c r="C132" s="838" t="s">
        <v>1976</v>
      </c>
      <c r="D132" s="842">
        <v>1.47</v>
      </c>
      <c r="E132" s="845"/>
      <c r="F132" s="846">
        <v>24986.0</v>
      </c>
      <c r="G132" s="838" t="s">
        <v>346</v>
      </c>
      <c r="H132" s="838" t="s">
        <v>2006</v>
      </c>
      <c r="I132" s="465" t="s">
        <v>2007</v>
      </c>
      <c r="J132" s="700"/>
      <c r="K132" s="392"/>
    </row>
    <row r="133" ht="15.75" customHeight="1">
      <c r="A133" s="807" t="s">
        <v>2008</v>
      </c>
      <c r="B133" s="458"/>
      <c r="C133" s="838" t="s">
        <v>2009</v>
      </c>
      <c r="D133" s="842" t="s">
        <v>2010</v>
      </c>
      <c r="E133" s="845"/>
      <c r="F133" s="846"/>
      <c r="G133" s="838"/>
      <c r="H133" s="838"/>
      <c r="I133" s="465" t="s">
        <v>2011</v>
      </c>
      <c r="J133" s="700"/>
      <c r="K133" s="392"/>
    </row>
    <row r="134" ht="73.5" customHeight="1">
      <c r="A134" s="848" t="s">
        <v>2012</v>
      </c>
      <c r="B134" s="342" t="s">
        <v>878</v>
      </c>
      <c r="C134" s="500" t="s">
        <v>2014</v>
      </c>
      <c r="D134" s="852">
        <v>3.073</v>
      </c>
      <c r="E134" s="340"/>
      <c r="F134" s="856">
        <v>52126.4</v>
      </c>
      <c r="G134" s="500" t="s">
        <v>346</v>
      </c>
      <c r="H134" s="500" t="s">
        <v>698</v>
      </c>
      <c r="I134" s="520" t="s">
        <v>2018</v>
      </c>
      <c r="J134" s="700"/>
      <c r="K134" s="392"/>
    </row>
    <row r="135" ht="120.75" customHeight="1">
      <c r="A135" s="441" t="s">
        <v>2019</v>
      </c>
      <c r="B135" s="452" t="s">
        <v>2020</v>
      </c>
      <c r="C135" s="861" t="s">
        <v>2021</v>
      </c>
      <c r="D135" s="862">
        <v>6.53</v>
      </c>
      <c r="E135" s="443"/>
      <c r="F135" s="863">
        <v>110867.6</v>
      </c>
      <c r="G135" s="861" t="s">
        <v>346</v>
      </c>
      <c r="H135" s="861" t="s">
        <v>702</v>
      </c>
      <c r="I135" s="478" t="s">
        <v>2022</v>
      </c>
      <c r="J135" s="700"/>
      <c r="K135" s="392"/>
    </row>
    <row r="136" ht="15.75" customHeight="1">
      <c r="A136" s="864" t="s">
        <v>2023</v>
      </c>
      <c r="B136" s="541" t="s">
        <v>2024</v>
      </c>
      <c r="C136" s="398" t="s">
        <v>2025</v>
      </c>
      <c r="D136" s="624">
        <f>152.6/424</f>
        <v>0.3599056604</v>
      </c>
      <c r="E136" s="629"/>
      <c r="F136" s="513">
        <v>5341.0</v>
      </c>
      <c r="G136" s="398" t="s">
        <v>346</v>
      </c>
      <c r="H136" s="398" t="s">
        <v>371</v>
      </c>
      <c r="I136" s="520" t="s">
        <v>201</v>
      </c>
      <c r="J136" s="700"/>
      <c r="K136" s="392"/>
    </row>
    <row r="137" ht="15.75" customHeight="1">
      <c r="A137" s="864" t="s">
        <v>2027</v>
      </c>
      <c r="B137" s="342" t="s">
        <v>35</v>
      </c>
      <c r="C137" s="398" t="s">
        <v>2028</v>
      </c>
      <c r="D137" s="624">
        <v>0.33</v>
      </c>
      <c r="E137" s="629"/>
      <c r="F137" s="513">
        <v>4945.85</v>
      </c>
      <c r="G137" s="398" t="s">
        <v>346</v>
      </c>
      <c r="H137" s="398"/>
      <c r="I137" s="520" t="s">
        <v>1879</v>
      </c>
      <c r="J137" s="700"/>
      <c r="K137" s="392"/>
    </row>
    <row r="138" ht="15.75" customHeight="1">
      <c r="A138" s="864" t="s">
        <v>2029</v>
      </c>
      <c r="B138" s="342" t="s">
        <v>35</v>
      </c>
      <c r="C138" s="398" t="s">
        <v>2030</v>
      </c>
      <c r="D138" s="624">
        <v>2.14</v>
      </c>
      <c r="E138" s="629"/>
      <c r="F138" s="513">
        <v>27291.0</v>
      </c>
      <c r="G138" s="398" t="s">
        <v>346</v>
      </c>
      <c r="H138" s="398" t="s">
        <v>2031</v>
      </c>
      <c r="I138" s="520" t="s">
        <v>1879</v>
      </c>
      <c r="J138" s="700"/>
      <c r="K138" s="392"/>
    </row>
    <row r="139" ht="15.75" customHeight="1">
      <c r="A139" s="868" t="s">
        <v>2032</v>
      </c>
      <c r="B139" s="508" t="s">
        <v>2033</v>
      </c>
      <c r="C139" s="457" t="s">
        <v>2034</v>
      </c>
      <c r="D139" s="695">
        <v>1.27</v>
      </c>
      <c r="E139" s="698"/>
      <c r="F139" s="463">
        <v>27350.0</v>
      </c>
      <c r="G139" s="457"/>
      <c r="H139" s="457"/>
      <c r="I139" s="465" t="s">
        <v>2035</v>
      </c>
      <c r="J139" s="700"/>
      <c r="K139" s="392"/>
    </row>
    <row r="140" ht="15.75" customHeight="1">
      <c r="A140" s="872" t="s">
        <v>200</v>
      </c>
      <c r="B140" s="877"/>
      <c r="C140" s="877"/>
      <c r="D140" s="881">
        <f>SUM(D132:D139)</f>
        <v>15.17290566</v>
      </c>
      <c r="E140" s="673"/>
      <c r="F140" s="673">
        <f>SUM(F132:F139)</f>
        <v>252907.85</v>
      </c>
      <c r="G140" s="877"/>
      <c r="H140" s="885"/>
      <c r="I140" s="889"/>
      <c r="J140" s="700"/>
      <c r="K140" s="392"/>
    </row>
    <row r="141" ht="15.75" customHeight="1">
      <c r="A141" s="892" t="s">
        <v>456</v>
      </c>
      <c r="B141" s="27"/>
      <c r="C141" s="27"/>
      <c r="D141" s="27"/>
      <c r="E141" s="27"/>
      <c r="F141" s="27"/>
      <c r="G141" s="27"/>
      <c r="H141" s="27"/>
      <c r="I141" s="687"/>
      <c r="J141" s="896"/>
      <c r="K141" s="392"/>
    </row>
    <row r="142" ht="15.75" customHeight="1">
      <c r="A142" s="901" t="s">
        <v>2100</v>
      </c>
      <c r="B142" s="508" t="s">
        <v>2113</v>
      </c>
      <c r="C142" s="567" t="s">
        <v>2114</v>
      </c>
      <c r="D142" s="905">
        <v>0.31</v>
      </c>
      <c r="E142" s="567"/>
      <c r="F142" s="909">
        <v>2660.0</v>
      </c>
      <c r="G142" s="708" t="s">
        <v>346</v>
      </c>
      <c r="H142" s="567"/>
      <c r="I142" s="465" t="s">
        <v>2157</v>
      </c>
      <c r="J142" s="700"/>
      <c r="K142" s="392"/>
    </row>
    <row r="143" ht="15.75" customHeight="1">
      <c r="A143" s="913" t="s">
        <v>2159</v>
      </c>
      <c r="B143" s="167" t="s">
        <v>35</v>
      </c>
      <c r="C143" s="558" t="s">
        <v>2114</v>
      </c>
      <c r="D143" s="917">
        <v>0.386</v>
      </c>
      <c r="E143" s="558"/>
      <c r="F143" s="921">
        <v>3273.4</v>
      </c>
      <c r="G143" s="924" t="s">
        <v>346</v>
      </c>
      <c r="H143" s="928"/>
      <c r="I143" s="520" t="s">
        <v>1054</v>
      </c>
      <c r="J143" s="700"/>
      <c r="K143" s="392"/>
    </row>
    <row r="144" ht="15.75" customHeight="1">
      <c r="A144" s="913" t="s">
        <v>2257</v>
      </c>
      <c r="B144" s="167" t="s">
        <v>2258</v>
      </c>
      <c r="C144" s="117" t="s">
        <v>2260</v>
      </c>
      <c r="D144" s="921">
        <v>0.288</v>
      </c>
      <c r="E144" s="162"/>
      <c r="F144" s="921">
        <v>7849.8</v>
      </c>
      <c r="G144" s="924" t="s">
        <v>346</v>
      </c>
      <c r="H144" s="932"/>
      <c r="I144" s="520" t="s">
        <v>1054</v>
      </c>
      <c r="J144" s="700"/>
      <c r="K144" s="392"/>
    </row>
    <row r="145" ht="15.75" customHeight="1">
      <c r="A145" s="913" t="s">
        <v>2289</v>
      </c>
      <c r="B145" s="167" t="s">
        <v>35</v>
      </c>
      <c r="C145" s="117" t="s">
        <v>2290</v>
      </c>
      <c r="D145" s="921">
        <v>0.54</v>
      </c>
      <c r="E145" s="162"/>
      <c r="F145" s="921">
        <v>4102.0</v>
      </c>
      <c r="G145" s="924" t="s">
        <v>346</v>
      </c>
      <c r="H145" s="932"/>
      <c r="I145" s="520" t="s">
        <v>1054</v>
      </c>
      <c r="J145" s="700"/>
      <c r="K145" s="392"/>
    </row>
    <row r="146" ht="15.75" customHeight="1">
      <c r="A146" s="913" t="s">
        <v>2291</v>
      </c>
      <c r="B146" s="167" t="s">
        <v>35</v>
      </c>
      <c r="C146" s="117" t="s">
        <v>2292</v>
      </c>
      <c r="D146" s="921">
        <v>0.453</v>
      </c>
      <c r="E146" s="162"/>
      <c r="F146" s="921">
        <v>3840.0</v>
      </c>
      <c r="G146" s="117" t="s">
        <v>346</v>
      </c>
      <c r="H146" s="686"/>
      <c r="I146" s="520" t="s">
        <v>1054</v>
      </c>
      <c r="J146" s="700"/>
      <c r="K146" s="392"/>
    </row>
    <row r="147" ht="15.75" customHeight="1">
      <c r="A147" s="913" t="s">
        <v>2294</v>
      </c>
      <c r="B147" s="167" t="s">
        <v>35</v>
      </c>
      <c r="C147" s="117" t="s">
        <v>2295</v>
      </c>
      <c r="D147" s="921">
        <v>0.892</v>
      </c>
      <c r="E147" s="162"/>
      <c r="F147" s="921">
        <v>7508.0</v>
      </c>
      <c r="G147" s="117" t="s">
        <v>346</v>
      </c>
      <c r="H147" s="686"/>
      <c r="I147" s="520" t="s">
        <v>1054</v>
      </c>
      <c r="J147" s="700"/>
      <c r="K147" s="392"/>
    </row>
    <row r="148" ht="15.75" customHeight="1">
      <c r="A148" s="913" t="s">
        <v>2296</v>
      </c>
      <c r="B148" s="167" t="s">
        <v>2297</v>
      </c>
      <c r="C148" s="117" t="s">
        <v>2298</v>
      </c>
      <c r="D148" s="921">
        <v>1.59</v>
      </c>
      <c r="E148" s="162"/>
      <c r="F148" s="921"/>
      <c r="G148" s="924" t="s">
        <v>2299</v>
      </c>
      <c r="H148" s="932"/>
      <c r="I148" s="520" t="s">
        <v>2300</v>
      </c>
      <c r="J148" s="700"/>
      <c r="K148" s="392"/>
    </row>
    <row r="149" ht="15.75" customHeight="1">
      <c r="A149" s="901" t="s">
        <v>2301</v>
      </c>
      <c r="B149" s="219" t="s">
        <v>35</v>
      </c>
      <c r="C149" s="132" t="s">
        <v>2305</v>
      </c>
      <c r="D149" s="909">
        <v>3.67</v>
      </c>
      <c r="E149" s="224"/>
      <c r="F149" s="909"/>
      <c r="G149" s="132" t="s">
        <v>346</v>
      </c>
      <c r="H149" s="676"/>
      <c r="I149" s="465" t="s">
        <v>2306</v>
      </c>
      <c r="J149" s="700"/>
      <c r="K149" s="392"/>
    </row>
    <row r="150" ht="15.75" customHeight="1">
      <c r="A150" s="913" t="s">
        <v>2307</v>
      </c>
      <c r="B150" s="167" t="s">
        <v>1062</v>
      </c>
      <c r="C150" s="117" t="s">
        <v>2308</v>
      </c>
      <c r="D150" s="921">
        <v>0.82</v>
      </c>
      <c r="E150" s="162"/>
      <c r="F150" s="921">
        <v>10449.0</v>
      </c>
      <c r="G150" s="117" t="s">
        <v>346</v>
      </c>
      <c r="H150" s="932"/>
      <c r="I150" s="938" t="s">
        <v>2309</v>
      </c>
      <c r="J150" s="753"/>
      <c r="K150" s="392"/>
    </row>
    <row r="151" ht="15.75" customHeight="1">
      <c r="A151" s="913" t="s">
        <v>2307</v>
      </c>
      <c r="B151" s="167" t="s">
        <v>1062</v>
      </c>
      <c r="C151" s="117" t="s">
        <v>2313</v>
      </c>
      <c r="D151" s="921">
        <v>0.94</v>
      </c>
      <c r="E151" s="162"/>
      <c r="F151" s="921">
        <v>12018.0</v>
      </c>
      <c r="G151" s="117" t="s">
        <v>346</v>
      </c>
      <c r="H151" s="932"/>
      <c r="I151" s="502"/>
      <c r="J151" s="753"/>
      <c r="K151" s="392"/>
    </row>
    <row r="152" ht="15.75" customHeight="1">
      <c r="A152" s="913" t="s">
        <v>2314</v>
      </c>
      <c r="B152" s="167" t="s">
        <v>35</v>
      </c>
      <c r="C152" s="117" t="s">
        <v>2315</v>
      </c>
      <c r="D152" s="921">
        <v>0.83</v>
      </c>
      <c r="E152" s="162"/>
      <c r="F152" s="921"/>
      <c r="G152" s="117" t="s">
        <v>346</v>
      </c>
      <c r="H152" s="932"/>
      <c r="I152" s="520" t="s">
        <v>1054</v>
      </c>
      <c r="J152" s="700"/>
      <c r="K152" s="392"/>
    </row>
    <row r="153" ht="15.75" customHeight="1">
      <c r="A153" s="942" t="s">
        <v>200</v>
      </c>
      <c r="B153" s="945"/>
      <c r="C153" s="945"/>
      <c r="D153" s="948">
        <f>SUM(D142:D152)</f>
        <v>10.719</v>
      </c>
      <c r="E153" s="951"/>
      <c r="F153" s="954">
        <f>SUM(F142:F152)</f>
        <v>51700.2</v>
      </c>
      <c r="G153" s="945"/>
      <c r="H153" s="958"/>
      <c r="I153" s="962"/>
      <c r="J153" s="963"/>
      <c r="K153" s="392"/>
    </row>
    <row r="154" ht="15.75" customHeight="1">
      <c r="A154" s="892" t="s">
        <v>2535</v>
      </c>
      <c r="B154" s="27"/>
      <c r="C154" s="27"/>
      <c r="D154" s="27"/>
      <c r="E154" s="27"/>
      <c r="F154" s="27"/>
      <c r="G154" s="27"/>
      <c r="H154" s="27"/>
      <c r="I154" s="687"/>
      <c r="J154" s="896"/>
      <c r="K154" s="392"/>
    </row>
    <row r="155" ht="15.75" customHeight="1">
      <c r="A155" s="462" t="s">
        <v>2551</v>
      </c>
      <c r="B155" s="457" t="s">
        <v>35</v>
      </c>
      <c r="C155" s="457" t="s">
        <v>2553</v>
      </c>
      <c r="D155" s="695">
        <v>3.31</v>
      </c>
      <c r="E155" s="698"/>
      <c r="F155" s="463">
        <v>63090.0</v>
      </c>
      <c r="G155" s="708" t="s">
        <v>1447</v>
      </c>
      <c r="H155" s="457"/>
      <c r="I155" s="465" t="s">
        <v>2560</v>
      </c>
      <c r="J155" s="700"/>
      <c r="K155" s="690"/>
    </row>
    <row r="156" ht="15.75" customHeight="1">
      <c r="A156" s="462" t="s">
        <v>2562</v>
      </c>
      <c r="B156" s="457" t="s">
        <v>2563</v>
      </c>
      <c r="C156" s="457" t="s">
        <v>56</v>
      </c>
      <c r="D156" s="695">
        <v>1.59</v>
      </c>
      <c r="E156" s="698"/>
      <c r="F156" s="463">
        <f>F155/D155</f>
        <v>19060.42296</v>
      </c>
      <c r="G156" s="708" t="s">
        <v>1447</v>
      </c>
      <c r="H156" s="457"/>
      <c r="I156" s="465" t="s">
        <v>2570</v>
      </c>
      <c r="J156" s="969" t="s">
        <v>2572</v>
      </c>
      <c r="K156" s="690"/>
    </row>
    <row r="157" ht="93.75" customHeight="1">
      <c r="A157" s="462" t="s">
        <v>2580</v>
      </c>
      <c r="B157" s="457" t="s">
        <v>35</v>
      </c>
      <c r="C157" s="457" t="s">
        <v>529</v>
      </c>
      <c r="D157" s="695">
        <f>328.33/424</f>
        <v>0.7743632075</v>
      </c>
      <c r="E157" s="698"/>
      <c r="F157" s="463">
        <v>8208.25</v>
      </c>
      <c r="G157" s="708" t="s">
        <v>2591</v>
      </c>
      <c r="H157" s="457"/>
      <c r="I157" s="972" t="s">
        <v>2597</v>
      </c>
      <c r="J157" s="700"/>
      <c r="K157" s="690"/>
    </row>
    <row r="158" ht="15.75" customHeight="1">
      <c r="A158" s="511" t="s">
        <v>2618</v>
      </c>
      <c r="B158" s="398" t="s">
        <v>35</v>
      </c>
      <c r="C158" s="398" t="s">
        <v>2620</v>
      </c>
      <c r="D158" s="624">
        <f>681.32/424</f>
        <v>1.606886792</v>
      </c>
      <c r="E158" s="629"/>
      <c r="F158" s="513">
        <v>17033.0</v>
      </c>
      <c r="G158" s="924" t="s">
        <v>2591</v>
      </c>
      <c r="H158" s="398"/>
      <c r="I158" s="653" t="s">
        <v>2634</v>
      </c>
      <c r="J158" s="700"/>
      <c r="K158" s="690"/>
    </row>
    <row r="159" ht="102.0" customHeight="1">
      <c r="A159" s="462" t="s">
        <v>2636</v>
      </c>
      <c r="B159" s="457" t="s">
        <v>2638</v>
      </c>
      <c r="C159" s="457" t="s">
        <v>2639</v>
      </c>
      <c r="D159" s="695">
        <f>2803.73/424</f>
        <v>6.612570755</v>
      </c>
      <c r="E159" s="698"/>
      <c r="F159" s="463">
        <v>98130.55</v>
      </c>
      <c r="G159" s="132" t="s">
        <v>2655</v>
      </c>
      <c r="H159" s="457" t="s">
        <v>2659</v>
      </c>
      <c r="I159" s="972" t="s">
        <v>2660</v>
      </c>
      <c r="J159" s="700"/>
      <c r="K159" s="690"/>
    </row>
    <row r="160" ht="15.75" customHeight="1">
      <c r="A160" s="511" t="s">
        <v>2663</v>
      </c>
      <c r="B160" s="398" t="s">
        <v>2664</v>
      </c>
      <c r="C160" s="398" t="s">
        <v>2665</v>
      </c>
      <c r="D160" s="624">
        <f>584/424</f>
        <v>1.377358491</v>
      </c>
      <c r="E160" s="629"/>
      <c r="F160" s="513">
        <v>58000.0</v>
      </c>
      <c r="G160" s="398" t="s">
        <v>1508</v>
      </c>
      <c r="H160" s="398" t="s">
        <v>656</v>
      </c>
      <c r="I160" s="520" t="s">
        <v>2677</v>
      </c>
      <c r="J160" s="700"/>
      <c r="K160" s="690"/>
    </row>
    <row r="161" ht="95.25" customHeight="1">
      <c r="A161" s="462" t="s">
        <v>2680</v>
      </c>
      <c r="B161" s="457" t="s">
        <v>35</v>
      </c>
      <c r="C161" s="457" t="s">
        <v>2683</v>
      </c>
      <c r="D161" s="695">
        <f>611.6/424</f>
        <v>1.44245283</v>
      </c>
      <c r="E161" s="698"/>
      <c r="F161" s="463">
        <v>21406.0</v>
      </c>
      <c r="G161" s="708" t="s">
        <v>1447</v>
      </c>
      <c r="H161" s="457"/>
      <c r="I161" s="972" t="s">
        <v>2696</v>
      </c>
      <c r="J161" s="700"/>
      <c r="K161" s="690"/>
    </row>
    <row r="162" ht="94.5" customHeight="1">
      <c r="A162" s="462" t="s">
        <v>2697</v>
      </c>
      <c r="B162" s="457" t="s">
        <v>35</v>
      </c>
      <c r="C162" s="457" t="s">
        <v>2699</v>
      </c>
      <c r="D162" s="695">
        <f>125.4/424</f>
        <v>0.295754717</v>
      </c>
      <c r="E162" s="698"/>
      <c r="F162" s="463">
        <v>4389.0</v>
      </c>
      <c r="G162" s="708" t="s">
        <v>1447</v>
      </c>
      <c r="H162" s="457"/>
      <c r="I162" s="972" t="s">
        <v>2709</v>
      </c>
      <c r="J162" s="700"/>
      <c r="K162" s="690"/>
    </row>
    <row r="163" ht="132.0" customHeight="1">
      <c r="A163" s="462" t="s">
        <v>2710</v>
      </c>
      <c r="B163" s="457" t="s">
        <v>35</v>
      </c>
      <c r="C163" s="457" t="s">
        <v>56</v>
      </c>
      <c r="D163" s="695">
        <f>1446.35/424</f>
        <v>3.41120283</v>
      </c>
      <c r="E163" s="698"/>
      <c r="F163" s="463">
        <v>28927.0</v>
      </c>
      <c r="G163" s="708" t="s">
        <v>1447</v>
      </c>
      <c r="H163" s="457"/>
      <c r="I163" s="972" t="s">
        <v>2713</v>
      </c>
      <c r="J163" s="700"/>
      <c r="K163" s="690"/>
    </row>
    <row r="164" ht="96.0" customHeight="1">
      <c r="A164" s="462" t="s">
        <v>2714</v>
      </c>
      <c r="B164" s="457" t="s">
        <v>35</v>
      </c>
      <c r="C164" s="457" t="s">
        <v>2715</v>
      </c>
      <c r="D164" s="695">
        <v>0.45</v>
      </c>
      <c r="E164" s="698"/>
      <c r="F164" s="463">
        <v>4992.8</v>
      </c>
      <c r="G164" s="708" t="s">
        <v>1447</v>
      </c>
      <c r="H164" s="457"/>
      <c r="I164" s="972" t="s">
        <v>2716</v>
      </c>
      <c r="J164" s="700"/>
      <c r="K164" s="690"/>
    </row>
    <row r="165" ht="139.5" customHeight="1">
      <c r="A165" s="511" t="s">
        <v>2717</v>
      </c>
      <c r="B165" s="523" t="s">
        <v>2718</v>
      </c>
      <c r="C165" s="398" t="s">
        <v>2719</v>
      </c>
      <c r="D165" s="624">
        <f>812/424</f>
        <v>1.91509434</v>
      </c>
      <c r="E165" s="629"/>
      <c r="F165" s="513">
        <v>28420.0</v>
      </c>
      <c r="G165" s="924" t="s">
        <v>1447</v>
      </c>
      <c r="H165" s="398"/>
      <c r="I165" s="982" t="s">
        <v>2723</v>
      </c>
      <c r="J165" s="700"/>
      <c r="K165" s="690"/>
    </row>
    <row r="166" ht="15.75" customHeight="1">
      <c r="A166" s="511" t="s">
        <v>2731</v>
      </c>
      <c r="B166" s="398" t="s">
        <v>2732</v>
      </c>
      <c r="C166" s="398" t="s">
        <v>1426</v>
      </c>
      <c r="D166" s="624">
        <f>350/424</f>
        <v>0.8254716981</v>
      </c>
      <c r="E166" s="629"/>
      <c r="F166" s="513">
        <v>7000.0</v>
      </c>
      <c r="G166" s="924" t="s">
        <v>1447</v>
      </c>
      <c r="H166" s="398"/>
      <c r="I166" s="986" t="s">
        <v>2740</v>
      </c>
      <c r="J166" s="700"/>
      <c r="K166" s="690"/>
    </row>
    <row r="167" ht="15.75" customHeight="1">
      <c r="A167" s="511" t="s">
        <v>2748</v>
      </c>
      <c r="B167" s="398" t="s">
        <v>2750</v>
      </c>
      <c r="C167" s="398"/>
      <c r="D167" s="624"/>
      <c r="E167" s="629"/>
      <c r="F167" s="513"/>
      <c r="G167" s="924" t="s">
        <v>2299</v>
      </c>
      <c r="H167" s="398"/>
      <c r="I167" s="520" t="s">
        <v>201</v>
      </c>
      <c r="J167" s="700"/>
      <c r="K167" s="392"/>
    </row>
    <row r="168" ht="15.75" customHeight="1">
      <c r="A168" s="462" t="s">
        <v>2759</v>
      </c>
      <c r="B168" s="457" t="s">
        <v>35</v>
      </c>
      <c r="C168" s="457" t="s">
        <v>844</v>
      </c>
      <c r="D168" s="695"/>
      <c r="E168" s="698"/>
      <c r="F168" s="463">
        <f>250*20</f>
        <v>5000</v>
      </c>
      <c r="G168" s="132" t="s">
        <v>2299</v>
      </c>
      <c r="H168" s="457"/>
      <c r="I168" s="972" t="s">
        <v>2765</v>
      </c>
      <c r="J168" s="700"/>
      <c r="K168" s="690"/>
    </row>
    <row r="169" ht="15.75" customHeight="1">
      <c r="A169" s="462" t="s">
        <v>2768</v>
      </c>
      <c r="B169" s="457" t="s">
        <v>35</v>
      </c>
      <c r="C169" s="457" t="s">
        <v>620</v>
      </c>
      <c r="D169" s="695">
        <f>410/424</f>
        <v>0.9669811321</v>
      </c>
      <c r="E169" s="698"/>
      <c r="F169" s="463">
        <v>10250.0</v>
      </c>
      <c r="G169" s="708" t="s">
        <v>2777</v>
      </c>
      <c r="H169" s="457"/>
      <c r="I169" s="972" t="s">
        <v>2779</v>
      </c>
      <c r="J169" s="700"/>
      <c r="K169" s="690"/>
    </row>
    <row r="170" ht="111.75" customHeight="1">
      <c r="A170" s="462" t="s">
        <v>2780</v>
      </c>
      <c r="B170" s="457" t="s">
        <v>35</v>
      </c>
      <c r="C170" s="457" t="s">
        <v>1215</v>
      </c>
      <c r="D170" s="695">
        <f>816/424</f>
        <v>1.924528302</v>
      </c>
      <c r="E170" s="698"/>
      <c r="F170" s="463">
        <v>20400.0</v>
      </c>
      <c r="G170" s="708" t="s">
        <v>2777</v>
      </c>
      <c r="H170" s="224" t="s">
        <v>2782</v>
      </c>
      <c r="I170" s="972" t="s">
        <v>2783</v>
      </c>
      <c r="J170" s="700"/>
      <c r="K170" s="690"/>
    </row>
    <row r="171" ht="15.75" customHeight="1">
      <c r="A171" s="511" t="s">
        <v>2785</v>
      </c>
      <c r="B171" s="398" t="s">
        <v>2732</v>
      </c>
      <c r="C171" s="398" t="s">
        <v>2786</v>
      </c>
      <c r="D171" s="624">
        <f>604/424</f>
        <v>1.424528302</v>
      </c>
      <c r="E171" s="629"/>
      <c r="F171" s="513">
        <v>27180.0</v>
      </c>
      <c r="G171" s="924" t="s">
        <v>2299</v>
      </c>
      <c r="H171" s="398"/>
      <c r="I171" s="520" t="s">
        <v>2787</v>
      </c>
      <c r="J171" s="700"/>
      <c r="K171" s="993"/>
    </row>
    <row r="172" ht="99.0" customHeight="1">
      <c r="A172" s="511" t="s">
        <v>2815</v>
      </c>
      <c r="B172" s="398" t="s">
        <v>35</v>
      </c>
      <c r="C172" s="398" t="s">
        <v>2816</v>
      </c>
      <c r="D172" s="624">
        <f>477/424</f>
        <v>1.125</v>
      </c>
      <c r="E172" s="629"/>
      <c r="F172" s="513">
        <v>11925.0</v>
      </c>
      <c r="G172" s="924" t="s">
        <v>2299</v>
      </c>
      <c r="H172" s="398"/>
      <c r="I172" s="982" t="s">
        <v>2818</v>
      </c>
      <c r="J172" s="700"/>
      <c r="K172" s="690"/>
    </row>
    <row r="173" ht="15.75" customHeight="1">
      <c r="A173" s="511" t="s">
        <v>2819</v>
      </c>
      <c r="B173" s="398" t="s">
        <v>35</v>
      </c>
      <c r="C173" s="398" t="s">
        <v>2820</v>
      </c>
      <c r="D173" s="624">
        <f>470/424</f>
        <v>1.108490566</v>
      </c>
      <c r="E173" s="629"/>
      <c r="F173" s="513">
        <v>11750.0</v>
      </c>
      <c r="G173" s="924" t="s">
        <v>2777</v>
      </c>
      <c r="H173" s="398"/>
      <c r="I173" s="520" t="s">
        <v>2822</v>
      </c>
      <c r="J173" s="700"/>
      <c r="K173" s="690"/>
    </row>
    <row r="174" ht="15.75" customHeight="1">
      <c r="A174" s="462" t="s">
        <v>2823</v>
      </c>
      <c r="B174" s="457" t="s">
        <v>35</v>
      </c>
      <c r="C174" s="457" t="s">
        <v>1422</v>
      </c>
      <c r="D174" s="695">
        <f>301/424</f>
        <v>0.7099056604</v>
      </c>
      <c r="E174" s="698"/>
      <c r="F174" s="463">
        <v>7525.0</v>
      </c>
      <c r="G174" s="708" t="s">
        <v>2777</v>
      </c>
      <c r="H174" s="457"/>
      <c r="I174" s="972" t="s">
        <v>2824</v>
      </c>
      <c r="J174" s="700"/>
      <c r="K174" s="690"/>
    </row>
    <row r="175" ht="15.75" customHeight="1">
      <c r="A175" s="511" t="s">
        <v>2825</v>
      </c>
      <c r="B175" s="398" t="s">
        <v>2826</v>
      </c>
      <c r="C175" s="398" t="s">
        <v>2827</v>
      </c>
      <c r="D175" s="624">
        <f>1322/424</f>
        <v>3.117924528</v>
      </c>
      <c r="E175" s="629"/>
      <c r="F175" s="513">
        <v>33050.0</v>
      </c>
      <c r="G175" s="924" t="s">
        <v>2777</v>
      </c>
      <c r="H175" s="398" t="s">
        <v>2828</v>
      </c>
      <c r="I175" s="982" t="s">
        <v>2829</v>
      </c>
      <c r="J175" s="700"/>
      <c r="K175" s="690"/>
    </row>
    <row r="176" ht="15.75" customHeight="1">
      <c r="A176" s="511" t="s">
        <v>2830</v>
      </c>
      <c r="B176" s="398" t="s">
        <v>35</v>
      </c>
      <c r="C176" s="398" t="s">
        <v>540</v>
      </c>
      <c r="D176" s="624">
        <f>166/424</f>
        <v>0.391509434</v>
      </c>
      <c r="E176" s="629"/>
      <c r="F176" s="513">
        <v>4150.0</v>
      </c>
      <c r="G176" s="924" t="s">
        <v>2777</v>
      </c>
      <c r="H176" s="398"/>
      <c r="I176" s="982" t="s">
        <v>2822</v>
      </c>
      <c r="J176" s="700"/>
      <c r="K176" s="690"/>
    </row>
    <row r="177" ht="15.75" customHeight="1">
      <c r="A177" s="942" t="s">
        <v>200</v>
      </c>
      <c r="B177" s="945"/>
      <c r="C177" s="945"/>
      <c r="D177" s="1003">
        <f>SUM(D155:D176)</f>
        <v>34.38002358</v>
      </c>
      <c r="E177" s="951"/>
      <c r="F177" s="954">
        <f>SUM(F155:F176)</f>
        <v>489887.023</v>
      </c>
      <c r="G177" s="945"/>
      <c r="H177" s="958"/>
      <c r="I177" s="962"/>
      <c r="J177" s="963"/>
      <c r="K177" s="392"/>
    </row>
    <row r="178" ht="15.75" customHeight="1">
      <c r="A178" s="1005" t="s">
        <v>518</v>
      </c>
      <c r="B178" s="1008"/>
      <c r="C178" s="1014"/>
      <c r="D178" s="1017">
        <f>D177+D153+D140+D130+D92+D73</f>
        <v>215.5947142</v>
      </c>
      <c r="E178" s="1017"/>
      <c r="F178" s="1019">
        <f>F177+F153+F140+F130+F92+F73</f>
        <v>2266082.723</v>
      </c>
      <c r="G178" s="1019"/>
      <c r="H178" s="1008"/>
      <c r="I178" s="1025"/>
      <c r="J178" s="1029"/>
      <c r="K178" s="392"/>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1:I1"/>
    <mergeCell ref="A2:I2"/>
    <mergeCell ref="A3:I3"/>
    <mergeCell ref="B4:B5"/>
    <mergeCell ref="C4:F4"/>
    <mergeCell ref="G4:G5"/>
    <mergeCell ref="A6:I6"/>
    <mergeCell ref="H46:H47"/>
    <mergeCell ref="I46:I47"/>
    <mergeCell ref="J69:K70"/>
    <mergeCell ref="H4:H5"/>
    <mergeCell ref="I4:I5"/>
    <mergeCell ref="I21:I23"/>
    <mergeCell ref="G31:G33"/>
    <mergeCell ref="H31:H33"/>
    <mergeCell ref="I31:I33"/>
    <mergeCell ref="G46:G47"/>
    <mergeCell ref="A50:A51"/>
    <mergeCell ref="B50:B51"/>
    <mergeCell ref="G50:G51"/>
    <mergeCell ref="I50:I51"/>
    <mergeCell ref="A74:I74"/>
    <mergeCell ref="A4:A5"/>
    <mergeCell ref="A21:A23"/>
    <mergeCell ref="B21:B23"/>
    <mergeCell ref="A31:A33"/>
    <mergeCell ref="B31:B33"/>
    <mergeCell ref="A46:A47"/>
    <mergeCell ref="B46:B47"/>
    <mergeCell ref="A85:A86"/>
    <mergeCell ref="A105:A108"/>
    <mergeCell ref="A123:A124"/>
    <mergeCell ref="A127:A128"/>
    <mergeCell ref="A131:I131"/>
    <mergeCell ref="A141:I141"/>
    <mergeCell ref="I150:I151"/>
    <mergeCell ref="A154:I154"/>
    <mergeCell ref="B85:B86"/>
    <mergeCell ref="G85:G86"/>
    <mergeCell ref="I85:I87"/>
    <mergeCell ref="A93:I93"/>
    <mergeCell ref="F98:F99"/>
    <mergeCell ref="I98:I99"/>
    <mergeCell ref="J98:J9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30.0"/>
    <col customWidth="1" min="3" max="3" width="30.13"/>
    <col customWidth="1" min="4" max="4" width="31.25"/>
    <col customWidth="1" min="5" max="5" width="30.25"/>
    <col customWidth="1" min="6" max="6" width="34.63"/>
    <col customWidth="1" min="7" max="7" width="38.88"/>
    <col customWidth="1" min="8" max="8" width="47.88"/>
    <col customWidth="1" min="9" max="9" width="54.63"/>
  </cols>
  <sheetData>
    <row r="1">
      <c r="A1" s="2" t="s">
        <v>916</v>
      </c>
      <c r="B1" s="5"/>
      <c r="C1" s="5"/>
      <c r="D1" s="5"/>
      <c r="E1" s="5"/>
      <c r="F1" s="5"/>
      <c r="G1" s="5"/>
      <c r="H1" s="5"/>
      <c r="I1" s="7"/>
    </row>
    <row r="2">
      <c r="A2" s="2" t="s">
        <v>3</v>
      </c>
      <c r="B2" s="5"/>
      <c r="C2" s="5"/>
      <c r="D2" s="5"/>
      <c r="E2" s="5"/>
      <c r="F2" s="5"/>
      <c r="G2" s="5"/>
      <c r="H2" s="5"/>
      <c r="I2" s="7"/>
    </row>
    <row r="3">
      <c r="A3" s="12" t="s">
        <v>923</v>
      </c>
      <c r="B3" s="5"/>
      <c r="C3" s="5"/>
      <c r="D3" s="5"/>
      <c r="E3" s="5"/>
      <c r="F3" s="5"/>
      <c r="G3" s="5"/>
      <c r="H3" s="5"/>
      <c r="I3" s="7"/>
    </row>
    <row r="4">
      <c r="A4" s="469" t="s">
        <v>15</v>
      </c>
      <c r="B4" s="5"/>
      <c r="C4" s="5"/>
      <c r="D4" s="5"/>
      <c r="E4" s="5"/>
      <c r="F4" s="5"/>
      <c r="G4" s="5"/>
      <c r="H4" s="5"/>
      <c r="I4" s="7"/>
    </row>
    <row r="5" ht="15.0" customHeight="1">
      <c r="A5" s="471" t="s">
        <v>950</v>
      </c>
      <c r="B5" s="473" t="s">
        <v>954</v>
      </c>
      <c r="C5" s="473" t="s">
        <v>962</v>
      </c>
      <c r="D5" s="475" t="s">
        <v>965</v>
      </c>
      <c r="E5" s="476"/>
      <c r="F5" s="477"/>
      <c r="G5" s="473" t="s">
        <v>971</v>
      </c>
      <c r="H5" s="473" t="s">
        <v>973</v>
      </c>
      <c r="I5" s="480" t="s">
        <v>22</v>
      </c>
    </row>
    <row r="6">
      <c r="A6" s="432"/>
      <c r="B6" s="434"/>
      <c r="C6" s="434"/>
      <c r="D6" s="483" t="s">
        <v>978</v>
      </c>
      <c r="E6" s="483" t="s">
        <v>8</v>
      </c>
      <c r="F6" s="483" t="s">
        <v>986</v>
      </c>
      <c r="G6" s="434"/>
      <c r="H6" s="434"/>
      <c r="I6" s="437"/>
    </row>
    <row r="7" ht="18.0" customHeight="1">
      <c r="A7" s="485" t="s">
        <v>27</v>
      </c>
      <c r="B7" s="15"/>
      <c r="C7" s="15"/>
      <c r="D7" s="15"/>
      <c r="E7" s="15"/>
      <c r="F7" s="15"/>
      <c r="G7" s="15"/>
      <c r="H7" s="15"/>
      <c r="I7" s="487"/>
    </row>
    <row r="8">
      <c r="A8" s="488" t="s">
        <v>1000</v>
      </c>
      <c r="B8" s="342" t="s">
        <v>1004</v>
      </c>
      <c r="C8" s="342" t="s">
        <v>1005</v>
      </c>
      <c r="D8" s="342" t="s">
        <v>1006</v>
      </c>
      <c r="E8" s="490">
        <v>2.61</v>
      </c>
      <c r="F8" s="492">
        <v>33300.0</v>
      </c>
      <c r="G8" s="490"/>
      <c r="H8" s="490" t="s">
        <v>346</v>
      </c>
      <c r="I8" s="495" t="s">
        <v>682</v>
      </c>
    </row>
    <row r="9">
      <c r="A9" s="498" t="s">
        <v>1022</v>
      </c>
      <c r="B9" s="500" t="s">
        <v>1023</v>
      </c>
      <c r="C9" s="500" t="s">
        <v>1025</v>
      </c>
      <c r="D9" s="500" t="s">
        <v>1026</v>
      </c>
      <c r="E9" s="501">
        <v>5.17</v>
      </c>
      <c r="F9" s="503">
        <f>37759.2+22459.8</f>
        <v>60219</v>
      </c>
      <c r="G9" s="505" t="s">
        <v>1050</v>
      </c>
      <c r="H9" s="490" t="s">
        <v>346</v>
      </c>
      <c r="I9" s="509" t="s">
        <v>682</v>
      </c>
    </row>
    <row r="10" ht="15.0" customHeight="1">
      <c r="A10" s="512" t="s">
        <v>1060</v>
      </c>
      <c r="B10" s="516" t="s">
        <v>1063</v>
      </c>
      <c r="C10" s="519" t="s">
        <v>1064</v>
      </c>
      <c r="D10" s="522" t="s">
        <v>1066</v>
      </c>
      <c r="E10" s="524">
        <v>0.34</v>
      </c>
      <c r="F10" s="526">
        <v>4350.24</v>
      </c>
      <c r="G10" s="528"/>
      <c r="H10" s="416" t="s">
        <v>346</v>
      </c>
      <c r="I10" s="530" t="s">
        <v>1088</v>
      </c>
    </row>
    <row r="11" ht="54.75" customHeight="1">
      <c r="A11" s="499"/>
      <c r="B11" s="31"/>
      <c r="C11" s="31"/>
      <c r="D11" s="522" t="s">
        <v>1094</v>
      </c>
      <c r="E11" s="524">
        <v>0.41</v>
      </c>
      <c r="F11" s="526">
        <v>55000.0</v>
      </c>
      <c r="G11" s="31"/>
      <c r="H11" s="31"/>
      <c r="I11" s="502"/>
    </row>
    <row r="12">
      <c r="A12" s="544" t="s">
        <v>1060</v>
      </c>
      <c r="B12" s="547" t="s">
        <v>1126</v>
      </c>
      <c r="C12" s="547" t="s">
        <v>481</v>
      </c>
      <c r="D12" s="522" t="s">
        <v>1131</v>
      </c>
      <c r="E12" s="524">
        <v>0.13</v>
      </c>
      <c r="F12" s="526">
        <v>3733.24</v>
      </c>
      <c r="G12" s="549" t="s">
        <v>1132</v>
      </c>
      <c r="H12" s="490" t="s">
        <v>346</v>
      </c>
      <c r="I12" s="551" t="s">
        <v>1139</v>
      </c>
    </row>
    <row r="13">
      <c r="A13" s="553" t="s">
        <v>1151</v>
      </c>
      <c r="B13" s="554" t="s">
        <v>1156</v>
      </c>
      <c r="C13" s="554" t="s">
        <v>1160</v>
      </c>
      <c r="D13" s="555" t="s">
        <v>1161</v>
      </c>
      <c r="E13" s="557">
        <v>3.09</v>
      </c>
      <c r="F13" s="561">
        <f>33957.9+6253.45</f>
        <v>40211.35</v>
      </c>
      <c r="G13" s="565"/>
      <c r="H13" s="569"/>
      <c r="I13" s="574" t="s">
        <v>1186</v>
      </c>
    </row>
    <row r="14">
      <c r="A14" s="577" t="s">
        <v>1151</v>
      </c>
      <c r="B14" s="579" t="s">
        <v>1189</v>
      </c>
      <c r="C14" s="579" t="s">
        <v>1191</v>
      </c>
      <c r="D14" s="522" t="s">
        <v>1192</v>
      </c>
      <c r="E14" s="524">
        <v>3.65</v>
      </c>
      <c r="F14" s="526">
        <f>17290+31577.4</f>
        <v>48867.4</v>
      </c>
      <c r="G14" s="583"/>
      <c r="H14" s="490" t="s">
        <v>1196</v>
      </c>
      <c r="I14" s="585" t="s">
        <v>1199</v>
      </c>
    </row>
    <row r="15">
      <c r="A15" s="577" t="s">
        <v>1151</v>
      </c>
      <c r="B15" s="579" t="s">
        <v>1206</v>
      </c>
      <c r="C15" s="579" t="s">
        <v>606</v>
      </c>
      <c r="D15" s="522" t="s">
        <v>377</v>
      </c>
      <c r="E15" s="524">
        <v>0.46</v>
      </c>
      <c r="F15" s="526">
        <v>7840.0</v>
      </c>
      <c r="G15" s="588" t="s">
        <v>1209</v>
      </c>
      <c r="H15" s="591" t="s">
        <v>1214</v>
      </c>
      <c r="I15" s="585" t="s">
        <v>1220</v>
      </c>
    </row>
    <row r="16">
      <c r="A16" s="577" t="s">
        <v>1221</v>
      </c>
      <c r="B16" s="579" t="s">
        <v>1222</v>
      </c>
      <c r="C16" s="579" t="s">
        <v>1223</v>
      </c>
      <c r="D16" s="522" t="s">
        <v>1224</v>
      </c>
      <c r="E16" s="524">
        <v>2.4</v>
      </c>
      <c r="F16" s="526">
        <v>25425.83</v>
      </c>
      <c r="G16" s="593"/>
      <c r="H16" s="524" t="s">
        <v>346</v>
      </c>
      <c r="I16" s="585" t="s">
        <v>682</v>
      </c>
    </row>
    <row r="17">
      <c r="A17" s="597" t="s">
        <v>1226</v>
      </c>
      <c r="B17" s="602" t="s">
        <v>1229</v>
      </c>
      <c r="C17" s="602" t="s">
        <v>1232</v>
      </c>
      <c r="D17" s="606" t="s">
        <v>1233</v>
      </c>
      <c r="E17" s="609">
        <v>0.58</v>
      </c>
      <c r="F17" s="612">
        <v>8680.0</v>
      </c>
      <c r="G17" s="609" t="s">
        <v>1259</v>
      </c>
      <c r="H17" s="617" t="s">
        <v>346</v>
      </c>
      <c r="I17" s="620" t="s">
        <v>1271</v>
      </c>
    </row>
    <row r="18">
      <c r="A18" s="623" t="s">
        <v>1278</v>
      </c>
      <c r="B18" s="628" t="s">
        <v>1279</v>
      </c>
      <c r="C18" s="554" t="s">
        <v>1283</v>
      </c>
      <c r="D18" s="555" t="s">
        <v>620</v>
      </c>
      <c r="E18" s="557">
        <v>2.16</v>
      </c>
      <c r="F18" s="561">
        <v>22883.25</v>
      </c>
      <c r="G18" s="632"/>
      <c r="H18" s="632" t="s">
        <v>346</v>
      </c>
      <c r="I18" s="574" t="s">
        <v>1286</v>
      </c>
    </row>
    <row r="19" ht="15.0" customHeight="1">
      <c r="A19" s="512" t="s">
        <v>1287</v>
      </c>
      <c r="B19" s="634" t="s">
        <v>1288</v>
      </c>
      <c r="C19" s="634" t="s">
        <v>481</v>
      </c>
      <c r="D19" s="522" t="s">
        <v>1290</v>
      </c>
      <c r="E19" s="524">
        <v>0.08</v>
      </c>
      <c r="F19" s="526">
        <v>937.5</v>
      </c>
      <c r="G19" s="639" t="s">
        <v>1291</v>
      </c>
      <c r="H19" s="643" t="s">
        <v>1297</v>
      </c>
      <c r="I19" s="647" t="s">
        <v>1301</v>
      </c>
    </row>
    <row r="20">
      <c r="A20" s="499"/>
      <c r="B20" s="31"/>
      <c r="C20" s="31"/>
      <c r="D20" s="522" t="s">
        <v>1311</v>
      </c>
      <c r="E20" s="524">
        <v>0.83</v>
      </c>
      <c r="F20" s="526">
        <v>8800.0</v>
      </c>
      <c r="G20" s="31"/>
      <c r="H20" s="31"/>
      <c r="I20" s="502"/>
    </row>
    <row r="21" ht="15.75" customHeight="1">
      <c r="A21" s="652" t="s">
        <v>1314</v>
      </c>
      <c r="B21" s="655" t="s">
        <v>1321</v>
      </c>
      <c r="C21" s="655" t="s">
        <v>1232</v>
      </c>
      <c r="D21" s="606" t="s">
        <v>213</v>
      </c>
      <c r="E21" s="609">
        <v>0.83</v>
      </c>
      <c r="F21" s="612">
        <v>10500.0</v>
      </c>
      <c r="G21" s="660"/>
      <c r="H21" s="660" t="s">
        <v>346</v>
      </c>
      <c r="I21" s="665" t="s">
        <v>1327</v>
      </c>
    </row>
    <row r="22" ht="15.75" customHeight="1">
      <c r="A22" s="493"/>
      <c r="B22" s="41"/>
      <c r="C22" s="41"/>
      <c r="D22" s="606" t="s">
        <v>1330</v>
      </c>
      <c r="E22" s="609">
        <v>0.5</v>
      </c>
      <c r="F22" s="612">
        <v>10900.0</v>
      </c>
      <c r="G22" s="41"/>
      <c r="H22" s="41"/>
      <c r="I22" s="497"/>
    </row>
    <row r="23" ht="15.75" customHeight="1">
      <c r="A23" s="499"/>
      <c r="B23" s="31"/>
      <c r="C23" s="31"/>
      <c r="D23" s="606" t="s">
        <v>1331</v>
      </c>
      <c r="E23" s="609">
        <v>2.02</v>
      </c>
      <c r="F23" s="612">
        <v>25788.6</v>
      </c>
      <c r="G23" s="31"/>
      <c r="H23" s="31"/>
      <c r="I23" s="502"/>
    </row>
    <row r="24" ht="15.75" customHeight="1">
      <c r="A24" s="577" t="s">
        <v>1332</v>
      </c>
      <c r="B24" s="579" t="s">
        <v>1334</v>
      </c>
      <c r="C24" s="579" t="s">
        <v>1232</v>
      </c>
      <c r="D24" s="522" t="s">
        <v>1335</v>
      </c>
      <c r="E24" s="524">
        <v>2.9</v>
      </c>
      <c r="F24" s="526">
        <f>5000*E24</f>
        <v>14500</v>
      </c>
      <c r="G24" s="669" t="s">
        <v>1050</v>
      </c>
      <c r="H24" s="524" t="s">
        <v>346</v>
      </c>
      <c r="I24" s="585" t="s">
        <v>682</v>
      </c>
    </row>
    <row r="25" ht="15.75" customHeight="1">
      <c r="A25" s="672" t="s">
        <v>1332</v>
      </c>
      <c r="B25" s="675" t="s">
        <v>1337</v>
      </c>
      <c r="C25" s="675" t="s">
        <v>1232</v>
      </c>
      <c r="D25" s="679" t="s">
        <v>1344</v>
      </c>
      <c r="E25" s="682">
        <v>2.2</v>
      </c>
      <c r="F25" s="688">
        <v>43060.5</v>
      </c>
      <c r="G25" s="682"/>
      <c r="H25" s="682" t="s">
        <v>346</v>
      </c>
      <c r="I25" s="691" t="s">
        <v>682</v>
      </c>
    </row>
    <row r="26" ht="15.75" customHeight="1">
      <c r="A26" s="702" t="s">
        <v>1392</v>
      </c>
      <c r="B26" s="706"/>
      <c r="C26" s="712"/>
      <c r="D26" s="706"/>
      <c r="E26" s="715">
        <f t="shared" ref="E26:F26" si="1">SUM(E8:E25)</f>
        <v>30.36</v>
      </c>
      <c r="F26" s="720">
        <f t="shared" si="1"/>
        <v>424996.91</v>
      </c>
      <c r="G26" s="706"/>
      <c r="H26" s="723"/>
      <c r="I26" s="712"/>
    </row>
    <row r="27" ht="15.75" customHeight="1">
      <c r="A27" s="702" t="s">
        <v>747</v>
      </c>
      <c r="B27" s="726"/>
      <c r="C27" s="706"/>
      <c r="D27" s="729"/>
      <c r="E27" s="735"/>
      <c r="F27" s="706"/>
      <c r="G27" s="738"/>
      <c r="H27" s="726"/>
      <c r="I27" s="706"/>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D5:F5"/>
    <mergeCell ref="G5:G6"/>
    <mergeCell ref="A1:I1"/>
    <mergeCell ref="A2:I2"/>
    <mergeCell ref="A3:I3"/>
    <mergeCell ref="A4:I4"/>
    <mergeCell ref="B5:B6"/>
    <mergeCell ref="C5:C6"/>
    <mergeCell ref="A7:I7"/>
    <mergeCell ref="A21:A23"/>
    <mergeCell ref="B21:B23"/>
    <mergeCell ref="C21:C23"/>
    <mergeCell ref="A5:A6"/>
    <mergeCell ref="A10:A11"/>
    <mergeCell ref="B10:B11"/>
    <mergeCell ref="C10:C11"/>
    <mergeCell ref="A19:A20"/>
    <mergeCell ref="B19:B20"/>
    <mergeCell ref="C19:C20"/>
    <mergeCell ref="G19:G20"/>
    <mergeCell ref="G21:G23"/>
    <mergeCell ref="H21:H23"/>
    <mergeCell ref="I21:I23"/>
    <mergeCell ref="H5:H6"/>
    <mergeCell ref="I5:I6"/>
    <mergeCell ref="G10:G11"/>
    <mergeCell ref="H10:H11"/>
    <mergeCell ref="I10:I11"/>
    <mergeCell ref="H19:H20"/>
    <mergeCell ref="I19:I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17.75"/>
    <col customWidth="1" min="3" max="3" width="22.75"/>
    <col customWidth="1" min="4" max="4" width="27.13"/>
    <col customWidth="1" min="5" max="5" width="19.88"/>
    <col customWidth="1" min="6" max="6" width="20.38"/>
    <col customWidth="1" min="7" max="7" width="22.75"/>
    <col customWidth="1" min="8" max="8" width="30.0"/>
    <col customWidth="1" min="9" max="9" width="37.88"/>
    <col customWidth="1" min="10" max="10" width="22.13"/>
  </cols>
  <sheetData>
    <row r="1">
      <c r="A1" s="596" t="s">
        <v>916</v>
      </c>
    </row>
    <row r="2">
      <c r="A2" s="596" t="s">
        <v>3</v>
      </c>
    </row>
    <row r="3">
      <c r="A3" s="599" t="s">
        <v>1228</v>
      </c>
    </row>
    <row r="4">
      <c r="A4" s="603" t="s">
        <v>15</v>
      </c>
    </row>
    <row r="5" ht="15.0" customHeight="1">
      <c r="A5" s="608" t="s">
        <v>950</v>
      </c>
      <c r="B5" s="610" t="s">
        <v>954</v>
      </c>
      <c r="C5" s="610" t="s">
        <v>962</v>
      </c>
      <c r="D5" s="613" t="s">
        <v>965</v>
      </c>
      <c r="E5" s="476"/>
      <c r="F5" s="477"/>
      <c r="G5" s="610" t="s">
        <v>971</v>
      </c>
      <c r="H5" s="610" t="s">
        <v>973</v>
      </c>
      <c r="I5" s="615" t="s">
        <v>22</v>
      </c>
    </row>
    <row r="6">
      <c r="A6" s="616"/>
      <c r="B6" s="397"/>
      <c r="C6" s="397"/>
      <c r="D6" s="619" t="s">
        <v>1268</v>
      </c>
      <c r="E6" s="619" t="s">
        <v>8</v>
      </c>
      <c r="F6" s="622" t="s">
        <v>986</v>
      </c>
      <c r="G6" s="397"/>
      <c r="H6" s="397"/>
      <c r="I6" s="627"/>
    </row>
    <row r="7" ht="15.0" customHeight="1">
      <c r="A7" s="631" t="s">
        <v>27</v>
      </c>
      <c r="B7" s="289"/>
      <c r="C7" s="289"/>
      <c r="D7" s="289"/>
      <c r="E7" s="289"/>
      <c r="F7" s="289"/>
      <c r="G7" s="289"/>
      <c r="H7" s="289"/>
      <c r="I7" s="636"/>
    </row>
    <row r="8">
      <c r="A8" s="640" t="s">
        <v>1293</v>
      </c>
      <c r="B8" s="644" t="s">
        <v>1298</v>
      </c>
      <c r="C8" s="644" t="s">
        <v>1302</v>
      </c>
      <c r="D8" s="644" t="s">
        <v>1303</v>
      </c>
      <c r="E8" s="644">
        <v>5.45</v>
      </c>
      <c r="F8" s="648">
        <v>92545.6</v>
      </c>
      <c r="G8" s="650" t="s">
        <v>1313</v>
      </c>
      <c r="H8" s="644" t="s">
        <v>346</v>
      </c>
      <c r="I8" s="654" t="s">
        <v>1319</v>
      </c>
    </row>
    <row r="9">
      <c r="A9" s="657" t="s">
        <v>1322</v>
      </c>
      <c r="B9" s="661" t="s">
        <v>1326</v>
      </c>
      <c r="C9" s="661" t="s">
        <v>1328</v>
      </c>
      <c r="D9" s="661" t="s">
        <v>1329</v>
      </c>
      <c r="E9" s="661">
        <v>0.59</v>
      </c>
      <c r="F9" s="666">
        <v>8762.25</v>
      </c>
      <c r="G9" s="670" t="s">
        <v>1333</v>
      </c>
      <c r="H9" s="661" t="s">
        <v>346</v>
      </c>
      <c r="I9" s="674" t="s">
        <v>1336</v>
      </c>
    </row>
    <row r="10">
      <c r="A10" s="657" t="s">
        <v>1339</v>
      </c>
      <c r="B10" s="661" t="s">
        <v>1340</v>
      </c>
      <c r="C10" s="661" t="s">
        <v>1341</v>
      </c>
      <c r="D10" s="661" t="s">
        <v>1342</v>
      </c>
      <c r="E10" s="661">
        <v>0.19</v>
      </c>
      <c r="F10" s="666">
        <v>4083.0</v>
      </c>
      <c r="G10" s="678" t="s">
        <v>1343</v>
      </c>
      <c r="H10" s="661" t="s">
        <v>1347</v>
      </c>
      <c r="I10" s="674" t="s">
        <v>1348</v>
      </c>
    </row>
    <row r="11">
      <c r="A11" s="657" t="s">
        <v>1349</v>
      </c>
      <c r="B11" s="661" t="s">
        <v>1298</v>
      </c>
      <c r="C11" s="661" t="s">
        <v>1302</v>
      </c>
      <c r="D11" s="661" t="s">
        <v>1350</v>
      </c>
      <c r="E11" s="661">
        <v>0.07</v>
      </c>
      <c r="F11" s="666">
        <v>900.0</v>
      </c>
      <c r="G11" s="670" t="s">
        <v>1351</v>
      </c>
      <c r="H11" s="661" t="s">
        <v>346</v>
      </c>
      <c r="I11" s="674" t="s">
        <v>1352</v>
      </c>
    </row>
    <row r="12">
      <c r="A12" s="657" t="s">
        <v>1353</v>
      </c>
      <c r="B12" s="661" t="s">
        <v>1354</v>
      </c>
      <c r="C12" s="661" t="s">
        <v>1341</v>
      </c>
      <c r="D12" s="661" t="s">
        <v>1355</v>
      </c>
      <c r="E12" s="661">
        <v>0.27</v>
      </c>
      <c r="F12" s="666">
        <v>5695.5</v>
      </c>
      <c r="G12" s="678" t="s">
        <v>1343</v>
      </c>
      <c r="H12" s="661" t="s">
        <v>1347</v>
      </c>
      <c r="I12" s="674" t="s">
        <v>1356</v>
      </c>
    </row>
    <row r="13">
      <c r="A13" s="657" t="s">
        <v>1357</v>
      </c>
      <c r="B13" s="661" t="s">
        <v>1358</v>
      </c>
      <c r="C13" s="661" t="s">
        <v>1359</v>
      </c>
      <c r="D13" s="661" t="s">
        <v>1360</v>
      </c>
      <c r="E13" s="661">
        <v>0.55</v>
      </c>
      <c r="F13" s="666">
        <v>8165.5</v>
      </c>
      <c r="G13" s="678" t="s">
        <v>1343</v>
      </c>
      <c r="H13" s="661" t="s">
        <v>346</v>
      </c>
      <c r="I13" s="674" t="s">
        <v>1361</v>
      </c>
    </row>
    <row r="14">
      <c r="A14" s="657" t="s">
        <v>1362</v>
      </c>
      <c r="B14" s="661" t="s">
        <v>1363</v>
      </c>
      <c r="C14" s="661" t="s">
        <v>1341</v>
      </c>
      <c r="D14" s="661" t="s">
        <v>1364</v>
      </c>
      <c r="E14" s="683">
        <f>750.79/424</f>
        <v>1.770731132</v>
      </c>
      <c r="F14" s="666">
        <v>78084.3</v>
      </c>
      <c r="G14" s="684" t="s">
        <v>1367</v>
      </c>
      <c r="H14" s="661" t="s">
        <v>1368</v>
      </c>
      <c r="I14" s="674" t="s">
        <v>1369</v>
      </c>
      <c r="J14" s="689"/>
    </row>
    <row r="15">
      <c r="A15" s="657" t="s">
        <v>1375</v>
      </c>
      <c r="B15" s="661" t="s">
        <v>1376</v>
      </c>
      <c r="C15" s="661" t="s">
        <v>1377</v>
      </c>
      <c r="D15" s="661" t="s">
        <v>1378</v>
      </c>
      <c r="E15" s="683">
        <v>0.63</v>
      </c>
      <c r="F15" s="666">
        <v>10700.0</v>
      </c>
      <c r="G15" s="678" t="s">
        <v>1343</v>
      </c>
      <c r="H15" s="661" t="s">
        <v>1379</v>
      </c>
      <c r="I15" s="674" t="s">
        <v>1380</v>
      </c>
    </row>
    <row r="16">
      <c r="A16" s="657" t="s">
        <v>1381</v>
      </c>
      <c r="B16" s="661" t="s">
        <v>1382</v>
      </c>
      <c r="C16" s="661" t="s">
        <v>1359</v>
      </c>
      <c r="D16" s="661" t="s">
        <v>1383</v>
      </c>
      <c r="E16" s="683">
        <f>341/424</f>
        <v>0.804245283</v>
      </c>
      <c r="F16" s="666">
        <v>11935.0</v>
      </c>
      <c r="G16" s="678" t="s">
        <v>1343</v>
      </c>
      <c r="H16" s="661" t="s">
        <v>1386</v>
      </c>
      <c r="I16" s="674" t="s">
        <v>1387</v>
      </c>
    </row>
    <row r="17">
      <c r="A17" s="657" t="s">
        <v>1388</v>
      </c>
      <c r="B17" s="661" t="s">
        <v>1389</v>
      </c>
      <c r="C17" s="661" t="s">
        <v>1390</v>
      </c>
      <c r="D17" s="661" t="s">
        <v>1391</v>
      </c>
      <c r="E17" s="683">
        <v>0.99</v>
      </c>
      <c r="F17" s="666">
        <v>14651.0</v>
      </c>
      <c r="G17" s="678" t="s">
        <v>1343</v>
      </c>
      <c r="H17" s="661" t="s">
        <v>1368</v>
      </c>
      <c r="I17" s="674" t="s">
        <v>1393</v>
      </c>
    </row>
    <row r="18">
      <c r="A18" s="657" t="s">
        <v>1388</v>
      </c>
      <c r="B18" s="661" t="s">
        <v>1394</v>
      </c>
      <c r="C18" s="661" t="s">
        <v>1395</v>
      </c>
      <c r="D18" s="661" t="s">
        <v>1343</v>
      </c>
      <c r="E18" s="661"/>
      <c r="F18" s="666">
        <v>11000.0</v>
      </c>
      <c r="G18" s="684" t="s">
        <v>1396</v>
      </c>
      <c r="H18" s="661" t="s">
        <v>1397</v>
      </c>
      <c r="I18" s="674" t="s">
        <v>1398</v>
      </c>
    </row>
    <row r="19">
      <c r="A19" s="657" t="s">
        <v>1388</v>
      </c>
      <c r="B19" s="661" t="s">
        <v>1400</v>
      </c>
      <c r="C19" s="661" t="s">
        <v>1401</v>
      </c>
      <c r="D19" s="661" t="s">
        <v>1403</v>
      </c>
      <c r="E19" s="683">
        <v>3.16</v>
      </c>
      <c r="F19" s="666">
        <v>67809.4</v>
      </c>
      <c r="G19" s="678" t="s">
        <v>1343</v>
      </c>
      <c r="H19" s="661" t="s">
        <v>346</v>
      </c>
      <c r="I19" s="674" t="s">
        <v>1404</v>
      </c>
    </row>
    <row r="20">
      <c r="A20" s="657" t="s">
        <v>1388</v>
      </c>
      <c r="B20" s="661" t="s">
        <v>1405</v>
      </c>
      <c r="C20" s="661" t="s">
        <v>1395</v>
      </c>
      <c r="D20" s="661" t="s">
        <v>1407</v>
      </c>
      <c r="E20" s="683">
        <v>0.2</v>
      </c>
      <c r="F20" s="666">
        <v>2975.0</v>
      </c>
      <c r="G20" s="670" t="s">
        <v>1408</v>
      </c>
      <c r="H20" s="661" t="s">
        <v>1397</v>
      </c>
      <c r="I20" s="674" t="s">
        <v>1409</v>
      </c>
    </row>
    <row r="21" ht="15.75" customHeight="1">
      <c r="A21" s="657" t="s">
        <v>1410</v>
      </c>
      <c r="B21" s="661" t="s">
        <v>1411</v>
      </c>
      <c r="C21" s="661" t="s">
        <v>1395</v>
      </c>
      <c r="D21" s="661" t="s">
        <v>1412</v>
      </c>
      <c r="E21" s="683">
        <v>0.4</v>
      </c>
      <c r="F21" s="666">
        <v>59195.0</v>
      </c>
      <c r="G21" s="684" t="s">
        <v>1396</v>
      </c>
      <c r="H21" s="661" t="s">
        <v>346</v>
      </c>
      <c r="I21" s="674" t="s">
        <v>1414</v>
      </c>
    </row>
    <row r="22" ht="15.75" customHeight="1">
      <c r="A22" s="696" t="s">
        <v>1415</v>
      </c>
      <c r="B22" s="565" t="s">
        <v>1419</v>
      </c>
      <c r="C22" s="565" t="s">
        <v>1420</v>
      </c>
      <c r="D22" s="565" t="s">
        <v>1421</v>
      </c>
      <c r="E22" s="699">
        <v>1.27</v>
      </c>
      <c r="F22" s="703">
        <v>22980.3</v>
      </c>
      <c r="G22" s="707" t="s">
        <v>1343</v>
      </c>
      <c r="H22" s="565" t="s">
        <v>346</v>
      </c>
      <c r="I22" s="713" t="s">
        <v>1443</v>
      </c>
    </row>
    <row r="23" ht="15.75" customHeight="1">
      <c r="A23" s="657" t="s">
        <v>1452</v>
      </c>
      <c r="B23" s="661" t="s">
        <v>1453</v>
      </c>
      <c r="C23" s="661" t="s">
        <v>1420</v>
      </c>
      <c r="D23" s="661" t="s">
        <v>1454</v>
      </c>
      <c r="E23" s="683">
        <f>121.96/424</f>
        <v>0.2876415094</v>
      </c>
      <c r="F23" s="666">
        <v>4740.0</v>
      </c>
      <c r="G23" s="678" t="s">
        <v>1343</v>
      </c>
      <c r="H23" s="661" t="s">
        <v>1456</v>
      </c>
      <c r="I23" s="674" t="s">
        <v>1457</v>
      </c>
      <c r="J23" s="689"/>
    </row>
    <row r="24" ht="15.75" customHeight="1">
      <c r="A24" s="657" t="s">
        <v>1458</v>
      </c>
      <c r="B24" s="661" t="s">
        <v>1459</v>
      </c>
      <c r="C24" s="661" t="s">
        <v>1460</v>
      </c>
      <c r="D24" s="661" t="s">
        <v>1461</v>
      </c>
      <c r="E24" s="683">
        <v>2.77</v>
      </c>
      <c r="F24" s="666">
        <v>36749.0</v>
      </c>
      <c r="G24" s="678" t="s">
        <v>1343</v>
      </c>
      <c r="H24" s="661" t="s">
        <v>1462</v>
      </c>
      <c r="I24" s="674" t="s">
        <v>1463</v>
      </c>
    </row>
    <row r="25" ht="15.75" customHeight="1">
      <c r="A25" s="657" t="s">
        <v>1464</v>
      </c>
      <c r="B25" s="661" t="s">
        <v>1298</v>
      </c>
      <c r="C25" s="661" t="s">
        <v>1302</v>
      </c>
      <c r="D25" s="661" t="s">
        <v>1465</v>
      </c>
      <c r="E25" s="683">
        <v>0.06</v>
      </c>
      <c r="F25" s="666"/>
      <c r="G25" s="684" t="s">
        <v>1396</v>
      </c>
      <c r="H25" s="661" t="s">
        <v>346</v>
      </c>
      <c r="I25" s="674" t="s">
        <v>1466</v>
      </c>
    </row>
    <row r="26" ht="15.75" customHeight="1">
      <c r="A26" s="657" t="s">
        <v>1467</v>
      </c>
      <c r="B26" s="661" t="s">
        <v>1468</v>
      </c>
      <c r="C26" s="661" t="s">
        <v>1469</v>
      </c>
      <c r="D26" s="661" t="s">
        <v>1470</v>
      </c>
      <c r="E26" s="683">
        <v>0.48</v>
      </c>
      <c r="F26" s="666"/>
      <c r="G26" s="678" t="s">
        <v>1343</v>
      </c>
      <c r="H26" s="661" t="s">
        <v>1471</v>
      </c>
      <c r="I26" s="674" t="s">
        <v>1472</v>
      </c>
    </row>
    <row r="27" ht="15.75" customHeight="1">
      <c r="A27" s="657" t="s">
        <v>1473</v>
      </c>
      <c r="B27" s="661" t="s">
        <v>1474</v>
      </c>
      <c r="C27" s="661" t="s">
        <v>1469</v>
      </c>
      <c r="D27" s="661" t="s">
        <v>1475</v>
      </c>
      <c r="E27" s="683">
        <v>0.68</v>
      </c>
      <c r="F27" s="666">
        <v>10103.0</v>
      </c>
      <c r="G27" s="670" t="s">
        <v>1476</v>
      </c>
      <c r="H27" s="661" t="s">
        <v>1471</v>
      </c>
      <c r="I27" s="674" t="s">
        <v>1477</v>
      </c>
    </row>
    <row r="28" ht="15.75" customHeight="1">
      <c r="A28" s="696" t="s">
        <v>1473</v>
      </c>
      <c r="B28" s="565" t="s">
        <v>1478</v>
      </c>
      <c r="C28" s="565" t="s">
        <v>1479</v>
      </c>
      <c r="D28" s="565" t="s">
        <v>1480</v>
      </c>
      <c r="E28" s="565">
        <v>0.88</v>
      </c>
      <c r="F28" s="703">
        <v>13135.5</v>
      </c>
      <c r="G28" s="707" t="s">
        <v>1343</v>
      </c>
      <c r="H28" s="565" t="s">
        <v>1397</v>
      </c>
      <c r="I28" s="713" t="s">
        <v>1481</v>
      </c>
    </row>
    <row r="29" ht="15.75" customHeight="1">
      <c r="A29" s="696" t="s">
        <v>1473</v>
      </c>
      <c r="B29" s="565" t="s">
        <v>1478</v>
      </c>
      <c r="C29" s="565" t="s">
        <v>1482</v>
      </c>
      <c r="D29" s="565" t="s">
        <v>1483</v>
      </c>
      <c r="E29" s="565">
        <v>0.4</v>
      </c>
      <c r="F29" s="703">
        <v>5941.25</v>
      </c>
      <c r="G29" s="707" t="s">
        <v>1343</v>
      </c>
      <c r="H29" s="565" t="s">
        <v>1397</v>
      </c>
      <c r="I29" s="713" t="s">
        <v>1484</v>
      </c>
    </row>
    <row r="30" ht="15.75" customHeight="1">
      <c r="A30" s="657" t="s">
        <v>1473</v>
      </c>
      <c r="B30" s="661" t="s">
        <v>1485</v>
      </c>
      <c r="C30" s="661" t="s">
        <v>1486</v>
      </c>
      <c r="D30" s="661" t="s">
        <v>1487</v>
      </c>
      <c r="E30" s="661">
        <v>0.24</v>
      </c>
      <c r="F30" s="666">
        <v>3328.0</v>
      </c>
      <c r="G30" s="670" t="s">
        <v>1488</v>
      </c>
      <c r="H30" s="661" t="s">
        <v>1489</v>
      </c>
      <c r="I30" s="674" t="s">
        <v>1490</v>
      </c>
      <c r="J30" s="689"/>
    </row>
    <row r="31" ht="15.75" customHeight="1">
      <c r="A31" s="657" t="s">
        <v>1491</v>
      </c>
      <c r="B31" s="661" t="s">
        <v>1492</v>
      </c>
      <c r="C31" s="661" t="s">
        <v>1493</v>
      </c>
      <c r="D31" s="661" t="s">
        <v>1494</v>
      </c>
      <c r="E31" s="661">
        <v>0.516</v>
      </c>
      <c r="F31" s="666">
        <v>8746.0</v>
      </c>
      <c r="G31" s="678" t="s">
        <v>1343</v>
      </c>
      <c r="H31" s="661" t="s">
        <v>1347</v>
      </c>
      <c r="I31" s="674" t="s">
        <v>1495</v>
      </c>
    </row>
    <row r="32" ht="15.75" customHeight="1">
      <c r="A32" s="657" t="s">
        <v>1496</v>
      </c>
      <c r="B32" s="661" t="s">
        <v>1497</v>
      </c>
      <c r="C32" s="661" t="s">
        <v>1479</v>
      </c>
      <c r="D32" s="661" t="s">
        <v>1498</v>
      </c>
      <c r="E32" s="661">
        <v>0.423</v>
      </c>
      <c r="F32" s="666">
        <v>4485.5</v>
      </c>
      <c r="G32" s="670" t="s">
        <v>1499</v>
      </c>
      <c r="H32" s="661" t="s">
        <v>346</v>
      </c>
      <c r="I32" s="674" t="s">
        <v>1500</v>
      </c>
    </row>
    <row r="33" ht="15.75" customHeight="1">
      <c r="A33" s="657" t="s">
        <v>1496</v>
      </c>
      <c r="B33" s="661" t="s">
        <v>1501</v>
      </c>
      <c r="C33" s="661" t="s">
        <v>1479</v>
      </c>
      <c r="D33" s="661" t="s">
        <v>1502</v>
      </c>
      <c r="E33" s="661">
        <v>2.012</v>
      </c>
      <c r="F33" s="666">
        <v>21324.75</v>
      </c>
      <c r="G33" s="678" t="s">
        <v>1343</v>
      </c>
      <c r="H33" s="661" t="s">
        <v>1386</v>
      </c>
      <c r="I33" s="674" t="s">
        <v>1503</v>
      </c>
    </row>
    <row r="34" ht="15.75" customHeight="1">
      <c r="A34" s="657" t="s">
        <v>1496</v>
      </c>
      <c r="B34" s="661" t="s">
        <v>1497</v>
      </c>
      <c r="C34" s="661" t="s">
        <v>1479</v>
      </c>
      <c r="D34" s="661" t="s">
        <v>1504</v>
      </c>
      <c r="E34" s="661">
        <v>0.591</v>
      </c>
      <c r="F34" s="666">
        <v>6250.0</v>
      </c>
      <c r="G34" s="670" t="s">
        <v>1505</v>
      </c>
      <c r="H34" s="661" t="s">
        <v>1386</v>
      </c>
      <c r="I34" s="717" t="s">
        <v>1506</v>
      </c>
    </row>
    <row r="35" ht="15.75" customHeight="1">
      <c r="A35" s="721" t="s">
        <v>1507</v>
      </c>
      <c r="B35" s="583" t="s">
        <v>1513</v>
      </c>
      <c r="C35" s="583" t="s">
        <v>1479</v>
      </c>
      <c r="D35" s="583" t="s">
        <v>1514</v>
      </c>
      <c r="E35" s="583">
        <v>0.44</v>
      </c>
      <c r="F35" s="724">
        <v>7309.07</v>
      </c>
      <c r="G35" s="727" t="s">
        <v>1520</v>
      </c>
      <c r="H35" s="731" t="s">
        <v>346</v>
      </c>
      <c r="I35" s="736" t="s">
        <v>1533</v>
      </c>
      <c r="J35" s="739"/>
    </row>
    <row r="36" ht="15.75" customHeight="1">
      <c r="A36" s="657" t="s">
        <v>1537</v>
      </c>
      <c r="B36" s="661" t="s">
        <v>1538</v>
      </c>
      <c r="C36" s="661" t="s">
        <v>1395</v>
      </c>
      <c r="D36" s="661" t="s">
        <v>1539</v>
      </c>
      <c r="E36" s="661">
        <v>0.25</v>
      </c>
      <c r="F36" s="666">
        <v>19200.0</v>
      </c>
      <c r="G36" s="670" t="s">
        <v>1540</v>
      </c>
      <c r="H36" s="661" t="s">
        <v>1397</v>
      </c>
      <c r="I36" s="741" t="s">
        <v>1541</v>
      </c>
    </row>
    <row r="37" ht="15.75" customHeight="1">
      <c r="A37" s="657" t="s">
        <v>1542</v>
      </c>
      <c r="B37" s="661" t="s">
        <v>1513</v>
      </c>
      <c r="C37" s="661" t="s">
        <v>1395</v>
      </c>
      <c r="D37" s="661" t="s">
        <v>1543</v>
      </c>
      <c r="E37" s="661">
        <v>0.3</v>
      </c>
      <c r="F37" s="666">
        <v>19468.0</v>
      </c>
      <c r="G37" s="670" t="s">
        <v>1544</v>
      </c>
      <c r="H37" s="661" t="s">
        <v>1397</v>
      </c>
      <c r="I37" s="674" t="s">
        <v>1545</v>
      </c>
    </row>
    <row r="38" ht="15.75" customHeight="1">
      <c r="A38" s="696" t="s">
        <v>1546</v>
      </c>
      <c r="B38" s="565" t="s">
        <v>1547</v>
      </c>
      <c r="C38" s="565" t="s">
        <v>1482</v>
      </c>
      <c r="D38" s="565" t="s">
        <v>1548</v>
      </c>
      <c r="E38" s="565">
        <v>0.39</v>
      </c>
      <c r="F38" s="703">
        <v>5879.65</v>
      </c>
      <c r="G38" s="707" t="s">
        <v>1343</v>
      </c>
      <c r="H38" s="565" t="s">
        <v>1397</v>
      </c>
      <c r="I38" s="713" t="s">
        <v>1549</v>
      </c>
    </row>
    <row r="39" ht="15.75" customHeight="1">
      <c r="A39" s="657" t="s">
        <v>1550</v>
      </c>
      <c r="B39" s="661" t="s">
        <v>1551</v>
      </c>
      <c r="C39" s="661" t="s">
        <v>1482</v>
      </c>
      <c r="D39" s="661" t="s">
        <v>1552</v>
      </c>
      <c r="E39" s="661">
        <v>0.32</v>
      </c>
      <c r="F39" s="666">
        <v>7219.05</v>
      </c>
      <c r="G39" s="670" t="s">
        <v>1553</v>
      </c>
      <c r="H39" s="661" t="s">
        <v>1397</v>
      </c>
      <c r="I39" s="674" t="s">
        <v>1554</v>
      </c>
      <c r="J39" s="689"/>
    </row>
    <row r="40" ht="15.75" customHeight="1">
      <c r="A40" s="657" t="s">
        <v>1550</v>
      </c>
      <c r="B40" s="661" t="s">
        <v>1551</v>
      </c>
      <c r="C40" s="661" t="s">
        <v>1482</v>
      </c>
      <c r="D40" s="661" t="s">
        <v>1555</v>
      </c>
      <c r="E40" s="661">
        <v>0.83</v>
      </c>
      <c r="F40" s="666">
        <v>12773.1</v>
      </c>
      <c r="G40" s="670" t="s">
        <v>1556</v>
      </c>
      <c r="H40" s="661" t="s">
        <v>1397</v>
      </c>
      <c r="I40" s="674" t="s">
        <v>1557</v>
      </c>
      <c r="J40" s="689"/>
    </row>
    <row r="41" ht="15.75" customHeight="1">
      <c r="A41" s="657" t="s">
        <v>1558</v>
      </c>
      <c r="B41" s="661" t="s">
        <v>1559</v>
      </c>
      <c r="C41" s="661" t="s">
        <v>1560</v>
      </c>
      <c r="D41" s="661" t="s">
        <v>1561</v>
      </c>
      <c r="E41" s="661"/>
      <c r="F41" s="666">
        <v>6240.0</v>
      </c>
      <c r="G41" s="678" t="s">
        <v>1343</v>
      </c>
      <c r="H41" s="661" t="s">
        <v>346</v>
      </c>
      <c r="I41" s="674" t="s">
        <v>1463</v>
      </c>
    </row>
    <row r="42" ht="15.75" customHeight="1">
      <c r="A42" s="657" t="s">
        <v>1562</v>
      </c>
      <c r="B42" s="661" t="s">
        <v>1563</v>
      </c>
      <c r="C42" s="661" t="s">
        <v>1420</v>
      </c>
      <c r="D42" s="661" t="s">
        <v>1564</v>
      </c>
      <c r="E42" s="661">
        <v>0.7</v>
      </c>
      <c r="F42" s="666">
        <v>11524.85</v>
      </c>
      <c r="G42" s="670" t="s">
        <v>1565</v>
      </c>
      <c r="H42" s="661" t="s">
        <v>1456</v>
      </c>
      <c r="I42" s="674" t="s">
        <v>1463</v>
      </c>
    </row>
    <row r="43" ht="15.75" customHeight="1">
      <c r="A43" s="657" t="s">
        <v>1566</v>
      </c>
      <c r="B43" s="661" t="s">
        <v>1567</v>
      </c>
      <c r="C43" s="661" t="s">
        <v>1359</v>
      </c>
      <c r="D43" s="661" t="s">
        <v>1568</v>
      </c>
      <c r="E43" s="661">
        <v>0.25</v>
      </c>
      <c r="F43" s="666">
        <v>38710.0</v>
      </c>
      <c r="G43" s="670" t="s">
        <v>1569</v>
      </c>
      <c r="H43" s="661" t="s">
        <v>1386</v>
      </c>
      <c r="I43" s="674" t="s">
        <v>1463</v>
      </c>
    </row>
    <row r="44" ht="15.75" customHeight="1">
      <c r="A44" s="657" t="s">
        <v>1566</v>
      </c>
      <c r="B44" s="661" t="s">
        <v>1570</v>
      </c>
      <c r="C44" s="661" t="s">
        <v>1302</v>
      </c>
      <c r="D44" s="661" t="s">
        <v>1571</v>
      </c>
      <c r="E44" s="661">
        <v>0.58</v>
      </c>
      <c r="F44" s="666">
        <v>6422.0</v>
      </c>
      <c r="G44" s="678" t="s">
        <v>1343</v>
      </c>
      <c r="H44" s="661" t="s">
        <v>1489</v>
      </c>
      <c r="I44" s="674" t="s">
        <v>1463</v>
      </c>
    </row>
    <row r="45" ht="15.75" customHeight="1">
      <c r="A45" s="657" t="s">
        <v>1572</v>
      </c>
      <c r="B45" s="661" t="s">
        <v>1573</v>
      </c>
      <c r="C45" s="661" t="s">
        <v>1420</v>
      </c>
      <c r="D45" s="661" t="s">
        <v>1574</v>
      </c>
      <c r="E45" s="661">
        <v>0.22</v>
      </c>
      <c r="F45" s="666">
        <v>2767.5</v>
      </c>
      <c r="G45" s="684" t="s">
        <v>1396</v>
      </c>
      <c r="H45" s="661" t="s">
        <v>1456</v>
      </c>
      <c r="I45" s="674" t="s">
        <v>1575</v>
      </c>
      <c r="J45" s="689"/>
    </row>
    <row r="46" ht="15.75" customHeight="1">
      <c r="A46" s="747" t="s">
        <v>1576</v>
      </c>
      <c r="B46" s="661" t="s">
        <v>1559</v>
      </c>
      <c r="C46" s="661" t="s">
        <v>1577</v>
      </c>
      <c r="D46" s="661" t="s">
        <v>1578</v>
      </c>
      <c r="E46" s="661">
        <v>1.08</v>
      </c>
      <c r="F46" s="666">
        <f>456.91*35</f>
        <v>15991.85</v>
      </c>
      <c r="G46" s="684" t="s">
        <v>1579</v>
      </c>
      <c r="H46" s="661" t="s">
        <v>1577</v>
      </c>
      <c r="I46" s="674" t="s">
        <v>1580</v>
      </c>
      <c r="J46" s="689"/>
    </row>
    <row r="47" ht="15.75" customHeight="1">
      <c r="A47" s="657" t="s">
        <v>1581</v>
      </c>
      <c r="B47" s="661" t="s">
        <v>1582</v>
      </c>
      <c r="C47" s="661" t="s">
        <v>1560</v>
      </c>
      <c r="D47" s="661" t="s">
        <v>1583</v>
      </c>
      <c r="E47" s="661"/>
      <c r="F47" s="666">
        <v>6750.0</v>
      </c>
      <c r="G47" s="678" t="s">
        <v>1343</v>
      </c>
      <c r="H47" s="661" t="s">
        <v>346</v>
      </c>
      <c r="I47" s="674" t="s">
        <v>1463</v>
      </c>
    </row>
    <row r="48" ht="15.75" customHeight="1">
      <c r="A48" s="657" t="s">
        <v>1584</v>
      </c>
      <c r="B48" s="661" t="s">
        <v>1585</v>
      </c>
      <c r="C48" s="661" t="s">
        <v>1560</v>
      </c>
      <c r="D48" s="661" t="s">
        <v>1586</v>
      </c>
      <c r="E48" s="661">
        <v>2.18</v>
      </c>
      <c r="F48" s="666">
        <v>32409.3</v>
      </c>
      <c r="G48" s="678" t="s">
        <v>1343</v>
      </c>
      <c r="H48" s="661" t="s">
        <v>1587</v>
      </c>
      <c r="I48" s="674" t="s">
        <v>1463</v>
      </c>
    </row>
    <row r="49" ht="15.75" customHeight="1">
      <c r="A49" s="657" t="s">
        <v>1584</v>
      </c>
      <c r="B49" s="661" t="s">
        <v>1588</v>
      </c>
      <c r="C49" s="661" t="s">
        <v>1486</v>
      </c>
      <c r="D49" s="661" t="s">
        <v>1589</v>
      </c>
      <c r="E49" s="661">
        <v>0.97</v>
      </c>
      <c r="F49" s="666">
        <v>10660.0</v>
      </c>
      <c r="G49" s="678" t="s">
        <v>1343</v>
      </c>
      <c r="H49" s="661" t="s">
        <v>1386</v>
      </c>
      <c r="I49" s="674" t="s">
        <v>1590</v>
      </c>
    </row>
    <row r="50" ht="15.75" customHeight="1">
      <c r="A50" s="657" t="s">
        <v>1591</v>
      </c>
      <c r="B50" s="661" t="s">
        <v>1592</v>
      </c>
      <c r="C50" s="661" t="s">
        <v>1593</v>
      </c>
      <c r="D50" s="661" t="s">
        <v>1594</v>
      </c>
      <c r="E50" s="661">
        <f>360.4/424</f>
        <v>0.85</v>
      </c>
      <c r="F50" s="666">
        <v>18020.0</v>
      </c>
      <c r="G50" s="684" t="s">
        <v>1596</v>
      </c>
      <c r="H50" s="661" t="s">
        <v>1456</v>
      </c>
      <c r="I50" s="674" t="s">
        <v>1463</v>
      </c>
    </row>
    <row r="51" ht="15.75" customHeight="1">
      <c r="A51" s="657" t="s">
        <v>1597</v>
      </c>
      <c r="B51" s="661" t="s">
        <v>1598</v>
      </c>
      <c r="C51" s="661" t="s">
        <v>1599</v>
      </c>
      <c r="D51" s="661" t="s">
        <v>1600</v>
      </c>
      <c r="E51" s="661">
        <v>0.5</v>
      </c>
      <c r="F51" s="666">
        <v>6400.0</v>
      </c>
      <c r="G51" s="678" t="s">
        <v>1343</v>
      </c>
      <c r="H51" s="661" t="s">
        <v>1386</v>
      </c>
      <c r="I51" s="674" t="s">
        <v>1601</v>
      </c>
    </row>
    <row r="52" ht="15.75" customHeight="1">
      <c r="A52" s="657" t="s">
        <v>1602</v>
      </c>
      <c r="B52" s="661" t="s">
        <v>1603</v>
      </c>
      <c r="C52" s="661" t="s">
        <v>1302</v>
      </c>
      <c r="D52" s="661" t="s">
        <v>1605</v>
      </c>
      <c r="E52" s="661">
        <v>1.9</v>
      </c>
      <c r="F52" s="666">
        <v>88265.55</v>
      </c>
      <c r="G52" s="670" t="s">
        <v>1606</v>
      </c>
      <c r="H52" s="661" t="s">
        <v>1489</v>
      </c>
      <c r="I52" s="674" t="s">
        <v>1607</v>
      </c>
      <c r="J52" s="689"/>
    </row>
    <row r="53" ht="15.75" customHeight="1">
      <c r="A53" s="657" t="s">
        <v>1608</v>
      </c>
      <c r="B53" s="661" t="s">
        <v>1609</v>
      </c>
      <c r="C53" s="661" t="s">
        <v>1599</v>
      </c>
      <c r="D53" s="661" t="s">
        <v>1610</v>
      </c>
      <c r="E53" s="661">
        <v>1.36</v>
      </c>
      <c r="F53" s="666">
        <v>17300.0</v>
      </c>
      <c r="G53" s="670" t="s">
        <v>1611</v>
      </c>
      <c r="H53" s="661" t="s">
        <v>346</v>
      </c>
      <c r="I53" s="674" t="s">
        <v>1612</v>
      </c>
    </row>
    <row r="54" ht="15.75" customHeight="1">
      <c r="A54" s="657" t="s">
        <v>1613</v>
      </c>
      <c r="B54" s="661" t="s">
        <v>1614</v>
      </c>
      <c r="C54" s="661" t="s">
        <v>1615</v>
      </c>
      <c r="D54" s="661" t="s">
        <v>1616</v>
      </c>
      <c r="E54" s="661">
        <v>0.06</v>
      </c>
      <c r="F54" s="666">
        <v>12945.0</v>
      </c>
      <c r="G54" s="684" t="s">
        <v>1596</v>
      </c>
      <c r="H54" s="661" t="s">
        <v>346</v>
      </c>
      <c r="I54" s="674" t="s">
        <v>1617</v>
      </c>
    </row>
    <row r="55" ht="15.75" customHeight="1">
      <c r="A55" s="657" t="s">
        <v>1618</v>
      </c>
      <c r="B55" s="661" t="s">
        <v>1619</v>
      </c>
      <c r="C55" s="661" t="s">
        <v>1486</v>
      </c>
      <c r="D55" s="661" t="s">
        <v>1620</v>
      </c>
      <c r="E55" s="661">
        <v>0.42</v>
      </c>
      <c r="F55" s="666">
        <v>17540.0</v>
      </c>
      <c r="G55" s="684" t="s">
        <v>1596</v>
      </c>
      <c r="H55" s="661" t="s">
        <v>1489</v>
      </c>
      <c r="I55" s="674" t="s">
        <v>1463</v>
      </c>
    </row>
    <row r="56" ht="15.75" customHeight="1">
      <c r="A56" s="657" t="s">
        <v>1621</v>
      </c>
      <c r="B56" s="661" t="s">
        <v>1622</v>
      </c>
      <c r="C56" s="661" t="s">
        <v>1395</v>
      </c>
      <c r="D56" s="661" t="s">
        <v>1623</v>
      </c>
      <c r="E56" s="661">
        <v>0.55</v>
      </c>
      <c r="F56" s="666">
        <v>43190.0</v>
      </c>
      <c r="G56" s="670" t="s">
        <v>1624</v>
      </c>
      <c r="H56" s="661" t="s">
        <v>1397</v>
      </c>
      <c r="I56" s="674" t="s">
        <v>1463</v>
      </c>
    </row>
    <row r="57" ht="15.75" customHeight="1">
      <c r="A57" s="657" t="s">
        <v>1621</v>
      </c>
      <c r="B57" s="661" t="s">
        <v>1625</v>
      </c>
      <c r="C57" s="661" t="s">
        <v>1577</v>
      </c>
      <c r="D57" s="661" t="s">
        <v>1626</v>
      </c>
      <c r="E57" s="661">
        <v>0.135</v>
      </c>
      <c r="F57" s="666">
        <v>11710.0</v>
      </c>
      <c r="G57" s="684" t="s">
        <v>1596</v>
      </c>
      <c r="H57" s="661" t="s">
        <v>1577</v>
      </c>
      <c r="I57" s="674" t="s">
        <v>1627</v>
      </c>
    </row>
    <row r="58" ht="15.75" customHeight="1">
      <c r="A58" s="657" t="s">
        <v>1628</v>
      </c>
      <c r="B58" s="661" t="s">
        <v>1629</v>
      </c>
      <c r="C58" s="661" t="s">
        <v>1599</v>
      </c>
      <c r="D58" s="661" t="s">
        <v>1343</v>
      </c>
      <c r="E58" s="661"/>
      <c r="F58" s="666"/>
      <c r="G58" s="684" t="s">
        <v>1396</v>
      </c>
      <c r="H58" s="661" t="s">
        <v>346</v>
      </c>
      <c r="I58" s="674" t="s">
        <v>1630</v>
      </c>
    </row>
    <row r="59" ht="15.75" customHeight="1">
      <c r="A59" s="657" t="s">
        <v>1632</v>
      </c>
      <c r="B59" s="661" t="s">
        <v>1358</v>
      </c>
      <c r="C59" s="661" t="s">
        <v>1560</v>
      </c>
      <c r="D59" s="661" t="s">
        <v>1633</v>
      </c>
      <c r="E59" s="661">
        <v>2.81</v>
      </c>
      <c r="F59" s="666">
        <v>7058.05</v>
      </c>
      <c r="G59" s="678" t="s">
        <v>1343</v>
      </c>
      <c r="H59" s="661" t="s">
        <v>346</v>
      </c>
      <c r="I59" s="674" t="s">
        <v>1463</v>
      </c>
      <c r="J59" s="689"/>
    </row>
    <row r="60" ht="15.75" customHeight="1">
      <c r="A60" s="657" t="s">
        <v>1634</v>
      </c>
      <c r="B60" s="661" t="s">
        <v>1635</v>
      </c>
      <c r="C60" s="661" t="s">
        <v>1560</v>
      </c>
      <c r="D60" s="661" t="s">
        <v>1636</v>
      </c>
      <c r="E60" s="661">
        <v>0.53</v>
      </c>
      <c r="F60" s="666">
        <v>7840.0</v>
      </c>
      <c r="G60" s="678" t="s">
        <v>1343</v>
      </c>
      <c r="H60" s="661" t="s">
        <v>1489</v>
      </c>
      <c r="I60" s="674" t="s">
        <v>1463</v>
      </c>
      <c r="J60" s="689"/>
    </row>
    <row r="61" ht="15.75" customHeight="1">
      <c r="A61" s="657" t="s">
        <v>1637</v>
      </c>
      <c r="B61" s="661" t="s">
        <v>1513</v>
      </c>
      <c r="C61" s="661" t="s">
        <v>1395</v>
      </c>
      <c r="D61" s="661" t="s">
        <v>1343</v>
      </c>
      <c r="E61" s="661"/>
      <c r="F61" s="666">
        <v>30000.0</v>
      </c>
      <c r="G61" s="684" t="s">
        <v>1638</v>
      </c>
      <c r="H61" s="661" t="s">
        <v>346</v>
      </c>
      <c r="I61" s="674" t="s">
        <v>1639</v>
      </c>
      <c r="J61" s="689"/>
    </row>
    <row r="62" ht="15.75" customHeight="1">
      <c r="A62" s="657" t="s">
        <v>1640</v>
      </c>
      <c r="B62" s="661" t="s">
        <v>1382</v>
      </c>
      <c r="C62" s="661" t="s">
        <v>1359</v>
      </c>
      <c r="D62" s="661" t="s">
        <v>1643</v>
      </c>
      <c r="E62" s="661">
        <v>0.24</v>
      </c>
      <c r="F62" s="666">
        <v>73569.65</v>
      </c>
      <c r="G62" s="670" t="s">
        <v>1645</v>
      </c>
      <c r="H62" s="661" t="s">
        <v>1386</v>
      </c>
      <c r="I62" s="674" t="s">
        <v>1646</v>
      </c>
    </row>
    <row r="63" ht="15.75" customHeight="1">
      <c r="A63" s="657" t="s">
        <v>1647</v>
      </c>
      <c r="B63" s="661" t="s">
        <v>1023</v>
      </c>
      <c r="C63" s="661" t="s">
        <v>1341</v>
      </c>
      <c r="D63" s="661" t="s">
        <v>1648</v>
      </c>
      <c r="E63" s="661">
        <v>0.37</v>
      </c>
      <c r="F63" s="666">
        <v>55491.5</v>
      </c>
      <c r="G63" s="678" t="s">
        <v>1343</v>
      </c>
      <c r="H63" s="661" t="s">
        <v>1347</v>
      </c>
      <c r="I63" s="674" t="s">
        <v>1649</v>
      </c>
    </row>
    <row r="64" ht="15.75" customHeight="1">
      <c r="A64" s="657" t="s">
        <v>1647</v>
      </c>
      <c r="B64" s="661" t="s">
        <v>1650</v>
      </c>
      <c r="C64" s="661" t="s">
        <v>1560</v>
      </c>
      <c r="D64" s="661" t="s">
        <v>1651</v>
      </c>
      <c r="E64" s="661">
        <v>7.93</v>
      </c>
      <c r="F64" s="666">
        <v>117777.1</v>
      </c>
      <c r="G64" s="678" t="s">
        <v>1343</v>
      </c>
      <c r="H64" s="661" t="s">
        <v>346</v>
      </c>
      <c r="I64" s="674" t="s">
        <v>1463</v>
      </c>
    </row>
    <row r="65" ht="15.75" customHeight="1">
      <c r="A65" s="657" t="s">
        <v>1652</v>
      </c>
      <c r="B65" s="661" t="s">
        <v>1653</v>
      </c>
      <c r="C65" s="661" t="s">
        <v>1341</v>
      </c>
      <c r="D65" s="661" t="s">
        <v>1654</v>
      </c>
      <c r="E65" s="661"/>
      <c r="F65" s="666">
        <v>34178.7</v>
      </c>
      <c r="G65" s="670" t="s">
        <v>1655</v>
      </c>
      <c r="H65" s="661" t="s">
        <v>1347</v>
      </c>
      <c r="I65" s="674" t="s">
        <v>1656</v>
      </c>
    </row>
    <row r="66" ht="15.75" customHeight="1">
      <c r="A66" s="657" t="s">
        <v>1657</v>
      </c>
      <c r="B66" s="661" t="s">
        <v>1658</v>
      </c>
      <c r="C66" s="661" t="s">
        <v>1560</v>
      </c>
      <c r="D66" s="661" t="s">
        <v>1659</v>
      </c>
      <c r="E66" s="661">
        <v>2.41</v>
      </c>
      <c r="F66" s="666">
        <v>41040.0</v>
      </c>
      <c r="G66" s="678" t="s">
        <v>1343</v>
      </c>
      <c r="H66" s="661" t="s">
        <v>346</v>
      </c>
      <c r="I66" s="674" t="s">
        <v>1463</v>
      </c>
    </row>
    <row r="67" ht="15.75" customHeight="1">
      <c r="A67" s="657" t="s">
        <v>1657</v>
      </c>
      <c r="B67" s="661" t="s">
        <v>1661</v>
      </c>
      <c r="C67" s="661" t="s">
        <v>1359</v>
      </c>
      <c r="D67" s="661" t="s">
        <v>1662</v>
      </c>
      <c r="E67" s="661">
        <v>1.29</v>
      </c>
      <c r="F67" s="666">
        <v>19197.5</v>
      </c>
      <c r="G67" s="670" t="s">
        <v>1664</v>
      </c>
      <c r="H67" s="661" t="s">
        <v>346</v>
      </c>
      <c r="I67" s="674" t="s">
        <v>1666</v>
      </c>
    </row>
    <row r="68" ht="15.75" customHeight="1">
      <c r="A68" s="657" t="s">
        <v>1667</v>
      </c>
      <c r="B68" s="661" t="s">
        <v>1669</v>
      </c>
      <c r="C68" s="661" t="s">
        <v>1670</v>
      </c>
      <c r="D68" s="661" t="s">
        <v>1350</v>
      </c>
      <c r="E68" s="661">
        <v>0.9</v>
      </c>
      <c r="F68" s="666">
        <v>37316.0</v>
      </c>
      <c r="G68" s="670" t="s">
        <v>1672</v>
      </c>
      <c r="H68" s="661" t="s">
        <v>1673</v>
      </c>
      <c r="I68" s="674" t="s">
        <v>1463</v>
      </c>
    </row>
    <row r="69" ht="15.75" customHeight="1">
      <c r="A69" s="657" t="s">
        <v>1674</v>
      </c>
      <c r="B69" s="661" t="s">
        <v>1585</v>
      </c>
      <c r="C69" s="661" t="s">
        <v>1675</v>
      </c>
      <c r="D69" s="661" t="s">
        <v>1676</v>
      </c>
      <c r="E69" s="661">
        <v>4.33</v>
      </c>
      <c r="F69" s="666">
        <v>64211.0</v>
      </c>
      <c r="G69" s="678" t="s">
        <v>1343</v>
      </c>
      <c r="H69" s="661" t="s">
        <v>346</v>
      </c>
      <c r="I69" s="674" t="s">
        <v>1463</v>
      </c>
      <c r="J69" s="689"/>
    </row>
    <row r="70" ht="15.75" customHeight="1">
      <c r="A70" s="657" t="s">
        <v>1677</v>
      </c>
      <c r="B70" s="661" t="s">
        <v>1678</v>
      </c>
      <c r="C70" s="661" t="s">
        <v>1679</v>
      </c>
      <c r="D70" s="661" t="s">
        <v>1680</v>
      </c>
      <c r="E70" s="661">
        <v>0.34</v>
      </c>
      <c r="F70" s="666"/>
      <c r="G70" s="678" t="s">
        <v>1343</v>
      </c>
      <c r="H70" s="661" t="s">
        <v>1681</v>
      </c>
      <c r="I70" s="674" t="s">
        <v>1463</v>
      </c>
    </row>
    <row r="71" ht="15.75" customHeight="1">
      <c r="A71" s="657" t="s">
        <v>1682</v>
      </c>
      <c r="B71" s="661" t="s">
        <v>1683</v>
      </c>
      <c r="C71" s="661" t="s">
        <v>1395</v>
      </c>
      <c r="D71" s="666" t="s">
        <v>1684</v>
      </c>
      <c r="E71" s="666"/>
      <c r="F71" s="666"/>
      <c r="G71" s="757" t="s">
        <v>1684</v>
      </c>
      <c r="H71" s="661" t="s">
        <v>1688</v>
      </c>
      <c r="I71" s="674" t="s">
        <v>1689</v>
      </c>
    </row>
    <row r="72" ht="15.75" customHeight="1">
      <c r="A72" s="657" t="s">
        <v>1690</v>
      </c>
      <c r="B72" s="661" t="s">
        <v>1692</v>
      </c>
      <c r="C72" s="661" t="s">
        <v>1599</v>
      </c>
      <c r="D72" s="661" t="s">
        <v>1695</v>
      </c>
      <c r="E72" s="661">
        <v>0.9</v>
      </c>
      <c r="F72" s="666">
        <v>13482.0</v>
      </c>
      <c r="G72" s="678" t="s">
        <v>1343</v>
      </c>
      <c r="H72" s="661" t="s">
        <v>346</v>
      </c>
      <c r="I72" s="674" t="s">
        <v>1463</v>
      </c>
    </row>
    <row r="73" ht="15.75" customHeight="1">
      <c r="A73" s="657" t="s">
        <v>1690</v>
      </c>
      <c r="B73" s="661" t="s">
        <v>1699</v>
      </c>
      <c r="C73" s="661" t="s">
        <v>1560</v>
      </c>
      <c r="D73" s="661" t="s">
        <v>1700</v>
      </c>
      <c r="E73" s="661">
        <v>2.24</v>
      </c>
      <c r="F73" s="666">
        <v>33285.0</v>
      </c>
      <c r="G73" s="678" t="s">
        <v>1343</v>
      </c>
      <c r="H73" s="661" t="s">
        <v>346</v>
      </c>
      <c r="I73" s="674" t="s">
        <v>1463</v>
      </c>
    </row>
    <row r="74" ht="15.75" customHeight="1">
      <c r="A74" s="657" t="s">
        <v>1690</v>
      </c>
      <c r="B74" s="661" t="s">
        <v>1701</v>
      </c>
      <c r="C74" s="661" t="s">
        <v>1341</v>
      </c>
      <c r="D74" s="661" t="s">
        <v>1703</v>
      </c>
      <c r="E74" s="661">
        <v>1.97</v>
      </c>
      <c r="F74" s="666">
        <v>33867.46</v>
      </c>
      <c r="G74" s="678" t="s">
        <v>1343</v>
      </c>
      <c r="H74" s="661" t="s">
        <v>1368</v>
      </c>
      <c r="I74" s="674" t="s">
        <v>1463</v>
      </c>
      <c r="J74" s="689"/>
    </row>
    <row r="75" ht="15.75" customHeight="1">
      <c r="A75" s="657" t="s">
        <v>1704</v>
      </c>
      <c r="B75" s="661" t="s">
        <v>1705</v>
      </c>
      <c r="C75" s="661" t="s">
        <v>1420</v>
      </c>
      <c r="D75" s="661" t="s">
        <v>1706</v>
      </c>
      <c r="E75" s="661">
        <v>0.51</v>
      </c>
      <c r="F75" s="666">
        <v>12948.0</v>
      </c>
      <c r="G75" s="670" t="s">
        <v>1707</v>
      </c>
      <c r="H75" s="661" t="s">
        <v>346</v>
      </c>
      <c r="I75" s="674" t="s">
        <v>1463</v>
      </c>
    </row>
    <row r="76" ht="15.75" customHeight="1">
      <c r="A76" s="657" t="s">
        <v>1708</v>
      </c>
      <c r="B76" s="661" t="s">
        <v>1709</v>
      </c>
      <c r="C76" s="661" t="s">
        <v>1395</v>
      </c>
      <c r="D76" s="661" t="s">
        <v>1343</v>
      </c>
      <c r="E76" s="661"/>
      <c r="F76" s="661"/>
      <c r="G76" s="684" t="s">
        <v>1396</v>
      </c>
      <c r="H76" s="661" t="s">
        <v>97</v>
      </c>
      <c r="I76" s="674" t="s">
        <v>1463</v>
      </c>
    </row>
    <row r="77" ht="15.75" customHeight="1">
      <c r="A77" s="657" t="s">
        <v>1708</v>
      </c>
      <c r="B77" s="661" t="s">
        <v>1709</v>
      </c>
      <c r="C77" s="661" t="s">
        <v>1395</v>
      </c>
      <c r="D77" s="661" t="s">
        <v>1710</v>
      </c>
      <c r="E77" s="661">
        <v>0.25</v>
      </c>
      <c r="F77" s="666">
        <v>18780.0</v>
      </c>
      <c r="G77" s="684" t="s">
        <v>1396</v>
      </c>
      <c r="H77" s="661" t="s">
        <v>97</v>
      </c>
      <c r="I77" s="674" t="s">
        <v>1463</v>
      </c>
    </row>
    <row r="78" ht="15.75" customHeight="1">
      <c r="A78" s="657" t="s">
        <v>1711</v>
      </c>
      <c r="B78" s="661" t="s">
        <v>1712</v>
      </c>
      <c r="C78" s="661" t="s">
        <v>1599</v>
      </c>
      <c r="D78" s="661" t="s">
        <v>1713</v>
      </c>
      <c r="E78" s="661">
        <v>0.32</v>
      </c>
      <c r="F78" s="666">
        <v>4783.1</v>
      </c>
      <c r="G78" s="678"/>
      <c r="H78" s="661" t="s">
        <v>1681</v>
      </c>
      <c r="I78" s="674" t="s">
        <v>1463</v>
      </c>
    </row>
    <row r="79" ht="15.75" customHeight="1">
      <c r="A79" s="657" t="s">
        <v>1714</v>
      </c>
      <c r="B79" s="661" t="s">
        <v>1715</v>
      </c>
      <c r="C79" s="661" t="s">
        <v>1716</v>
      </c>
      <c r="D79" s="661" t="s">
        <v>1717</v>
      </c>
      <c r="E79" s="661">
        <v>0.09</v>
      </c>
      <c r="F79" s="666">
        <v>1090.2</v>
      </c>
      <c r="G79" s="684" t="s">
        <v>1396</v>
      </c>
      <c r="H79" s="661" t="s">
        <v>346</v>
      </c>
      <c r="I79" s="674" t="s">
        <v>1463</v>
      </c>
    </row>
    <row r="80" ht="15.75" customHeight="1">
      <c r="A80" s="657" t="s">
        <v>1718</v>
      </c>
      <c r="B80" s="661" t="s">
        <v>1411</v>
      </c>
      <c r="C80" s="661" t="s">
        <v>1395</v>
      </c>
      <c r="D80" s="661" t="s">
        <v>1719</v>
      </c>
      <c r="E80" s="661">
        <v>0.4</v>
      </c>
      <c r="F80" s="666">
        <v>5950.0</v>
      </c>
      <c r="G80" s="670" t="s">
        <v>1720</v>
      </c>
      <c r="H80" s="661" t="s">
        <v>1397</v>
      </c>
      <c r="I80" s="674" t="s">
        <v>1463</v>
      </c>
    </row>
    <row r="81" ht="15.75" customHeight="1">
      <c r="A81" s="657" t="s">
        <v>1721</v>
      </c>
      <c r="B81" s="661" t="s">
        <v>1722</v>
      </c>
      <c r="C81" s="661" t="s">
        <v>1302</v>
      </c>
      <c r="D81" s="661" t="s">
        <v>1723</v>
      </c>
      <c r="E81" s="661">
        <v>0.74</v>
      </c>
      <c r="F81" s="666">
        <v>36995.84</v>
      </c>
      <c r="G81" s="670" t="s">
        <v>1724</v>
      </c>
      <c r="H81" s="661" t="s">
        <v>346</v>
      </c>
      <c r="I81" s="674" t="s">
        <v>1463</v>
      </c>
    </row>
    <row r="82" ht="15.75" customHeight="1">
      <c r="A82" s="657" t="s">
        <v>1721</v>
      </c>
      <c r="B82" s="661" t="s">
        <v>1725</v>
      </c>
      <c r="C82" s="661" t="s">
        <v>1359</v>
      </c>
      <c r="D82" s="661" t="s">
        <v>1726</v>
      </c>
      <c r="E82" s="661">
        <v>0.61</v>
      </c>
      <c r="F82" s="666"/>
      <c r="G82" s="684" t="s">
        <v>1638</v>
      </c>
      <c r="H82" s="661" t="s">
        <v>1386</v>
      </c>
      <c r="I82" s="674" t="s">
        <v>1463</v>
      </c>
    </row>
    <row r="83" ht="15.75" customHeight="1">
      <c r="A83" s="657" t="s">
        <v>1721</v>
      </c>
      <c r="B83" s="661" t="s">
        <v>1727</v>
      </c>
      <c r="C83" s="661" t="s">
        <v>1359</v>
      </c>
      <c r="D83" s="661" t="s">
        <v>1728</v>
      </c>
      <c r="E83" s="661">
        <v>2.07</v>
      </c>
      <c r="F83" s="666"/>
      <c r="G83" s="684" t="s">
        <v>1638</v>
      </c>
      <c r="H83" s="661" t="s">
        <v>1386</v>
      </c>
      <c r="I83" s="674" t="s">
        <v>1463</v>
      </c>
    </row>
    <row r="84" ht="15.75" customHeight="1">
      <c r="A84" s="657" t="s">
        <v>1729</v>
      </c>
      <c r="B84" s="661" t="s">
        <v>1725</v>
      </c>
      <c r="C84" s="661" t="s">
        <v>1730</v>
      </c>
      <c r="D84" s="661" t="s">
        <v>1731</v>
      </c>
      <c r="E84" s="661">
        <v>0.16</v>
      </c>
      <c r="F84" s="666"/>
      <c r="G84" s="684" t="s">
        <v>1396</v>
      </c>
      <c r="H84" s="661" t="s">
        <v>1732</v>
      </c>
      <c r="I84" s="674" t="s">
        <v>1463</v>
      </c>
    </row>
    <row r="85" ht="15.75" customHeight="1">
      <c r="A85" s="657" t="s">
        <v>1729</v>
      </c>
      <c r="B85" s="661" t="s">
        <v>1733</v>
      </c>
      <c r="C85" s="661" t="s">
        <v>1599</v>
      </c>
      <c r="D85" s="661" t="s">
        <v>1734</v>
      </c>
      <c r="E85" s="661">
        <v>0.36</v>
      </c>
      <c r="F85" s="666"/>
      <c r="G85" s="670" t="s">
        <v>1735</v>
      </c>
      <c r="H85" s="661" t="s">
        <v>1386</v>
      </c>
      <c r="I85" s="674" t="s">
        <v>1736</v>
      </c>
    </row>
    <row r="86" ht="15.75" customHeight="1">
      <c r="A86" s="657" t="s">
        <v>1737</v>
      </c>
      <c r="B86" s="661" t="s">
        <v>1738</v>
      </c>
      <c r="C86" s="661" t="s">
        <v>1739</v>
      </c>
      <c r="D86" s="661" t="s">
        <v>1740</v>
      </c>
      <c r="E86" s="661">
        <v>1.57</v>
      </c>
      <c r="F86" s="666"/>
      <c r="G86" s="678" t="s">
        <v>1343</v>
      </c>
      <c r="H86" s="661" t="s">
        <v>1741</v>
      </c>
      <c r="I86" s="674" t="s">
        <v>1463</v>
      </c>
    </row>
    <row r="87" ht="15.75" customHeight="1">
      <c r="A87" s="657" t="s">
        <v>1742</v>
      </c>
      <c r="B87" s="661" t="s">
        <v>1743</v>
      </c>
      <c r="C87" s="661" t="s">
        <v>1744</v>
      </c>
      <c r="D87" s="661" t="s">
        <v>1745</v>
      </c>
      <c r="E87" s="661">
        <v>3.37</v>
      </c>
      <c r="F87" s="666"/>
      <c r="G87" s="678" t="s">
        <v>1343</v>
      </c>
      <c r="H87" s="661" t="s">
        <v>97</v>
      </c>
      <c r="I87" s="674" t="s">
        <v>1463</v>
      </c>
    </row>
    <row r="88" ht="15.75" customHeight="1">
      <c r="A88" s="657" t="s">
        <v>1746</v>
      </c>
      <c r="B88" s="661" t="s">
        <v>1747</v>
      </c>
      <c r="C88" s="661" t="s">
        <v>1420</v>
      </c>
      <c r="D88" s="661" t="s">
        <v>1748</v>
      </c>
      <c r="E88" s="661"/>
      <c r="F88" s="666">
        <v>2210.0</v>
      </c>
      <c r="G88" s="678" t="s">
        <v>1343</v>
      </c>
      <c r="H88" s="661"/>
      <c r="I88" s="674" t="s">
        <v>1749</v>
      </c>
      <c r="J88" s="689"/>
    </row>
    <row r="89" ht="15.75" customHeight="1">
      <c r="A89" s="657" t="s">
        <v>1750</v>
      </c>
      <c r="B89" s="661" t="s">
        <v>1705</v>
      </c>
      <c r="C89" s="661" t="s">
        <v>1420</v>
      </c>
      <c r="D89" s="661" t="s">
        <v>1706</v>
      </c>
      <c r="E89" s="661">
        <v>0.23</v>
      </c>
      <c r="F89" s="666">
        <v>104778.5</v>
      </c>
      <c r="G89" s="670" t="s">
        <v>1751</v>
      </c>
      <c r="H89" s="661" t="s">
        <v>346</v>
      </c>
      <c r="I89" s="674" t="s">
        <v>1752</v>
      </c>
    </row>
    <row r="90" ht="15.75" customHeight="1">
      <c r="A90" s="657" t="s">
        <v>1753</v>
      </c>
      <c r="B90" s="661" t="s">
        <v>1754</v>
      </c>
      <c r="C90" s="661" t="s">
        <v>1469</v>
      </c>
      <c r="D90" s="661" t="s">
        <v>1755</v>
      </c>
      <c r="E90" s="661">
        <v>0.2</v>
      </c>
      <c r="F90" s="666">
        <v>25033.01</v>
      </c>
      <c r="G90" s="684" t="s">
        <v>1396</v>
      </c>
      <c r="H90" s="661" t="s">
        <v>1756</v>
      </c>
      <c r="I90" s="674" t="s">
        <v>1463</v>
      </c>
    </row>
    <row r="91" ht="15.75" customHeight="1">
      <c r="A91" s="657" t="s">
        <v>1753</v>
      </c>
      <c r="B91" s="661" t="s">
        <v>1757</v>
      </c>
      <c r="C91" s="661" t="s">
        <v>1716</v>
      </c>
      <c r="D91" s="661" t="s">
        <v>1758</v>
      </c>
      <c r="E91" s="661">
        <v>0.61</v>
      </c>
      <c r="F91" s="666">
        <v>12819.0</v>
      </c>
      <c r="G91" s="678" t="s">
        <v>1343</v>
      </c>
      <c r="H91" s="661" t="s">
        <v>1759</v>
      </c>
      <c r="I91" s="674" t="s">
        <v>1463</v>
      </c>
    </row>
    <row r="92" ht="15.75" customHeight="1">
      <c r="A92" s="657" t="s">
        <v>1760</v>
      </c>
      <c r="B92" s="661" t="s">
        <v>1761</v>
      </c>
      <c r="C92" s="661" t="s">
        <v>1730</v>
      </c>
      <c r="D92" s="661" t="s">
        <v>1762</v>
      </c>
      <c r="E92" s="661">
        <v>0.396</v>
      </c>
      <c r="F92" s="666">
        <v>55880.0</v>
      </c>
      <c r="G92" s="670" t="s">
        <v>1763</v>
      </c>
      <c r="H92" s="661" t="s">
        <v>1732</v>
      </c>
      <c r="I92" s="674" t="s">
        <v>1463</v>
      </c>
    </row>
    <row r="93" ht="15.75" customHeight="1">
      <c r="A93" s="657" t="s">
        <v>1764</v>
      </c>
      <c r="B93" s="661" t="s">
        <v>1765</v>
      </c>
      <c r="C93" s="661" t="s">
        <v>1599</v>
      </c>
      <c r="D93" s="661" t="s">
        <v>1766</v>
      </c>
      <c r="E93" s="661">
        <v>0.394</v>
      </c>
      <c r="F93" s="666"/>
      <c r="G93" s="670" t="s">
        <v>1767</v>
      </c>
      <c r="H93" s="661" t="s">
        <v>1681</v>
      </c>
      <c r="I93" s="674" t="s">
        <v>1463</v>
      </c>
    </row>
    <row r="94" ht="15.75" customHeight="1">
      <c r="A94" s="657" t="s">
        <v>1764</v>
      </c>
      <c r="B94" s="661" t="s">
        <v>1765</v>
      </c>
      <c r="C94" s="661" t="s">
        <v>1599</v>
      </c>
      <c r="D94" s="661" t="s">
        <v>1770</v>
      </c>
      <c r="E94" s="661">
        <v>0.39</v>
      </c>
      <c r="F94" s="666">
        <v>30740.0</v>
      </c>
      <c r="G94" s="670" t="s">
        <v>1771</v>
      </c>
      <c r="H94" s="661" t="s">
        <v>1681</v>
      </c>
      <c r="I94" s="674" t="s">
        <v>1463</v>
      </c>
    </row>
    <row r="95" ht="15.75" customHeight="1">
      <c r="A95" s="657" t="s">
        <v>1772</v>
      </c>
      <c r="B95" s="661" t="s">
        <v>1773</v>
      </c>
      <c r="C95" s="661" t="s">
        <v>1716</v>
      </c>
      <c r="D95" s="661" t="s">
        <v>1774</v>
      </c>
      <c r="E95" s="661">
        <v>0.47</v>
      </c>
      <c r="F95" s="666">
        <v>6930.0</v>
      </c>
      <c r="G95" s="678" t="s">
        <v>1343</v>
      </c>
      <c r="H95" s="661" t="s">
        <v>1775</v>
      </c>
      <c r="I95" s="674" t="s">
        <v>1463</v>
      </c>
    </row>
    <row r="96" ht="15.75" customHeight="1">
      <c r="A96" s="657" t="s">
        <v>1776</v>
      </c>
      <c r="B96" s="661" t="s">
        <v>1777</v>
      </c>
      <c r="C96" s="661" t="s">
        <v>1744</v>
      </c>
      <c r="D96" s="661" t="s">
        <v>1778</v>
      </c>
      <c r="E96" s="661">
        <v>15.52</v>
      </c>
      <c r="F96" s="666"/>
      <c r="G96" s="678" t="s">
        <v>1343</v>
      </c>
      <c r="H96" s="661" t="s">
        <v>97</v>
      </c>
      <c r="I96" s="674" t="s">
        <v>1463</v>
      </c>
    </row>
    <row r="97" ht="15.75" customHeight="1">
      <c r="A97" s="657" t="s">
        <v>1781</v>
      </c>
      <c r="B97" s="661" t="s">
        <v>1765</v>
      </c>
      <c r="C97" s="661" t="s">
        <v>1599</v>
      </c>
      <c r="D97" s="661" t="s">
        <v>1783</v>
      </c>
      <c r="E97" s="661">
        <v>0.68</v>
      </c>
      <c r="F97" s="666"/>
      <c r="G97" s="678" t="s">
        <v>1343</v>
      </c>
      <c r="H97" s="661" t="s">
        <v>1681</v>
      </c>
      <c r="I97" s="674" t="s">
        <v>1463</v>
      </c>
    </row>
    <row r="98" ht="15.75" customHeight="1">
      <c r="A98" s="657" t="s">
        <v>1781</v>
      </c>
      <c r="B98" s="661" t="s">
        <v>1786</v>
      </c>
      <c r="C98" s="661" t="s">
        <v>1716</v>
      </c>
      <c r="D98" s="661" t="s">
        <v>1787</v>
      </c>
      <c r="E98" s="661">
        <v>1.16</v>
      </c>
      <c r="F98" s="666">
        <v>17214.0</v>
      </c>
      <c r="G98" s="678" t="s">
        <v>1343</v>
      </c>
      <c r="H98" s="661" t="s">
        <v>1789</v>
      </c>
      <c r="I98" s="674" t="s">
        <v>1463</v>
      </c>
    </row>
    <row r="99" ht="15.75" customHeight="1">
      <c r="A99" s="657" t="s">
        <v>1791</v>
      </c>
      <c r="B99" s="661" t="s">
        <v>1793</v>
      </c>
      <c r="C99" s="661" t="s">
        <v>1794</v>
      </c>
      <c r="D99" s="661" t="s">
        <v>1795</v>
      </c>
      <c r="E99" s="661">
        <v>4.99</v>
      </c>
      <c r="F99" s="666">
        <v>84680.0</v>
      </c>
      <c r="G99" s="678" t="s">
        <v>1343</v>
      </c>
      <c r="H99" s="661" t="s">
        <v>97</v>
      </c>
      <c r="I99" s="674" t="s">
        <v>1463</v>
      </c>
    </row>
    <row r="100" ht="15.75" customHeight="1">
      <c r="A100" s="657" t="s">
        <v>1796</v>
      </c>
      <c r="B100" s="661" t="s">
        <v>1797</v>
      </c>
      <c r="C100" s="661" t="s">
        <v>1794</v>
      </c>
      <c r="D100" s="661" t="s">
        <v>1798</v>
      </c>
      <c r="E100" s="661">
        <v>0.84</v>
      </c>
      <c r="F100" s="666">
        <v>12582.5</v>
      </c>
      <c r="G100" s="678" t="s">
        <v>1343</v>
      </c>
      <c r="H100" s="661" t="s">
        <v>97</v>
      </c>
      <c r="I100" s="674" t="s">
        <v>1800</v>
      </c>
    </row>
    <row r="101" ht="15.75" customHeight="1">
      <c r="A101" s="657" t="s">
        <v>1796</v>
      </c>
      <c r="B101" s="661" t="s">
        <v>1797</v>
      </c>
      <c r="C101" s="661" t="s">
        <v>1744</v>
      </c>
      <c r="D101" s="661" t="s">
        <v>1801</v>
      </c>
      <c r="E101" s="661">
        <v>4.41</v>
      </c>
      <c r="F101" s="666">
        <v>67258.45</v>
      </c>
      <c r="G101" s="684" t="s">
        <v>1802</v>
      </c>
      <c r="H101" s="661" t="s">
        <v>97</v>
      </c>
      <c r="I101" s="674" t="s">
        <v>1463</v>
      </c>
    </row>
    <row r="102" ht="15.75" customHeight="1">
      <c r="A102" s="657" t="s">
        <v>1803</v>
      </c>
      <c r="B102" s="661" t="s">
        <v>1797</v>
      </c>
      <c r="C102" s="661" t="s">
        <v>1794</v>
      </c>
      <c r="D102" s="661" t="s">
        <v>1804</v>
      </c>
      <c r="E102" s="661">
        <v>0.24</v>
      </c>
      <c r="F102" s="666">
        <v>3503.5</v>
      </c>
      <c r="G102" s="684" t="s">
        <v>1596</v>
      </c>
      <c r="H102" s="661" t="s">
        <v>97</v>
      </c>
      <c r="I102" s="674" t="s">
        <v>1805</v>
      </c>
    </row>
    <row r="103" ht="15.75" customHeight="1">
      <c r="A103" s="657" t="s">
        <v>1806</v>
      </c>
      <c r="B103" s="661" t="s">
        <v>1650</v>
      </c>
      <c r="C103" s="661" t="s">
        <v>1420</v>
      </c>
      <c r="D103" s="661" t="s">
        <v>1807</v>
      </c>
      <c r="E103" s="661">
        <v>0.27</v>
      </c>
      <c r="F103" s="666">
        <v>21460.0</v>
      </c>
      <c r="G103" s="678" t="s">
        <v>1343</v>
      </c>
      <c r="H103" s="661" t="s">
        <v>97</v>
      </c>
      <c r="I103" s="674" t="s">
        <v>1808</v>
      </c>
    </row>
    <row r="104" ht="15.75" customHeight="1">
      <c r="A104" s="657" t="s">
        <v>1810</v>
      </c>
      <c r="B104" s="661" t="s">
        <v>1811</v>
      </c>
      <c r="C104" s="661" t="s">
        <v>1739</v>
      </c>
      <c r="D104" s="661" t="s">
        <v>1812</v>
      </c>
      <c r="E104" s="661">
        <v>1.92</v>
      </c>
      <c r="F104" s="666">
        <v>24480.0</v>
      </c>
      <c r="G104" s="678" t="s">
        <v>1343</v>
      </c>
      <c r="H104" s="661" t="s">
        <v>1759</v>
      </c>
      <c r="I104" s="674" t="s">
        <v>1463</v>
      </c>
    </row>
    <row r="105" ht="15.75" customHeight="1">
      <c r="A105" s="657" t="s">
        <v>1814</v>
      </c>
      <c r="B105" s="661" t="s">
        <v>1815</v>
      </c>
      <c r="C105" s="661" t="s">
        <v>1359</v>
      </c>
      <c r="D105" s="661" t="s">
        <v>1816</v>
      </c>
      <c r="E105" s="661">
        <v>0.48</v>
      </c>
      <c r="F105" s="666">
        <v>59000.0</v>
      </c>
      <c r="G105" s="670" t="s">
        <v>1817</v>
      </c>
      <c r="H105" s="661" t="s">
        <v>1386</v>
      </c>
      <c r="I105" s="674" t="s">
        <v>1463</v>
      </c>
    </row>
    <row r="106" ht="15.75" customHeight="1">
      <c r="A106" s="657" t="s">
        <v>1818</v>
      </c>
      <c r="B106" s="661" t="s">
        <v>1819</v>
      </c>
      <c r="C106" s="661" t="s">
        <v>1469</v>
      </c>
      <c r="D106" s="661" t="s">
        <v>1820</v>
      </c>
      <c r="E106" s="661">
        <v>0.54</v>
      </c>
      <c r="F106" s="666">
        <v>7500.0</v>
      </c>
      <c r="G106" s="670" t="s">
        <v>1821</v>
      </c>
      <c r="H106" s="661" t="s">
        <v>1756</v>
      </c>
      <c r="I106" s="674" t="s">
        <v>1463</v>
      </c>
    </row>
    <row r="107" ht="15.75" customHeight="1">
      <c r="A107" s="657" t="s">
        <v>1822</v>
      </c>
      <c r="B107" s="661" t="s">
        <v>1823</v>
      </c>
      <c r="C107" s="661" t="s">
        <v>1670</v>
      </c>
      <c r="D107" s="661" t="s">
        <v>1684</v>
      </c>
      <c r="E107" s="661"/>
      <c r="F107" s="661"/>
      <c r="G107" s="678" t="s">
        <v>1684</v>
      </c>
      <c r="H107" s="661" t="s">
        <v>1684</v>
      </c>
      <c r="I107" s="674" t="s">
        <v>1689</v>
      </c>
      <c r="J107" s="689"/>
    </row>
    <row r="108" ht="15.75" customHeight="1">
      <c r="A108" s="657" t="s">
        <v>1822</v>
      </c>
      <c r="B108" s="661" t="s">
        <v>1824</v>
      </c>
      <c r="C108" s="661" t="s">
        <v>1395</v>
      </c>
      <c r="D108" s="661" t="s">
        <v>1826</v>
      </c>
      <c r="E108" s="661">
        <v>0.32</v>
      </c>
      <c r="F108" s="666">
        <v>5600.0</v>
      </c>
      <c r="G108" s="684" t="s">
        <v>1827</v>
      </c>
      <c r="H108" s="661" t="s">
        <v>1397</v>
      </c>
      <c r="I108" s="674" t="s">
        <v>1463</v>
      </c>
    </row>
    <row r="109" ht="15.75" customHeight="1">
      <c r="A109" s="657" t="s">
        <v>1828</v>
      </c>
      <c r="B109" s="661" t="s">
        <v>1829</v>
      </c>
      <c r="C109" s="661" t="s">
        <v>1359</v>
      </c>
      <c r="D109" s="661" t="s">
        <v>1830</v>
      </c>
      <c r="E109" s="661">
        <v>0.198</v>
      </c>
      <c r="F109" s="666"/>
      <c r="G109" s="670" t="s">
        <v>1831</v>
      </c>
      <c r="H109" s="661" t="s">
        <v>1386</v>
      </c>
      <c r="I109" s="674" t="s">
        <v>1463</v>
      </c>
    </row>
    <row r="110" ht="15.75" customHeight="1">
      <c r="A110" s="657" t="s">
        <v>1833</v>
      </c>
      <c r="B110" s="661" t="s">
        <v>1834</v>
      </c>
      <c r="C110" s="661" t="s">
        <v>1359</v>
      </c>
      <c r="D110" s="661" t="s">
        <v>1770</v>
      </c>
      <c r="E110" s="661">
        <v>0.41</v>
      </c>
      <c r="F110" s="666">
        <v>6020.0</v>
      </c>
      <c r="G110" s="678" t="s">
        <v>1343</v>
      </c>
      <c r="H110" s="661" t="s">
        <v>1386</v>
      </c>
      <c r="I110" s="674" t="s">
        <v>1463</v>
      </c>
    </row>
    <row r="111" ht="15.75" customHeight="1">
      <c r="A111" s="657" t="s">
        <v>1835</v>
      </c>
      <c r="B111" s="661" t="s">
        <v>1836</v>
      </c>
      <c r="C111" s="661" t="s">
        <v>1837</v>
      </c>
      <c r="D111" s="661" t="s">
        <v>1838</v>
      </c>
      <c r="E111" s="661">
        <v>1.88</v>
      </c>
      <c r="F111" s="666">
        <v>35870.4</v>
      </c>
      <c r="G111" s="684" t="s">
        <v>1839</v>
      </c>
      <c r="H111" s="661" t="s">
        <v>1840</v>
      </c>
      <c r="I111" s="674" t="s">
        <v>1463</v>
      </c>
    </row>
    <row r="112" ht="15.75" customHeight="1">
      <c r="A112" s="771" t="s">
        <v>200</v>
      </c>
      <c r="B112" s="774"/>
      <c r="C112" s="774"/>
      <c r="D112" s="774"/>
      <c r="E112" s="777">
        <f t="shared" ref="E112:F112" si="1">SUM(E8:E111)</f>
        <v>113.2276179</v>
      </c>
      <c r="F112" s="780">
        <f t="shared" si="1"/>
        <v>2165400.23</v>
      </c>
      <c r="G112" s="774"/>
      <c r="H112" s="774"/>
      <c r="I112" s="783"/>
    </row>
    <row r="113" ht="15.75" customHeight="1">
      <c r="A113" s="786" t="s">
        <v>30</v>
      </c>
      <c r="B113" s="27"/>
      <c r="C113" s="27"/>
      <c r="D113" s="27"/>
      <c r="E113" s="27"/>
      <c r="F113" s="27"/>
      <c r="G113" s="27"/>
      <c r="H113" s="27"/>
      <c r="I113" s="28"/>
    </row>
    <row r="114" ht="15.75" customHeight="1">
      <c r="A114" s="657" t="s">
        <v>1863</v>
      </c>
      <c r="B114" s="661" t="s">
        <v>1864</v>
      </c>
      <c r="C114" s="661" t="s">
        <v>681</v>
      </c>
      <c r="D114" s="661" t="s">
        <v>1865</v>
      </c>
      <c r="E114" s="661">
        <v>1.81</v>
      </c>
      <c r="F114" s="666"/>
      <c r="G114" s="670" t="s">
        <v>1866</v>
      </c>
      <c r="H114" s="661" t="s">
        <v>1041</v>
      </c>
      <c r="I114" s="790" t="s">
        <v>1463</v>
      </c>
      <c r="J114" s="793"/>
    </row>
    <row r="115" ht="15.75" customHeight="1">
      <c r="A115" s="640" t="s">
        <v>1550</v>
      </c>
      <c r="B115" s="644" t="s">
        <v>1892</v>
      </c>
      <c r="C115" s="644" t="s">
        <v>1893</v>
      </c>
      <c r="D115" s="644" t="s">
        <v>1894</v>
      </c>
      <c r="E115" s="644">
        <v>14.93</v>
      </c>
      <c r="F115" s="666"/>
      <c r="G115" s="757"/>
      <c r="H115" s="661" t="s">
        <v>1041</v>
      </c>
      <c r="I115" s="790" t="s">
        <v>1895</v>
      </c>
      <c r="J115" s="689"/>
    </row>
    <row r="116" ht="15.75" customHeight="1">
      <c r="A116" s="796" t="s">
        <v>1896</v>
      </c>
      <c r="B116" s="799" t="s">
        <v>1908</v>
      </c>
      <c r="C116" s="799" t="s">
        <v>1915</v>
      </c>
      <c r="D116" s="799" t="s">
        <v>1916</v>
      </c>
      <c r="E116" s="799">
        <v>1.02</v>
      </c>
      <c r="F116" s="703"/>
      <c r="G116" s="804" t="s">
        <v>1343</v>
      </c>
      <c r="H116" s="565" t="s">
        <v>1041</v>
      </c>
      <c r="I116" s="808" t="s">
        <v>1924</v>
      </c>
      <c r="J116" s="364" t="s">
        <v>1926</v>
      </c>
    </row>
    <row r="117" ht="15.75" customHeight="1">
      <c r="A117" s="640" t="s">
        <v>1927</v>
      </c>
      <c r="B117" s="644" t="s">
        <v>1928</v>
      </c>
      <c r="C117" s="644"/>
      <c r="D117" s="644" t="s">
        <v>1929</v>
      </c>
      <c r="E117" s="644">
        <v>13.94</v>
      </c>
      <c r="F117" s="666"/>
      <c r="G117" s="757" t="s">
        <v>1343</v>
      </c>
      <c r="H117" s="661" t="s">
        <v>1041</v>
      </c>
      <c r="I117" s="654" t="s">
        <v>1930</v>
      </c>
      <c r="J117" s="689"/>
    </row>
    <row r="118" ht="15.75" customHeight="1">
      <c r="A118" s="796" t="s">
        <v>1931</v>
      </c>
      <c r="B118" s="799" t="s">
        <v>1864</v>
      </c>
      <c r="C118" s="799"/>
      <c r="D118" s="799" t="s">
        <v>1933</v>
      </c>
      <c r="E118" s="799">
        <v>1.18</v>
      </c>
      <c r="F118" s="703"/>
      <c r="G118" s="804"/>
      <c r="H118" s="565"/>
      <c r="I118" s="565" t="s">
        <v>1934</v>
      </c>
      <c r="J118" s="793"/>
    </row>
    <row r="119" ht="15.75" customHeight="1">
      <c r="A119" s="813" t="s">
        <v>200</v>
      </c>
      <c r="B119" s="817"/>
      <c r="C119" s="817"/>
      <c r="D119" s="817"/>
      <c r="E119" s="821">
        <f t="shared" ref="E119:F119" si="2">SUM(E114:E118)</f>
        <v>32.88</v>
      </c>
      <c r="F119" s="821">
        <f t="shared" si="2"/>
        <v>0</v>
      </c>
      <c r="G119" s="817"/>
      <c r="H119" s="817"/>
      <c r="I119" s="825"/>
      <c r="J119" s="285"/>
    </row>
    <row r="120" ht="15.75" customHeight="1">
      <c r="A120" s="830" t="s">
        <v>390</v>
      </c>
      <c r="B120" s="27"/>
      <c r="C120" s="27"/>
      <c r="D120" s="27"/>
      <c r="E120" s="27"/>
      <c r="F120" s="27"/>
      <c r="G120" s="27"/>
      <c r="H120" s="27"/>
      <c r="I120" s="687"/>
    </row>
    <row r="121" ht="15.75" customHeight="1">
      <c r="A121" s="747" t="s">
        <v>1970</v>
      </c>
      <c r="B121" s="833" t="s">
        <v>1971</v>
      </c>
      <c r="C121" s="833" t="s">
        <v>1247</v>
      </c>
      <c r="D121" s="661" t="s">
        <v>1975</v>
      </c>
      <c r="E121" s="837">
        <v>0.127</v>
      </c>
      <c r="F121" s="841"/>
      <c r="G121" s="670" t="s">
        <v>1991</v>
      </c>
      <c r="H121" s="644" t="s">
        <v>1993</v>
      </c>
      <c r="I121" s="844" t="s">
        <v>1997</v>
      </c>
      <c r="J121" s="689"/>
    </row>
    <row r="122" ht="15.75" customHeight="1">
      <c r="A122" s="850" t="s">
        <v>2005</v>
      </c>
      <c r="B122" s="583" t="s">
        <v>2015</v>
      </c>
      <c r="C122" s="854" t="s">
        <v>1560</v>
      </c>
      <c r="D122" s="583" t="s">
        <v>2017</v>
      </c>
      <c r="E122" s="858">
        <v>2.3</v>
      </c>
      <c r="F122" s="865"/>
      <c r="G122" s="866" t="s">
        <v>1343</v>
      </c>
      <c r="H122" s="870" t="s">
        <v>2026</v>
      </c>
      <c r="I122" s="874" t="s">
        <v>2036</v>
      </c>
    </row>
    <row r="123" ht="15.75" customHeight="1">
      <c r="A123" s="850" t="s">
        <v>2037</v>
      </c>
      <c r="B123" s="583" t="s">
        <v>2038</v>
      </c>
      <c r="C123" s="583" t="s">
        <v>2039</v>
      </c>
      <c r="D123" s="878" t="s">
        <v>2040</v>
      </c>
      <c r="E123" s="858">
        <v>0.708</v>
      </c>
      <c r="F123" s="865"/>
      <c r="G123" s="882" t="s">
        <v>1343</v>
      </c>
      <c r="H123" s="870" t="s">
        <v>2042</v>
      </c>
      <c r="I123" s="886" t="s">
        <v>2043</v>
      </c>
      <c r="J123" s="689"/>
    </row>
    <row r="124" ht="15.75" customHeight="1">
      <c r="A124" s="850" t="s">
        <v>2047</v>
      </c>
      <c r="B124" s="583" t="s">
        <v>2048</v>
      </c>
      <c r="C124" s="583" t="s">
        <v>2049</v>
      </c>
      <c r="D124" s="583" t="s">
        <v>2050</v>
      </c>
      <c r="E124" s="858">
        <v>0.486</v>
      </c>
      <c r="F124" s="865"/>
      <c r="G124" s="890" t="s">
        <v>2051</v>
      </c>
      <c r="H124" s="870" t="s">
        <v>2026</v>
      </c>
      <c r="I124" s="886" t="s">
        <v>2069</v>
      </c>
    </row>
    <row r="125" ht="15.75" customHeight="1">
      <c r="A125" s="850" t="s">
        <v>2070</v>
      </c>
      <c r="B125" s="583" t="s">
        <v>2072</v>
      </c>
      <c r="C125" s="583" t="s">
        <v>2073</v>
      </c>
      <c r="D125" s="583" t="s">
        <v>2075</v>
      </c>
      <c r="E125" s="894">
        <v>3.245</v>
      </c>
      <c r="F125" s="865"/>
      <c r="G125" s="866" t="s">
        <v>1343</v>
      </c>
      <c r="H125" s="870" t="s">
        <v>2042</v>
      </c>
      <c r="I125" s="886" t="s">
        <v>2095</v>
      </c>
      <c r="J125" s="689"/>
    </row>
    <row r="126" ht="15.75" customHeight="1">
      <c r="A126" s="850" t="s">
        <v>2096</v>
      </c>
      <c r="B126" s="583" t="s">
        <v>2097</v>
      </c>
      <c r="C126" s="900" t="s">
        <v>2099</v>
      </c>
      <c r="D126" s="583" t="s">
        <v>2106</v>
      </c>
      <c r="E126" s="894">
        <v>0.637</v>
      </c>
      <c r="F126" s="865"/>
      <c r="G126" s="727" t="s">
        <v>2108</v>
      </c>
      <c r="H126" s="870" t="s">
        <v>2042</v>
      </c>
      <c r="I126" s="874" t="s">
        <v>1463</v>
      </c>
    </row>
    <row r="127" ht="15.75" customHeight="1">
      <c r="A127" s="850" t="s">
        <v>2096</v>
      </c>
      <c r="B127" s="583" t="s">
        <v>1971</v>
      </c>
      <c r="C127" s="900" t="s">
        <v>1560</v>
      </c>
      <c r="D127" s="583" t="s">
        <v>2110</v>
      </c>
      <c r="E127" s="894">
        <v>1.118</v>
      </c>
      <c r="F127" s="865"/>
      <c r="G127" s="866" t="s">
        <v>1343</v>
      </c>
      <c r="H127" s="870" t="s">
        <v>2042</v>
      </c>
      <c r="I127" s="874" t="s">
        <v>2111</v>
      </c>
      <c r="J127" s="689"/>
    </row>
    <row r="128" ht="15.75" customHeight="1">
      <c r="A128" s="902" t="s">
        <v>2112</v>
      </c>
      <c r="B128" s="903" t="s">
        <v>2117</v>
      </c>
      <c r="C128" s="854" t="s">
        <v>1560</v>
      </c>
      <c r="D128" s="903" t="s">
        <v>2126</v>
      </c>
      <c r="E128" s="894">
        <v>1.448</v>
      </c>
      <c r="F128" s="865"/>
      <c r="G128" s="866" t="s">
        <v>1343</v>
      </c>
      <c r="H128" s="583" t="s">
        <v>2026</v>
      </c>
      <c r="I128" s="874" t="s">
        <v>1463</v>
      </c>
    </row>
    <row r="129" ht="15.75" customHeight="1">
      <c r="A129" s="850" t="s">
        <v>1322</v>
      </c>
      <c r="B129" s="583" t="s">
        <v>2129</v>
      </c>
      <c r="C129" s="583" t="s">
        <v>2131</v>
      </c>
      <c r="D129" s="900" t="s">
        <v>2132</v>
      </c>
      <c r="E129" s="894">
        <v>0.226</v>
      </c>
      <c r="F129" s="865"/>
      <c r="G129" s="906" t="s">
        <v>2134</v>
      </c>
      <c r="H129" s="583" t="s">
        <v>2154</v>
      </c>
      <c r="I129" s="886" t="s">
        <v>2155</v>
      </c>
      <c r="J129" s="689"/>
    </row>
    <row r="130" ht="15.75" customHeight="1">
      <c r="A130" s="908" t="s">
        <v>1339</v>
      </c>
      <c r="B130" s="912" t="s">
        <v>2156</v>
      </c>
      <c r="C130" s="915" t="s">
        <v>2165</v>
      </c>
      <c r="D130" s="870" t="s">
        <v>2175</v>
      </c>
      <c r="E130" s="858">
        <v>0.92</v>
      </c>
      <c r="F130" s="865"/>
      <c r="G130" s="919" t="s">
        <v>2181</v>
      </c>
      <c r="H130" s="912" t="s">
        <v>2042</v>
      </c>
      <c r="I130" s="923" t="s">
        <v>2210</v>
      </c>
    </row>
    <row r="131" ht="15.75" customHeight="1">
      <c r="A131" s="616"/>
      <c r="B131" s="397"/>
      <c r="C131" s="397"/>
      <c r="D131" s="903" t="s">
        <v>2226</v>
      </c>
      <c r="E131" s="927">
        <v>0.05</v>
      </c>
      <c r="F131" s="865"/>
      <c r="G131" s="397"/>
      <c r="H131" s="397"/>
      <c r="I131" s="627"/>
      <c r="J131" s="689"/>
    </row>
    <row r="132" ht="15.75" customHeight="1">
      <c r="A132" s="696" t="s">
        <v>2250</v>
      </c>
      <c r="B132" s="565" t="s">
        <v>2251</v>
      </c>
      <c r="C132" s="565" t="s">
        <v>2253</v>
      </c>
      <c r="D132" s="565" t="s">
        <v>2254</v>
      </c>
      <c r="E132" s="565">
        <v>0.43</v>
      </c>
      <c r="F132" s="703">
        <v>30000.0</v>
      </c>
      <c r="G132" s="707" t="s">
        <v>2255</v>
      </c>
      <c r="H132" s="565" t="s">
        <v>2256</v>
      </c>
      <c r="I132" s="931" t="s">
        <v>2259</v>
      </c>
    </row>
    <row r="133" ht="15.75" customHeight="1">
      <c r="A133" s="934" t="s">
        <v>2278</v>
      </c>
      <c r="B133" s="903" t="s">
        <v>2302</v>
      </c>
      <c r="C133" s="903" t="s">
        <v>2303</v>
      </c>
      <c r="D133" s="583" t="s">
        <v>2304</v>
      </c>
      <c r="E133" s="583">
        <v>1.29</v>
      </c>
      <c r="F133" s="724"/>
      <c r="G133" s="937" t="s">
        <v>1839</v>
      </c>
      <c r="H133" s="583" t="s">
        <v>2310</v>
      </c>
      <c r="I133" s="874" t="s">
        <v>2311</v>
      </c>
      <c r="J133" s="689"/>
    </row>
    <row r="134" ht="15.75" customHeight="1">
      <c r="A134" s="941" t="s">
        <v>2312</v>
      </c>
      <c r="B134" s="944" t="s">
        <v>2324</v>
      </c>
      <c r="C134" s="944" t="s">
        <v>1247</v>
      </c>
      <c r="D134" s="583" t="s">
        <v>1343</v>
      </c>
      <c r="E134" s="583"/>
      <c r="F134" s="724"/>
      <c r="G134" s="947" t="s">
        <v>2342</v>
      </c>
      <c r="H134" s="944" t="s">
        <v>2256</v>
      </c>
      <c r="I134" s="950" t="s">
        <v>2359</v>
      </c>
    </row>
    <row r="135" ht="15.75" customHeight="1">
      <c r="A135" s="941" t="s">
        <v>2390</v>
      </c>
      <c r="B135" s="944" t="s">
        <v>2392</v>
      </c>
      <c r="C135" s="944" t="s">
        <v>1247</v>
      </c>
      <c r="D135" s="583" t="s">
        <v>1514</v>
      </c>
      <c r="E135" s="583">
        <v>0.547</v>
      </c>
      <c r="F135" s="724"/>
      <c r="G135" s="866"/>
      <c r="H135" s="944" t="s">
        <v>2398</v>
      </c>
      <c r="I135" s="950" t="s">
        <v>2400</v>
      </c>
      <c r="J135" s="689"/>
    </row>
    <row r="136" ht="15.75" customHeight="1">
      <c r="A136" s="941" t="s">
        <v>2402</v>
      </c>
      <c r="B136" s="944" t="s">
        <v>2403</v>
      </c>
      <c r="C136" s="944" t="s">
        <v>2405</v>
      </c>
      <c r="D136" s="583" t="s">
        <v>340</v>
      </c>
      <c r="E136" s="894">
        <f>901/424</f>
        <v>2.125</v>
      </c>
      <c r="F136" s="724"/>
      <c r="G136" s="866" t="s">
        <v>1343</v>
      </c>
      <c r="H136" s="944" t="s">
        <v>2256</v>
      </c>
      <c r="I136" s="950" t="s">
        <v>2426</v>
      </c>
    </row>
    <row r="137" ht="15.75" customHeight="1">
      <c r="A137" s="941" t="s">
        <v>2427</v>
      </c>
      <c r="B137" s="944" t="s">
        <v>2430</v>
      </c>
      <c r="C137" s="944" t="s">
        <v>2431</v>
      </c>
      <c r="D137" s="583" t="s">
        <v>2433</v>
      </c>
      <c r="E137" s="894">
        <v>0.34</v>
      </c>
      <c r="F137" s="724"/>
      <c r="G137" s="866" t="s">
        <v>1343</v>
      </c>
      <c r="H137" s="944" t="s">
        <v>2435</v>
      </c>
      <c r="I137" s="874" t="s">
        <v>1463</v>
      </c>
      <c r="J137" s="689"/>
    </row>
    <row r="138" ht="15.75" customHeight="1">
      <c r="A138" s="941">
        <v>43905.0</v>
      </c>
      <c r="B138" s="944" t="s">
        <v>2438</v>
      </c>
      <c r="C138" s="944" t="s">
        <v>2440</v>
      </c>
      <c r="D138" s="583" t="s">
        <v>2441</v>
      </c>
      <c r="E138" s="894">
        <v>1.78</v>
      </c>
      <c r="F138" s="724"/>
      <c r="G138" s="866"/>
      <c r="H138" s="944"/>
      <c r="I138" s="874" t="s">
        <v>2443</v>
      </c>
      <c r="J138" s="689"/>
    </row>
    <row r="139" ht="15.75" customHeight="1">
      <c r="A139" s="850" t="s">
        <v>2444</v>
      </c>
      <c r="B139" s="583" t="s">
        <v>2445</v>
      </c>
      <c r="C139" s="900"/>
      <c r="D139" s="583" t="s">
        <v>2446</v>
      </c>
      <c r="E139" s="583">
        <v>0.632</v>
      </c>
      <c r="F139" s="724"/>
      <c r="G139" s="866" t="s">
        <v>1343</v>
      </c>
      <c r="H139" s="583" t="s">
        <v>2447</v>
      </c>
      <c r="I139" s="874" t="s">
        <v>1463</v>
      </c>
    </row>
    <row r="140" ht="15.75" customHeight="1">
      <c r="A140" s="850" t="s">
        <v>2448</v>
      </c>
      <c r="B140" s="583" t="s">
        <v>2403</v>
      </c>
      <c r="C140" s="900"/>
      <c r="D140" s="583" t="s">
        <v>2451</v>
      </c>
      <c r="E140" s="956">
        <v>0.389</v>
      </c>
      <c r="F140" s="724"/>
      <c r="G140" s="866" t="s">
        <v>1343</v>
      </c>
      <c r="H140" s="583" t="s">
        <v>2464</v>
      </c>
      <c r="I140" s="960" t="s">
        <v>2465</v>
      </c>
      <c r="J140" s="689"/>
    </row>
    <row r="141" ht="15.75" customHeight="1">
      <c r="A141" s="850" t="s">
        <v>2481</v>
      </c>
      <c r="B141" s="583" t="s">
        <v>2485</v>
      </c>
      <c r="C141" s="900" t="s">
        <v>2487</v>
      </c>
      <c r="D141" s="583" t="s">
        <v>2489</v>
      </c>
      <c r="E141" s="583">
        <v>0.62</v>
      </c>
      <c r="F141" s="724"/>
      <c r="G141" s="866" t="s">
        <v>1343</v>
      </c>
      <c r="H141" s="583" t="s">
        <v>2398</v>
      </c>
      <c r="I141" s="960" t="s">
        <v>2426</v>
      </c>
    </row>
    <row r="142" ht="15.75" customHeight="1">
      <c r="A142" s="964" t="s">
        <v>1546</v>
      </c>
      <c r="B142" s="661" t="s">
        <v>2438</v>
      </c>
      <c r="C142" s="966"/>
      <c r="D142" s="661" t="s">
        <v>2573</v>
      </c>
      <c r="E142" s="661">
        <v>1.781</v>
      </c>
      <c r="F142" s="666"/>
      <c r="G142" s="678" t="s">
        <v>1343</v>
      </c>
      <c r="H142" s="661" t="s">
        <v>2574</v>
      </c>
      <c r="I142" s="674" t="s">
        <v>1463</v>
      </c>
      <c r="J142" s="689"/>
    </row>
    <row r="143" ht="117.75" customHeight="1">
      <c r="A143" s="973" t="s">
        <v>1558</v>
      </c>
      <c r="B143" s="565" t="s">
        <v>2635</v>
      </c>
      <c r="C143" s="975" t="s">
        <v>2643</v>
      </c>
      <c r="D143" s="565" t="s">
        <v>2685</v>
      </c>
      <c r="E143" s="565">
        <v>0.212</v>
      </c>
      <c r="F143" s="703"/>
      <c r="G143" s="707" t="s">
        <v>1343</v>
      </c>
      <c r="H143" s="565" t="s">
        <v>2574</v>
      </c>
      <c r="I143" s="713" t="s">
        <v>1463</v>
      </c>
      <c r="J143" s="977" t="s">
        <v>2692</v>
      </c>
    </row>
    <row r="144" ht="15.75" customHeight="1">
      <c r="A144" s="964" t="s">
        <v>2711</v>
      </c>
      <c r="B144" s="661" t="s">
        <v>2712</v>
      </c>
      <c r="C144" s="979"/>
      <c r="D144" s="661" t="s">
        <v>2722</v>
      </c>
      <c r="E144" s="661">
        <v>0.498</v>
      </c>
      <c r="F144" s="666"/>
      <c r="G144" s="678" t="s">
        <v>1343</v>
      </c>
      <c r="H144" s="661" t="s">
        <v>2574</v>
      </c>
      <c r="I144" s="674" t="s">
        <v>1463</v>
      </c>
      <c r="J144" s="689"/>
    </row>
    <row r="145" ht="15.75" customHeight="1">
      <c r="A145" s="983" t="s">
        <v>2724</v>
      </c>
      <c r="B145" s="583" t="s">
        <v>2015</v>
      </c>
      <c r="C145" s="854" t="s">
        <v>1247</v>
      </c>
      <c r="D145" s="583" t="s">
        <v>2738</v>
      </c>
      <c r="E145" s="583">
        <v>0.099</v>
      </c>
      <c r="F145" s="724"/>
      <c r="G145" s="866"/>
      <c r="H145" s="583" t="s">
        <v>2574</v>
      </c>
      <c r="I145" s="874" t="s">
        <v>2739</v>
      </c>
    </row>
    <row r="146" ht="15.75" customHeight="1">
      <c r="A146" s="987" t="s">
        <v>1572</v>
      </c>
      <c r="B146" s="900" t="s">
        <v>2761</v>
      </c>
      <c r="C146" s="583" t="s">
        <v>2762</v>
      </c>
      <c r="D146" s="583" t="s">
        <v>2763</v>
      </c>
      <c r="E146" s="894">
        <v>0.17</v>
      </c>
      <c r="F146" s="724"/>
      <c r="G146" s="727" t="s">
        <v>2764</v>
      </c>
      <c r="H146" s="583" t="s">
        <v>2574</v>
      </c>
      <c r="I146" s="874" t="s">
        <v>1463</v>
      </c>
      <c r="J146" s="689"/>
    </row>
    <row r="147" ht="15.75" customHeight="1">
      <c r="A147" s="941" t="s">
        <v>1618</v>
      </c>
      <c r="B147" s="944" t="s">
        <v>2766</v>
      </c>
      <c r="C147" s="944" t="s">
        <v>2767</v>
      </c>
      <c r="D147" s="583"/>
      <c r="E147" s="894">
        <v>6.7</v>
      </c>
      <c r="F147" s="724"/>
      <c r="G147" s="866" t="s">
        <v>1343</v>
      </c>
      <c r="H147" s="583" t="s">
        <v>2574</v>
      </c>
      <c r="I147" s="950" t="s">
        <v>2769</v>
      </c>
    </row>
    <row r="148" ht="15.75" customHeight="1">
      <c r="A148" s="941" t="s">
        <v>2770</v>
      </c>
      <c r="B148" s="944" t="s">
        <v>2015</v>
      </c>
      <c r="C148" s="944" t="s">
        <v>2767</v>
      </c>
      <c r="D148" s="583" t="s">
        <v>2771</v>
      </c>
      <c r="E148" s="894">
        <v>8.736</v>
      </c>
      <c r="F148" s="724">
        <v>151160.0</v>
      </c>
      <c r="G148" s="866"/>
      <c r="H148" s="583" t="s">
        <v>2772</v>
      </c>
      <c r="I148" s="950" t="s">
        <v>2773</v>
      </c>
      <c r="J148" s="689"/>
    </row>
    <row r="149" ht="15.75" customHeight="1">
      <c r="A149" s="941" t="s">
        <v>2774</v>
      </c>
      <c r="B149" s="944" t="s">
        <v>2015</v>
      </c>
      <c r="C149" s="944" t="s">
        <v>2767</v>
      </c>
      <c r="D149" s="583" t="s">
        <v>2775</v>
      </c>
      <c r="E149" s="894">
        <v>5.651</v>
      </c>
      <c r="F149" s="724"/>
      <c r="G149" s="866" t="s">
        <v>1343</v>
      </c>
      <c r="H149" s="724" t="s">
        <v>2574</v>
      </c>
      <c r="I149" s="950" t="s">
        <v>2776</v>
      </c>
    </row>
    <row r="150" ht="75.75" customHeight="1">
      <c r="A150" s="973">
        <v>44012.0</v>
      </c>
      <c r="B150" s="565" t="s">
        <v>2778</v>
      </c>
      <c r="C150" s="989" t="s">
        <v>2781</v>
      </c>
      <c r="D150" s="565" t="s">
        <v>2784</v>
      </c>
      <c r="E150" s="992">
        <v>1.514</v>
      </c>
      <c r="F150" s="703"/>
      <c r="G150" s="707" t="s">
        <v>1343</v>
      </c>
      <c r="H150" s="703" t="s">
        <v>2574</v>
      </c>
      <c r="I150" s="713" t="s">
        <v>1463</v>
      </c>
      <c r="J150" s="364" t="s">
        <v>2806</v>
      </c>
    </row>
    <row r="151" ht="15.75" customHeight="1">
      <c r="A151" s="964" t="s">
        <v>1621</v>
      </c>
      <c r="B151" s="661" t="s">
        <v>2778</v>
      </c>
      <c r="C151" s="995" t="s">
        <v>2807</v>
      </c>
      <c r="D151" s="661" t="s">
        <v>2821</v>
      </c>
      <c r="E151" s="999">
        <v>1.491</v>
      </c>
      <c r="F151" s="666"/>
      <c r="G151" s="678" t="s">
        <v>1343</v>
      </c>
      <c r="H151" s="666" t="s">
        <v>2574</v>
      </c>
      <c r="I151" s="674" t="s">
        <v>1463</v>
      </c>
    </row>
    <row r="152" ht="15.75" customHeight="1">
      <c r="A152" s="973" t="s">
        <v>1628</v>
      </c>
      <c r="B152" s="565" t="s">
        <v>2840</v>
      </c>
      <c r="C152" s="1004" t="s">
        <v>2767</v>
      </c>
      <c r="D152" s="565" t="s">
        <v>2866</v>
      </c>
      <c r="E152" s="992">
        <v>3.53</v>
      </c>
      <c r="F152" s="703"/>
      <c r="G152" s="707" t="s">
        <v>1343</v>
      </c>
      <c r="H152" s="703" t="s">
        <v>2574</v>
      </c>
      <c r="I152" s="713" t="s">
        <v>2867</v>
      </c>
      <c r="J152" s="689"/>
    </row>
    <row r="153" ht="15.75" customHeight="1">
      <c r="A153" s="747" t="s">
        <v>2868</v>
      </c>
      <c r="B153" s="833" t="s">
        <v>2392</v>
      </c>
      <c r="C153" s="833" t="s">
        <v>2869</v>
      </c>
      <c r="D153" s="661" t="s">
        <v>2870</v>
      </c>
      <c r="E153" s="999">
        <v>0.38</v>
      </c>
      <c r="F153" s="666"/>
      <c r="G153" s="670" t="s">
        <v>2871</v>
      </c>
      <c r="H153" s="833" t="s">
        <v>2256</v>
      </c>
      <c r="I153" s="844" t="s">
        <v>2872</v>
      </c>
    </row>
    <row r="154" ht="15.75" customHeight="1">
      <c r="A154" s="657" t="s">
        <v>2873</v>
      </c>
      <c r="B154" s="661" t="s">
        <v>2251</v>
      </c>
      <c r="C154" s="661" t="s">
        <v>1560</v>
      </c>
      <c r="D154" s="661" t="s">
        <v>2874</v>
      </c>
      <c r="E154" s="661"/>
      <c r="F154" s="666"/>
      <c r="G154" s="670" t="s">
        <v>2875</v>
      </c>
      <c r="H154" s="833" t="s">
        <v>2256</v>
      </c>
      <c r="I154" s="1012" t="s">
        <v>2876</v>
      </c>
      <c r="J154" s="689"/>
    </row>
    <row r="155" ht="15.75" customHeight="1">
      <c r="A155" s="696" t="s">
        <v>1677</v>
      </c>
      <c r="B155" s="565" t="s">
        <v>2878</v>
      </c>
      <c r="C155" s="565" t="s">
        <v>2879</v>
      </c>
      <c r="D155" s="565" t="s">
        <v>2880</v>
      </c>
      <c r="E155" s="565">
        <v>2.14</v>
      </c>
      <c r="F155" s="703"/>
      <c r="G155" s="707" t="s">
        <v>1343</v>
      </c>
      <c r="H155" s="1004" t="s">
        <v>2256</v>
      </c>
      <c r="I155" s="713" t="s">
        <v>2881</v>
      </c>
    </row>
    <row r="156" ht="15.75" customHeight="1">
      <c r="A156" s="657" t="s">
        <v>1682</v>
      </c>
      <c r="B156" s="661" t="s">
        <v>2048</v>
      </c>
      <c r="C156" s="661" t="s">
        <v>2882</v>
      </c>
      <c r="D156" s="661" t="s">
        <v>2883</v>
      </c>
      <c r="E156" s="661"/>
      <c r="F156" s="666"/>
      <c r="G156" s="670" t="s">
        <v>2884</v>
      </c>
      <c r="H156" s="833" t="s">
        <v>2256</v>
      </c>
      <c r="I156" s="674" t="s">
        <v>2885</v>
      </c>
      <c r="J156" s="689"/>
    </row>
    <row r="157" ht="15.75" customHeight="1">
      <c r="A157" s="657" t="s">
        <v>1714</v>
      </c>
      <c r="B157" s="661" t="s">
        <v>2886</v>
      </c>
      <c r="C157" s="661" t="s">
        <v>2887</v>
      </c>
      <c r="D157" s="661" t="s">
        <v>2888</v>
      </c>
      <c r="E157" s="661">
        <v>0.99</v>
      </c>
      <c r="F157" s="666"/>
      <c r="G157" s="678" t="s">
        <v>1343</v>
      </c>
      <c r="H157" s="661" t="s">
        <v>2889</v>
      </c>
      <c r="I157" s="674" t="s">
        <v>2890</v>
      </c>
    </row>
    <row r="158" ht="15.75" customHeight="1">
      <c r="A158" s="721" t="s">
        <v>2891</v>
      </c>
      <c r="B158" s="583" t="s">
        <v>2892</v>
      </c>
      <c r="C158" s="583" t="s">
        <v>2882</v>
      </c>
      <c r="D158" s="583" t="s">
        <v>1343</v>
      </c>
      <c r="E158" s="583"/>
      <c r="F158" s="724"/>
      <c r="G158" s="947" t="s">
        <v>2893</v>
      </c>
      <c r="H158" s="583" t="s">
        <v>346</v>
      </c>
      <c r="I158" s="886" t="s">
        <v>663</v>
      </c>
      <c r="J158" s="689"/>
    </row>
    <row r="159" ht="15.75" customHeight="1">
      <c r="A159" s="696" t="s">
        <v>2894</v>
      </c>
      <c r="B159" s="565" t="s">
        <v>2895</v>
      </c>
      <c r="C159" s="565" t="s">
        <v>2896</v>
      </c>
      <c r="D159" s="565" t="s">
        <v>2897</v>
      </c>
      <c r="E159" s="565">
        <v>5.002</v>
      </c>
      <c r="F159" s="703"/>
      <c r="G159" s="707" t="s">
        <v>1343</v>
      </c>
      <c r="H159" s="565" t="s">
        <v>346</v>
      </c>
      <c r="I159" s="713" t="s">
        <v>2899</v>
      </c>
    </row>
    <row r="160" ht="15.75" customHeight="1">
      <c r="A160" s="657" t="s">
        <v>2894</v>
      </c>
      <c r="B160" s="661" t="s">
        <v>2900</v>
      </c>
      <c r="C160" s="661" t="s">
        <v>2896</v>
      </c>
      <c r="D160" s="661" t="s">
        <v>2901</v>
      </c>
      <c r="E160" s="661">
        <v>0.472</v>
      </c>
      <c r="F160" s="666"/>
      <c r="G160" s="678" t="s">
        <v>1343</v>
      </c>
      <c r="H160" s="661" t="s">
        <v>2574</v>
      </c>
      <c r="I160" s="674" t="s">
        <v>2902</v>
      </c>
      <c r="J160" s="689"/>
    </row>
    <row r="161" ht="15.75" customHeight="1">
      <c r="A161" s="657" t="s">
        <v>1814</v>
      </c>
      <c r="B161" s="661" t="s">
        <v>2903</v>
      </c>
      <c r="C161" s="661" t="s">
        <v>2904</v>
      </c>
      <c r="D161" s="661" t="s">
        <v>2905</v>
      </c>
      <c r="E161" s="661">
        <v>0.08</v>
      </c>
      <c r="F161" s="666"/>
      <c r="G161" s="670" t="s">
        <v>2907</v>
      </c>
      <c r="H161" s="661" t="s">
        <v>2042</v>
      </c>
      <c r="I161" s="674" t="s">
        <v>1463</v>
      </c>
    </row>
    <row r="162" ht="15.75" customHeight="1">
      <c r="A162" s="721" t="s">
        <v>2908</v>
      </c>
      <c r="B162" s="583" t="s">
        <v>2910</v>
      </c>
      <c r="C162" s="583" t="s">
        <v>2904</v>
      </c>
      <c r="D162" s="583" t="s">
        <v>2912</v>
      </c>
      <c r="E162" s="583">
        <v>1.774</v>
      </c>
      <c r="F162" s="724"/>
      <c r="G162" s="866"/>
      <c r="H162" s="583" t="s">
        <v>2772</v>
      </c>
      <c r="I162" s="874" t="s">
        <v>2914</v>
      </c>
      <c r="J162" s="689"/>
    </row>
    <row r="163" ht="15.75" customHeight="1">
      <c r="A163" s="721" t="s">
        <v>2916</v>
      </c>
      <c r="B163" s="583" t="s">
        <v>2892</v>
      </c>
      <c r="C163" s="583" t="s">
        <v>2882</v>
      </c>
      <c r="D163" s="583" t="s">
        <v>2918</v>
      </c>
      <c r="E163" s="583">
        <v>0.863</v>
      </c>
      <c r="F163" s="724"/>
      <c r="G163" s="866" t="s">
        <v>1343</v>
      </c>
      <c r="H163" s="583" t="s">
        <v>346</v>
      </c>
      <c r="I163" s="874" t="s">
        <v>2919</v>
      </c>
    </row>
    <row r="164" ht="15.75" customHeight="1">
      <c r="A164" s="696" t="s">
        <v>1931</v>
      </c>
      <c r="B164" s="565" t="s">
        <v>2920</v>
      </c>
      <c r="C164" s="565" t="s">
        <v>2921</v>
      </c>
      <c r="D164" s="565" t="s">
        <v>2922</v>
      </c>
      <c r="E164" s="565">
        <v>0.304</v>
      </c>
      <c r="F164" s="703"/>
      <c r="G164" s="707" t="s">
        <v>1343</v>
      </c>
      <c r="H164" s="565" t="s">
        <v>346</v>
      </c>
      <c r="I164" s="1018" t="s">
        <v>2923</v>
      </c>
      <c r="J164" s="1024" t="s">
        <v>2933</v>
      </c>
    </row>
    <row r="165" ht="15.75" customHeight="1">
      <c r="A165" s="657" t="s">
        <v>2940</v>
      </c>
      <c r="B165" s="661" t="s">
        <v>2048</v>
      </c>
      <c r="C165" s="661" t="s">
        <v>1560</v>
      </c>
      <c r="D165" s="661" t="s">
        <v>2941</v>
      </c>
      <c r="E165" s="666"/>
      <c r="F165" s="666"/>
      <c r="G165" s="670" t="s">
        <v>2942</v>
      </c>
      <c r="H165" s="661" t="s">
        <v>346</v>
      </c>
      <c r="I165" s="674" t="s">
        <v>2933</v>
      </c>
    </row>
    <row r="166" ht="15.75" customHeight="1">
      <c r="A166" s="721" t="s">
        <v>2943</v>
      </c>
      <c r="B166" s="583" t="s">
        <v>2015</v>
      </c>
      <c r="C166" s="583" t="s">
        <v>2944</v>
      </c>
      <c r="D166" s="583" t="s">
        <v>2945</v>
      </c>
      <c r="E166" s="583">
        <v>0.25</v>
      </c>
      <c r="F166" s="724"/>
      <c r="G166" s="866" t="s">
        <v>1343</v>
      </c>
      <c r="H166" s="583" t="s">
        <v>346</v>
      </c>
      <c r="I166" s="874" t="s">
        <v>2946</v>
      </c>
      <c r="J166" s="689"/>
    </row>
    <row r="167" ht="15.75" customHeight="1">
      <c r="A167" s="721" t="s">
        <v>2947</v>
      </c>
      <c r="B167" s="583" t="s">
        <v>2948</v>
      </c>
      <c r="C167" s="583" t="s">
        <v>1560</v>
      </c>
      <c r="D167" s="583" t="s">
        <v>2949</v>
      </c>
      <c r="E167" s="583">
        <v>0.88</v>
      </c>
      <c r="F167" s="724"/>
      <c r="G167" s="866" t="s">
        <v>1343</v>
      </c>
      <c r="H167" s="583" t="s">
        <v>2950</v>
      </c>
      <c r="I167" s="874" t="s">
        <v>2946</v>
      </c>
    </row>
    <row r="168" ht="15.75" customHeight="1">
      <c r="A168" s="721" t="s">
        <v>2947</v>
      </c>
      <c r="B168" s="583" t="s">
        <v>2951</v>
      </c>
      <c r="C168" s="583" t="s">
        <v>2952</v>
      </c>
      <c r="D168" s="583" t="s">
        <v>2953</v>
      </c>
      <c r="E168" s="583">
        <v>0.05</v>
      </c>
      <c r="F168" s="724"/>
      <c r="G168" s="866" t="s">
        <v>1343</v>
      </c>
      <c r="H168" s="583" t="s">
        <v>2042</v>
      </c>
      <c r="I168" s="874" t="s">
        <v>2954</v>
      </c>
      <c r="J168" s="689"/>
    </row>
    <row r="169" ht="15.75" customHeight="1">
      <c r="A169" s="721" t="s">
        <v>2955</v>
      </c>
      <c r="B169" s="583" t="s">
        <v>2956</v>
      </c>
      <c r="C169" s="583" t="s">
        <v>2952</v>
      </c>
      <c r="D169" s="583" t="s">
        <v>1360</v>
      </c>
      <c r="E169" s="583">
        <v>2.51</v>
      </c>
      <c r="F169" s="724">
        <v>53300.0</v>
      </c>
      <c r="G169" s="866" t="s">
        <v>1343</v>
      </c>
      <c r="H169" s="583" t="s">
        <v>2042</v>
      </c>
      <c r="I169" s="874" t="s">
        <v>2957</v>
      </c>
      <c r="J169" s="977" t="s">
        <v>2958</v>
      </c>
    </row>
    <row r="170" ht="15.75" customHeight="1">
      <c r="A170" s="721" t="s">
        <v>1989</v>
      </c>
      <c r="B170" s="583" t="s">
        <v>2156</v>
      </c>
      <c r="C170" s="583" t="s">
        <v>2959</v>
      </c>
      <c r="D170" s="583" t="s">
        <v>2960</v>
      </c>
      <c r="E170" s="583">
        <v>0.16</v>
      </c>
      <c r="F170" s="724"/>
      <c r="G170" s="866" t="s">
        <v>1343</v>
      </c>
      <c r="H170" s="583" t="s">
        <v>2042</v>
      </c>
      <c r="I170" s="874" t="s">
        <v>2961</v>
      </c>
      <c r="J170" s="689"/>
    </row>
    <row r="171" ht="15.75" customHeight="1">
      <c r="A171" s="771" t="s">
        <v>200</v>
      </c>
      <c r="B171" s="1028"/>
      <c r="C171" s="1028"/>
      <c r="D171" s="1028"/>
      <c r="E171" s="1032">
        <f t="shared" ref="E171:F171" si="3">SUM(E121:E170)</f>
        <v>65.655</v>
      </c>
      <c r="F171" s="1037">
        <f t="shared" si="3"/>
        <v>234460</v>
      </c>
      <c r="G171" s="1028"/>
      <c r="H171" s="1028"/>
      <c r="I171" s="1040"/>
    </row>
    <row r="172" ht="15.75" customHeight="1">
      <c r="A172" s="1043" t="s">
        <v>312</v>
      </c>
      <c r="B172" s="95"/>
      <c r="C172" s="95"/>
      <c r="D172" s="95"/>
      <c r="E172" s="95"/>
      <c r="F172" s="95"/>
      <c r="G172" s="95"/>
      <c r="H172" s="95"/>
      <c r="I172" s="1046"/>
    </row>
    <row r="173" ht="15.75" customHeight="1">
      <c r="A173" s="1048" t="s">
        <v>2988</v>
      </c>
      <c r="B173" s="1050" t="s">
        <v>2999</v>
      </c>
      <c r="C173" s="1050" t="s">
        <v>3012</v>
      </c>
      <c r="D173" s="1050" t="s">
        <v>3014</v>
      </c>
      <c r="E173" s="1053">
        <f>70/424</f>
        <v>0.1650943396</v>
      </c>
      <c r="F173" s="1056">
        <v>55000.0</v>
      </c>
      <c r="G173" s="1059" t="s">
        <v>3022</v>
      </c>
      <c r="H173" s="1050" t="s">
        <v>346</v>
      </c>
      <c r="I173" s="717" t="s">
        <v>3024</v>
      </c>
    </row>
    <row r="174" ht="15.75" customHeight="1">
      <c r="A174" s="1048" t="s">
        <v>1415</v>
      </c>
      <c r="B174" s="1050" t="s">
        <v>3025</v>
      </c>
      <c r="C174" s="1050" t="s">
        <v>3026</v>
      </c>
      <c r="D174" s="1050" t="s">
        <v>3027</v>
      </c>
      <c r="E174" s="1050">
        <f>159/424</f>
        <v>0.375</v>
      </c>
      <c r="F174" s="1056">
        <v>6360.0</v>
      </c>
      <c r="G174" s="1062" t="s">
        <v>1596</v>
      </c>
      <c r="H174" s="1050" t="s">
        <v>346</v>
      </c>
      <c r="I174" s="717" t="s">
        <v>3030</v>
      </c>
    </row>
    <row r="175" ht="15.75" customHeight="1">
      <c r="A175" s="1065" t="s">
        <v>2390</v>
      </c>
      <c r="B175" s="903" t="s">
        <v>3032</v>
      </c>
      <c r="C175" s="903" t="s">
        <v>708</v>
      </c>
      <c r="D175" s="903" t="s">
        <v>3033</v>
      </c>
      <c r="E175" s="1069">
        <f>349.96/424</f>
        <v>0.8253773585</v>
      </c>
      <c r="F175" s="1072">
        <v>24448.7</v>
      </c>
      <c r="G175" s="1076" t="s">
        <v>1343</v>
      </c>
      <c r="H175" s="903" t="s">
        <v>40</v>
      </c>
      <c r="I175" s="950" t="s">
        <v>3038</v>
      </c>
    </row>
    <row r="176" ht="15.75" customHeight="1">
      <c r="A176" s="1065" t="s">
        <v>3039</v>
      </c>
      <c r="B176" s="903" t="s">
        <v>3040</v>
      </c>
      <c r="C176" s="903" t="s">
        <v>708</v>
      </c>
      <c r="D176" s="903" t="s">
        <v>3041</v>
      </c>
      <c r="E176" s="1069">
        <f>660/424</f>
        <v>1.556603774</v>
      </c>
      <c r="F176" s="1072">
        <v>31680.0</v>
      </c>
      <c r="G176" s="1083" t="s">
        <v>3042</v>
      </c>
      <c r="H176" s="903" t="s">
        <v>40</v>
      </c>
      <c r="I176" s="1088" t="s">
        <v>3045</v>
      </c>
    </row>
    <row r="177" ht="15.75" customHeight="1">
      <c r="A177" s="1093" t="s">
        <v>1464</v>
      </c>
      <c r="B177" s="1097" t="s">
        <v>3053</v>
      </c>
      <c r="C177" s="1097" t="s">
        <v>3059</v>
      </c>
      <c r="D177" s="1097" t="s">
        <v>3060</v>
      </c>
      <c r="E177" s="1097">
        <v>0.91</v>
      </c>
      <c r="F177" s="1100">
        <v>17433.0</v>
      </c>
      <c r="G177" s="1103" t="s">
        <v>1343</v>
      </c>
      <c r="H177" s="1097" t="s">
        <v>40</v>
      </c>
      <c r="I177" s="931" t="s">
        <v>3067</v>
      </c>
      <c r="J177" s="285"/>
    </row>
    <row r="178" ht="15.75" customHeight="1">
      <c r="A178" s="1065" t="s">
        <v>1464</v>
      </c>
      <c r="B178" s="903" t="s">
        <v>3053</v>
      </c>
      <c r="C178" s="903" t="s">
        <v>3059</v>
      </c>
      <c r="D178" s="903" t="s">
        <v>3068</v>
      </c>
      <c r="E178" s="903">
        <v>0.71</v>
      </c>
      <c r="F178" s="1072">
        <v>13675.5</v>
      </c>
      <c r="G178" s="1076" t="s">
        <v>1343</v>
      </c>
      <c r="H178" s="903"/>
      <c r="I178" s="1107" t="s">
        <v>3069</v>
      </c>
    </row>
    <row r="179" ht="15.75" customHeight="1">
      <c r="A179" s="1065" t="s">
        <v>1464</v>
      </c>
      <c r="B179" s="903" t="s">
        <v>3074</v>
      </c>
      <c r="C179" s="903" t="s">
        <v>3076</v>
      </c>
      <c r="D179" s="903" t="s">
        <v>3077</v>
      </c>
      <c r="E179" s="903">
        <v>4.17</v>
      </c>
      <c r="F179" s="1072">
        <v>89910.0</v>
      </c>
      <c r="G179" s="1076" t="s">
        <v>3078</v>
      </c>
      <c r="H179" s="903" t="s">
        <v>40</v>
      </c>
      <c r="I179" s="1107" t="s">
        <v>3079</v>
      </c>
    </row>
    <row r="180" ht="15.75" customHeight="1">
      <c r="A180" s="1093" t="s">
        <v>1464</v>
      </c>
      <c r="B180" s="1097" t="s">
        <v>3053</v>
      </c>
      <c r="C180" s="1097" t="s">
        <v>3059</v>
      </c>
      <c r="D180" s="1097" t="s">
        <v>3068</v>
      </c>
      <c r="E180" s="1097">
        <v>0.7167</v>
      </c>
      <c r="F180" s="1100"/>
      <c r="G180" s="1103"/>
      <c r="H180" s="1097"/>
      <c r="I180" s="931" t="s">
        <v>3080</v>
      </c>
    </row>
    <row r="181" ht="15.75" customHeight="1">
      <c r="A181" s="1093" t="s">
        <v>1473</v>
      </c>
      <c r="B181" s="1097" t="s">
        <v>3081</v>
      </c>
      <c r="C181" s="1097" t="s">
        <v>3082</v>
      </c>
      <c r="D181" s="1097" t="s">
        <v>3083</v>
      </c>
      <c r="E181" s="1097">
        <v>2.59</v>
      </c>
      <c r="F181" s="1100">
        <v>43964.0</v>
      </c>
      <c r="G181" s="1103"/>
      <c r="H181" s="1097" t="s">
        <v>40</v>
      </c>
      <c r="I181" s="931" t="s">
        <v>3084</v>
      </c>
    </row>
    <row r="182" ht="15.75" customHeight="1">
      <c r="A182" s="657" t="s">
        <v>3085</v>
      </c>
      <c r="B182" s="661" t="s">
        <v>3086</v>
      </c>
      <c r="C182" s="661" t="s">
        <v>3087</v>
      </c>
      <c r="D182" s="661" t="s">
        <v>3088</v>
      </c>
      <c r="E182" s="661">
        <v>1.7</v>
      </c>
      <c r="F182" s="666" t="s">
        <v>3089</v>
      </c>
      <c r="G182" s="678" t="s">
        <v>1343</v>
      </c>
      <c r="H182" s="661" t="s">
        <v>346</v>
      </c>
      <c r="I182" s="674" t="s">
        <v>3090</v>
      </c>
    </row>
    <row r="183" ht="15.75" customHeight="1">
      <c r="A183" s="1048" t="s">
        <v>3091</v>
      </c>
      <c r="B183" s="1050" t="s">
        <v>3092</v>
      </c>
      <c r="C183" s="1050" t="s">
        <v>3093</v>
      </c>
      <c r="D183" s="1050" t="s">
        <v>3094</v>
      </c>
      <c r="E183" s="1050">
        <v>1.26</v>
      </c>
      <c r="F183" s="1056">
        <v>20542.0</v>
      </c>
      <c r="G183" s="1062" t="s">
        <v>1396</v>
      </c>
      <c r="H183" s="1050" t="s">
        <v>3095</v>
      </c>
      <c r="I183" s="717" t="s">
        <v>3096</v>
      </c>
    </row>
    <row r="184" ht="15.75" customHeight="1">
      <c r="A184" s="1093" t="s">
        <v>1546</v>
      </c>
      <c r="B184" s="1097" t="s">
        <v>3098</v>
      </c>
      <c r="C184" s="1097" t="s">
        <v>708</v>
      </c>
      <c r="D184" s="1097" t="s">
        <v>3099</v>
      </c>
      <c r="E184" s="1097">
        <v>0.28</v>
      </c>
      <c r="F184" s="1116"/>
      <c r="G184" s="1103" t="s">
        <v>1343</v>
      </c>
      <c r="H184" s="1097" t="s">
        <v>40</v>
      </c>
      <c r="I184" s="1119" t="s">
        <v>3105</v>
      </c>
      <c r="J184" s="977" t="s">
        <v>3111</v>
      </c>
    </row>
    <row r="185" ht="15.75" customHeight="1">
      <c r="A185" s="1065" t="s">
        <v>1550</v>
      </c>
      <c r="B185" s="903" t="s">
        <v>3053</v>
      </c>
      <c r="C185" s="903" t="s">
        <v>3112</v>
      </c>
      <c r="D185" s="903" t="s">
        <v>3113</v>
      </c>
      <c r="E185" s="903">
        <v>1.4</v>
      </c>
      <c r="F185" s="1072">
        <v>23782.0</v>
      </c>
      <c r="G185" s="1076" t="s">
        <v>1343</v>
      </c>
      <c r="H185" s="903" t="s">
        <v>40</v>
      </c>
      <c r="I185" s="874" t="s">
        <v>2946</v>
      </c>
    </row>
    <row r="186" ht="15.75" customHeight="1">
      <c r="A186" s="1065" t="s">
        <v>3114</v>
      </c>
      <c r="B186" s="903" t="s">
        <v>904</v>
      </c>
      <c r="C186" s="903" t="s">
        <v>3115</v>
      </c>
      <c r="D186" s="903" t="s">
        <v>3116</v>
      </c>
      <c r="E186" s="903">
        <v>0.45</v>
      </c>
      <c r="F186" s="1072">
        <v>8640.0</v>
      </c>
      <c r="G186" s="937" t="s">
        <v>1596</v>
      </c>
      <c r="H186" s="903" t="s">
        <v>40</v>
      </c>
      <c r="I186" s="874" t="s">
        <v>1463</v>
      </c>
    </row>
    <row r="187" ht="15.75" customHeight="1">
      <c r="A187" s="1121" t="s">
        <v>3118</v>
      </c>
      <c r="B187" s="903" t="s">
        <v>3121</v>
      </c>
      <c r="C187" s="903" t="s">
        <v>3122</v>
      </c>
      <c r="D187" s="1124" t="s">
        <v>3123</v>
      </c>
      <c r="E187" s="1124">
        <v>0.057</v>
      </c>
      <c r="F187" s="1127">
        <v>930.0</v>
      </c>
      <c r="G187" s="937" t="s">
        <v>1596</v>
      </c>
      <c r="H187" s="903" t="s">
        <v>40</v>
      </c>
      <c r="I187" s="1107" t="s">
        <v>3127</v>
      </c>
      <c r="J187" s="844" t="s">
        <v>3128</v>
      </c>
    </row>
    <row r="188" ht="15.75" customHeight="1">
      <c r="A188" s="1121" t="s">
        <v>3129</v>
      </c>
      <c r="B188" s="1124" t="s">
        <v>3130</v>
      </c>
      <c r="C188" s="903" t="s">
        <v>3122</v>
      </c>
      <c r="D188" s="1124" t="s">
        <v>1343</v>
      </c>
      <c r="E188" s="1124"/>
      <c r="F188" s="1127"/>
      <c r="G188" s="937" t="s">
        <v>1596</v>
      </c>
      <c r="H188" s="903" t="s">
        <v>40</v>
      </c>
      <c r="I188" s="1107" t="s">
        <v>3131</v>
      </c>
    </row>
    <row r="189" ht="15.75" customHeight="1">
      <c r="A189" s="1065" t="s">
        <v>3129</v>
      </c>
      <c r="B189" s="903" t="s">
        <v>3132</v>
      </c>
      <c r="C189" s="903" t="s">
        <v>3122</v>
      </c>
      <c r="D189" s="1124" t="s">
        <v>1343</v>
      </c>
      <c r="E189" s="1124"/>
      <c r="F189" s="1127"/>
      <c r="G189" s="937" t="s">
        <v>1596</v>
      </c>
      <c r="H189" s="903" t="s">
        <v>40</v>
      </c>
      <c r="I189" s="1107" t="s">
        <v>3133</v>
      </c>
    </row>
    <row r="190" ht="15.75" customHeight="1">
      <c r="A190" s="1065" t="s">
        <v>1572</v>
      </c>
      <c r="B190" s="903" t="s">
        <v>3134</v>
      </c>
      <c r="C190" s="903" t="s">
        <v>3115</v>
      </c>
      <c r="D190" s="903" t="s">
        <v>3135</v>
      </c>
      <c r="E190" s="903">
        <v>0.12</v>
      </c>
      <c r="F190" s="1072">
        <v>2042.0</v>
      </c>
      <c r="G190" s="937" t="s">
        <v>1596</v>
      </c>
      <c r="H190" s="903" t="s">
        <v>40</v>
      </c>
      <c r="I190" s="874" t="s">
        <v>1463</v>
      </c>
      <c r="J190" s="977" t="s">
        <v>3136</v>
      </c>
    </row>
    <row r="191" ht="15.75" customHeight="1">
      <c r="A191" s="1048" t="s">
        <v>1576</v>
      </c>
      <c r="B191" s="1050" t="s">
        <v>3137</v>
      </c>
      <c r="C191" s="1050" t="s">
        <v>3138</v>
      </c>
      <c r="D191" s="1050" t="s">
        <v>3139</v>
      </c>
      <c r="E191" s="1050">
        <v>0.68</v>
      </c>
      <c r="F191" s="1056">
        <v>29075.0</v>
      </c>
      <c r="G191" s="1132" t="s">
        <v>1343</v>
      </c>
      <c r="H191" s="1050" t="s">
        <v>40</v>
      </c>
      <c r="I191" s="717" t="s">
        <v>3145</v>
      </c>
    </row>
    <row r="192" ht="15.75" customHeight="1">
      <c r="A192" s="1093" t="s">
        <v>1576</v>
      </c>
      <c r="B192" s="1097" t="s">
        <v>3146</v>
      </c>
      <c r="C192" s="1097" t="s">
        <v>3147</v>
      </c>
      <c r="D192" s="1097" t="s">
        <v>3148</v>
      </c>
      <c r="E192" s="1097">
        <v>0.38</v>
      </c>
      <c r="F192" s="1100">
        <v>6504.0</v>
      </c>
      <c r="G192" s="1103" t="s">
        <v>1343</v>
      </c>
      <c r="H192" s="1097" t="s">
        <v>40</v>
      </c>
      <c r="I192" s="931" t="s">
        <v>3149</v>
      </c>
    </row>
    <row r="193" ht="15.75" customHeight="1">
      <c r="A193" s="1065" t="s">
        <v>3150</v>
      </c>
      <c r="B193" s="903" t="s">
        <v>3151</v>
      </c>
      <c r="C193" s="903" t="s">
        <v>3152</v>
      </c>
      <c r="D193" s="903" t="s">
        <v>3153</v>
      </c>
      <c r="E193" s="903">
        <v>0.07</v>
      </c>
      <c r="F193" s="1072">
        <v>1320.0</v>
      </c>
      <c r="G193" s="1076" t="s">
        <v>3154</v>
      </c>
      <c r="H193" s="903" t="s">
        <v>40</v>
      </c>
      <c r="I193" s="874" t="s">
        <v>1463</v>
      </c>
    </row>
    <row r="194" ht="15.75" customHeight="1">
      <c r="A194" s="1065" t="s">
        <v>3155</v>
      </c>
      <c r="B194" s="903" t="s">
        <v>3156</v>
      </c>
      <c r="C194" s="903" t="s">
        <v>3122</v>
      </c>
      <c r="D194" s="903" t="s">
        <v>1616</v>
      </c>
      <c r="E194" s="903">
        <v>0.15</v>
      </c>
      <c r="F194" s="1072">
        <v>2572.0</v>
      </c>
      <c r="G194" s="1076" t="s">
        <v>3154</v>
      </c>
      <c r="H194" s="903" t="s">
        <v>40</v>
      </c>
      <c r="I194" s="1107" t="s">
        <v>3159</v>
      </c>
      <c r="J194" s="717" t="s">
        <v>3160</v>
      </c>
    </row>
    <row r="195" ht="15.75" customHeight="1">
      <c r="A195" s="1065" t="s">
        <v>1591</v>
      </c>
      <c r="B195" s="903" t="s">
        <v>3161</v>
      </c>
      <c r="C195" s="903" t="s">
        <v>3122</v>
      </c>
      <c r="D195" s="903" t="s">
        <v>3162</v>
      </c>
      <c r="E195" s="903">
        <v>0.51</v>
      </c>
      <c r="F195" s="1072">
        <v>9399.45</v>
      </c>
      <c r="G195" s="1083" t="s">
        <v>3163</v>
      </c>
      <c r="H195" s="903" t="s">
        <v>40</v>
      </c>
      <c r="I195" s="1107" t="s">
        <v>3164</v>
      </c>
    </row>
    <row r="196" ht="15.75" customHeight="1">
      <c r="A196" s="1065" t="s">
        <v>1608</v>
      </c>
      <c r="B196" s="903" t="s">
        <v>3166</v>
      </c>
      <c r="C196" s="903" t="s">
        <v>3122</v>
      </c>
      <c r="D196" s="903" t="s">
        <v>1343</v>
      </c>
      <c r="E196" s="903"/>
      <c r="F196" s="1072"/>
      <c r="G196" s="937" t="s">
        <v>3167</v>
      </c>
      <c r="H196" s="903" t="s">
        <v>40</v>
      </c>
      <c r="I196" s="1107" t="s">
        <v>3168</v>
      </c>
    </row>
    <row r="197" ht="15.75" customHeight="1">
      <c r="A197" s="1093" t="s">
        <v>1896</v>
      </c>
      <c r="B197" s="1097" t="s">
        <v>3169</v>
      </c>
      <c r="C197" s="1097"/>
      <c r="D197" s="1097" t="s">
        <v>3170</v>
      </c>
      <c r="E197" s="1097"/>
      <c r="F197" s="1100">
        <v>0.9056</v>
      </c>
      <c r="G197" s="1139"/>
      <c r="H197" s="1097"/>
      <c r="I197" s="931" t="s">
        <v>3177</v>
      </c>
    </row>
    <row r="198" ht="15.75" customHeight="1">
      <c r="A198" s="1093" t="s">
        <v>3178</v>
      </c>
      <c r="B198" s="1097" t="s">
        <v>3179</v>
      </c>
      <c r="C198" s="1097" t="s">
        <v>3180</v>
      </c>
      <c r="D198" s="1100" t="s">
        <v>3181</v>
      </c>
      <c r="E198" s="1097">
        <v>0.16</v>
      </c>
      <c r="F198" s="1100"/>
      <c r="G198" s="1103" t="s">
        <v>1343</v>
      </c>
      <c r="H198" s="1097" t="s">
        <v>40</v>
      </c>
      <c r="I198" s="931" t="s">
        <v>3182</v>
      </c>
      <c r="J198" s="717" t="s">
        <v>3183</v>
      </c>
    </row>
    <row r="199" ht="15.75" customHeight="1">
      <c r="A199" s="1065" t="s">
        <v>1690</v>
      </c>
      <c r="B199" s="903" t="s">
        <v>3184</v>
      </c>
      <c r="C199" s="903" t="s">
        <v>3180</v>
      </c>
      <c r="D199" s="903" t="s">
        <v>3185</v>
      </c>
      <c r="E199" s="903">
        <v>0.3</v>
      </c>
      <c r="F199" s="1072">
        <v>5212.0</v>
      </c>
      <c r="G199" s="937" t="s">
        <v>1596</v>
      </c>
      <c r="H199" s="903" t="s">
        <v>40</v>
      </c>
      <c r="I199" s="1107" t="s">
        <v>3186</v>
      </c>
      <c r="J199" s="977" t="s">
        <v>3187</v>
      </c>
    </row>
    <row r="200" ht="15.75" customHeight="1">
      <c r="A200" s="1093" t="s">
        <v>3188</v>
      </c>
      <c r="B200" s="1097" t="s">
        <v>3189</v>
      </c>
      <c r="C200" s="1097" t="s">
        <v>3190</v>
      </c>
      <c r="D200" s="1097" t="s">
        <v>3191</v>
      </c>
      <c r="E200" s="1097">
        <v>1.43</v>
      </c>
      <c r="F200" s="1100">
        <v>23043.2</v>
      </c>
      <c r="G200" s="1103" t="s">
        <v>1343</v>
      </c>
      <c r="H200" s="1097" t="s">
        <v>40</v>
      </c>
      <c r="I200" s="713" t="s">
        <v>3192</v>
      </c>
    </row>
    <row r="201" ht="15.75" customHeight="1">
      <c r="A201" s="1065" t="s">
        <v>1750</v>
      </c>
      <c r="B201" s="903" t="s">
        <v>3194</v>
      </c>
      <c r="C201" s="903" t="s">
        <v>3195</v>
      </c>
      <c r="D201" s="903" t="s">
        <v>3196</v>
      </c>
      <c r="E201" s="903">
        <v>0.3</v>
      </c>
      <c r="F201" s="1072">
        <v>3900.0</v>
      </c>
      <c r="G201" s="1076" t="s">
        <v>1343</v>
      </c>
      <c r="H201" s="903" t="s">
        <v>40</v>
      </c>
      <c r="I201" s="1107" t="s">
        <v>3197</v>
      </c>
    </row>
    <row r="202" ht="15.75" customHeight="1">
      <c r="A202" s="1065" t="s">
        <v>3198</v>
      </c>
      <c r="B202" s="903" t="s">
        <v>3199</v>
      </c>
      <c r="C202" s="903" t="s">
        <v>3201</v>
      </c>
      <c r="D202" s="903" t="s">
        <v>3202</v>
      </c>
      <c r="E202" s="903">
        <v>0.27</v>
      </c>
      <c r="F202" s="1072">
        <v>5845.0</v>
      </c>
      <c r="G202" s="1076" t="s">
        <v>1343</v>
      </c>
      <c r="H202" s="903" t="s">
        <v>40</v>
      </c>
      <c r="I202" s="1107" t="s">
        <v>3203</v>
      </c>
    </row>
    <row r="203" ht="15.75" customHeight="1">
      <c r="A203" s="1093" t="s">
        <v>3205</v>
      </c>
      <c r="B203" s="1097" t="s">
        <v>3206</v>
      </c>
      <c r="C203" s="1097" t="s">
        <v>3207</v>
      </c>
      <c r="D203" s="1097" t="s">
        <v>3208</v>
      </c>
      <c r="E203" s="1097">
        <v>0.16</v>
      </c>
      <c r="F203" s="1100"/>
      <c r="G203" s="1103" t="s">
        <v>3209</v>
      </c>
      <c r="H203" s="1097" t="s">
        <v>346</v>
      </c>
      <c r="I203" s="931" t="s">
        <v>3210</v>
      </c>
    </row>
    <row r="204" ht="15.75" customHeight="1">
      <c r="A204" s="1048" t="s">
        <v>3211</v>
      </c>
      <c r="B204" s="1050" t="s">
        <v>3212</v>
      </c>
      <c r="C204" s="1050" t="s">
        <v>3214</v>
      </c>
      <c r="D204" s="1050" t="s">
        <v>3215</v>
      </c>
      <c r="E204" s="1050">
        <v>0.78</v>
      </c>
      <c r="F204" s="1056"/>
      <c r="G204" s="1132"/>
      <c r="H204" s="1050" t="s">
        <v>346</v>
      </c>
      <c r="I204" s="1144" t="s">
        <v>557</v>
      </c>
    </row>
    <row r="205" ht="15.75" customHeight="1">
      <c r="A205" s="1093" t="s">
        <v>3218</v>
      </c>
      <c r="B205" s="1097" t="s">
        <v>3219</v>
      </c>
      <c r="C205" s="1097" t="s">
        <v>3220</v>
      </c>
      <c r="D205" s="1097" t="s">
        <v>3221</v>
      </c>
      <c r="E205" s="1097">
        <v>0.46</v>
      </c>
      <c r="F205" s="1100"/>
      <c r="G205" s="1103"/>
      <c r="H205" s="1100" t="s">
        <v>1684</v>
      </c>
      <c r="I205" s="1147" t="s">
        <v>3222</v>
      </c>
    </row>
    <row r="206" ht="15.75" customHeight="1">
      <c r="A206" s="1093" t="s">
        <v>3225</v>
      </c>
      <c r="B206" s="1097" t="s">
        <v>3226</v>
      </c>
      <c r="C206" s="1097" t="s">
        <v>3227</v>
      </c>
      <c r="D206" s="1097" t="s">
        <v>3228</v>
      </c>
      <c r="E206" s="1097">
        <v>0.11</v>
      </c>
      <c r="F206" s="1100"/>
      <c r="G206" s="1103"/>
      <c r="H206" s="1100"/>
      <c r="I206" s="1147" t="s">
        <v>3229</v>
      </c>
    </row>
    <row r="207" ht="15.75" customHeight="1">
      <c r="A207" s="1065" t="s">
        <v>3230</v>
      </c>
      <c r="B207" s="903" t="s">
        <v>3231</v>
      </c>
      <c r="C207" s="903" t="s">
        <v>702</v>
      </c>
      <c r="D207" s="903" t="s">
        <v>3232</v>
      </c>
      <c r="E207" s="903">
        <v>12.0</v>
      </c>
      <c r="F207" s="1072"/>
      <c r="G207" s="1076"/>
      <c r="H207" s="1072" t="s">
        <v>1684</v>
      </c>
      <c r="I207" s="1149" t="s">
        <v>3233</v>
      </c>
    </row>
    <row r="208" ht="15.75" customHeight="1">
      <c r="A208" s="934" t="s">
        <v>1984</v>
      </c>
      <c r="B208" s="903" t="s">
        <v>3234</v>
      </c>
      <c r="C208" s="903" t="s">
        <v>3235</v>
      </c>
      <c r="D208" s="903" t="s">
        <v>3236</v>
      </c>
      <c r="E208" s="903">
        <v>0.62</v>
      </c>
      <c r="F208" s="1072">
        <v>11537.5</v>
      </c>
      <c r="G208" s="1076"/>
      <c r="H208" s="903" t="s">
        <v>346</v>
      </c>
      <c r="I208" s="1107" t="s">
        <v>3237</v>
      </c>
      <c r="J208" s="717" t="s">
        <v>3238</v>
      </c>
    </row>
    <row r="209" ht="15.75" customHeight="1">
      <c r="A209" s="771" t="s">
        <v>200</v>
      </c>
      <c r="B209" s="774"/>
      <c r="C209" s="774"/>
      <c r="D209" s="774"/>
      <c r="E209" s="777">
        <f t="shared" ref="E209:F209" si="4">SUM(E173:E208)</f>
        <v>35.66577547</v>
      </c>
      <c r="F209" s="780">
        <f t="shared" si="4"/>
        <v>436816.2556</v>
      </c>
      <c r="G209" s="774"/>
      <c r="H209" s="774"/>
      <c r="I209" s="1152"/>
    </row>
    <row r="210" ht="15.75" customHeight="1">
      <c r="A210" s="1043" t="s">
        <v>456</v>
      </c>
      <c r="B210" s="95"/>
      <c r="C210" s="95"/>
      <c r="D210" s="95"/>
      <c r="E210" s="95"/>
      <c r="F210" s="95"/>
      <c r="G210" s="95"/>
      <c r="H210" s="95"/>
      <c r="I210" s="1046"/>
    </row>
    <row r="211" ht="15.75" customHeight="1">
      <c r="A211" s="1048" t="s">
        <v>1415</v>
      </c>
      <c r="B211" s="1050" t="s">
        <v>3244</v>
      </c>
      <c r="C211" s="1050" t="s">
        <v>2828</v>
      </c>
      <c r="D211" s="1050" t="s">
        <v>3245</v>
      </c>
      <c r="E211" s="1053">
        <f>2742.68/424</f>
        <v>6.468584906</v>
      </c>
      <c r="F211" s="1056">
        <v>138180.0</v>
      </c>
      <c r="G211" s="1158" t="s">
        <v>3249</v>
      </c>
      <c r="H211" s="1050" t="s">
        <v>3260</v>
      </c>
      <c r="I211" s="1161" t="s">
        <v>3263</v>
      </c>
    </row>
    <row r="212" ht="15.75" customHeight="1">
      <c r="A212" s="1048" t="s">
        <v>3271</v>
      </c>
      <c r="B212" s="1050" t="s">
        <v>3272</v>
      </c>
      <c r="C212" s="1050" t="s">
        <v>611</v>
      </c>
      <c r="D212" s="1050" t="s">
        <v>3273</v>
      </c>
      <c r="E212" s="1053">
        <v>8.86</v>
      </c>
      <c r="F212" s="1056"/>
      <c r="G212" s="1059" t="s">
        <v>3274</v>
      </c>
      <c r="H212" s="1050" t="s">
        <v>3275</v>
      </c>
      <c r="I212" s="717" t="s">
        <v>1463</v>
      </c>
    </row>
    <row r="213" ht="15.75" customHeight="1">
      <c r="A213" s="1048" t="s">
        <v>1537</v>
      </c>
      <c r="B213" s="1050" t="s">
        <v>3276</v>
      </c>
      <c r="C213" s="1050" t="s">
        <v>3277</v>
      </c>
      <c r="D213" s="1050" t="s">
        <v>3278</v>
      </c>
      <c r="E213" s="1053">
        <v>2.36</v>
      </c>
      <c r="F213" s="1056"/>
      <c r="G213" s="1059" t="s">
        <v>3279</v>
      </c>
      <c r="H213" s="1050" t="s">
        <v>3275</v>
      </c>
      <c r="I213" s="717" t="s">
        <v>3280</v>
      </c>
    </row>
    <row r="214" ht="15.75" customHeight="1">
      <c r="A214" s="721" t="s">
        <v>1597</v>
      </c>
      <c r="B214" s="583" t="s">
        <v>3281</v>
      </c>
      <c r="C214" s="583" t="s">
        <v>3282</v>
      </c>
      <c r="D214" s="583" t="s">
        <v>3283</v>
      </c>
      <c r="E214" s="583">
        <v>0.4716</v>
      </c>
      <c r="F214" s="724">
        <v>5000.0</v>
      </c>
      <c r="G214" s="727" t="s">
        <v>3284</v>
      </c>
      <c r="H214" s="583" t="s">
        <v>3275</v>
      </c>
      <c r="I214" s="1166" t="s">
        <v>3285</v>
      </c>
    </row>
    <row r="215" ht="15.75" customHeight="1">
      <c r="A215" s="696" t="s">
        <v>3286</v>
      </c>
      <c r="B215" s="565" t="s">
        <v>3287</v>
      </c>
      <c r="C215" s="565" t="s">
        <v>611</v>
      </c>
      <c r="D215" s="565" t="s">
        <v>3288</v>
      </c>
      <c r="E215" s="565">
        <v>0.35</v>
      </c>
      <c r="F215" s="703">
        <v>3683.32</v>
      </c>
      <c r="G215" s="707" t="s">
        <v>1343</v>
      </c>
      <c r="H215" s="565" t="s">
        <v>3275</v>
      </c>
      <c r="I215" s="1171" t="s">
        <v>3289</v>
      </c>
    </row>
    <row r="216" ht="44.25" customHeight="1">
      <c r="A216" s="721" t="s">
        <v>2894</v>
      </c>
      <c r="B216" s="583" t="s">
        <v>3309</v>
      </c>
      <c r="C216" s="583" t="s">
        <v>611</v>
      </c>
      <c r="D216" s="583" t="s">
        <v>3311</v>
      </c>
      <c r="E216" s="583">
        <v>1.2</v>
      </c>
      <c r="F216" s="724">
        <v>7667.1</v>
      </c>
      <c r="G216" s="866" t="s">
        <v>1343</v>
      </c>
      <c r="H216" s="583" t="s">
        <v>3312</v>
      </c>
      <c r="I216" s="1174" t="s">
        <v>3314</v>
      </c>
    </row>
    <row r="217" ht="46.5" customHeight="1">
      <c r="A217" s="721" t="s">
        <v>3319</v>
      </c>
      <c r="B217" s="583" t="s">
        <v>3320</v>
      </c>
      <c r="C217" s="583" t="s">
        <v>3321</v>
      </c>
      <c r="D217" s="583" t="s">
        <v>3322</v>
      </c>
      <c r="E217" s="583">
        <v>0.63</v>
      </c>
      <c r="F217" s="724">
        <v>6675.0</v>
      </c>
      <c r="G217" s="1178"/>
      <c r="H217" s="583" t="s">
        <v>3275</v>
      </c>
      <c r="I217" s="1174" t="s">
        <v>3332</v>
      </c>
    </row>
    <row r="218" ht="15.75" customHeight="1">
      <c r="A218" s="721" t="s">
        <v>2908</v>
      </c>
      <c r="B218" s="583" t="s">
        <v>3334</v>
      </c>
      <c r="C218" s="583" t="s">
        <v>3335</v>
      </c>
      <c r="D218" s="583" t="s">
        <v>3336</v>
      </c>
      <c r="E218" s="583">
        <v>7.21</v>
      </c>
      <c r="F218" s="724">
        <v>76425.0</v>
      </c>
      <c r="G218" s="866" t="s">
        <v>1343</v>
      </c>
      <c r="H218" s="583" t="s">
        <v>3337</v>
      </c>
      <c r="I218" s="1174" t="s">
        <v>3338</v>
      </c>
    </row>
    <row r="219" ht="15.75" customHeight="1">
      <c r="A219" s="721" t="s">
        <v>3339</v>
      </c>
      <c r="B219" s="583" t="s">
        <v>3340</v>
      </c>
      <c r="C219" s="583" t="s">
        <v>3341</v>
      </c>
      <c r="D219" s="583" t="s">
        <v>3342</v>
      </c>
      <c r="E219" s="583">
        <v>1.27</v>
      </c>
      <c r="F219" s="724"/>
      <c r="G219" s="866" t="s">
        <v>1343</v>
      </c>
      <c r="H219" s="583" t="s">
        <v>3275</v>
      </c>
      <c r="I219" s="1174" t="s">
        <v>3343</v>
      </c>
    </row>
    <row r="220" ht="15.75" customHeight="1">
      <c r="A220" s="721" t="s">
        <v>2916</v>
      </c>
      <c r="B220" s="583" t="s">
        <v>3344</v>
      </c>
      <c r="C220" s="583" t="s">
        <v>1560</v>
      </c>
      <c r="D220" s="583" t="s">
        <v>3345</v>
      </c>
      <c r="E220" s="583">
        <v>11.86</v>
      </c>
      <c r="F220" s="724">
        <v>125755.0</v>
      </c>
      <c r="G220" s="866" t="s">
        <v>1343</v>
      </c>
      <c r="H220" s="583" t="s">
        <v>3346</v>
      </c>
      <c r="I220" s="1174" t="s">
        <v>3347</v>
      </c>
    </row>
    <row r="221" ht="15.75" customHeight="1">
      <c r="A221" s="721" t="s">
        <v>2916</v>
      </c>
      <c r="B221" s="583" t="s">
        <v>3350</v>
      </c>
      <c r="C221" s="583" t="s">
        <v>3351</v>
      </c>
      <c r="D221" s="583" t="s">
        <v>3352</v>
      </c>
      <c r="E221" s="583">
        <v>4.09</v>
      </c>
      <c r="F221" s="724">
        <v>43399.75</v>
      </c>
      <c r="G221" s="866" t="s">
        <v>1343</v>
      </c>
      <c r="H221" s="583" t="s">
        <v>3346</v>
      </c>
      <c r="I221" s="1174" t="s">
        <v>3354</v>
      </c>
    </row>
    <row r="222" ht="15.75" customHeight="1">
      <c r="A222" s="721" t="s">
        <v>3356</v>
      </c>
      <c r="B222" s="583" t="s">
        <v>3357</v>
      </c>
      <c r="C222" s="583" t="s">
        <v>1560</v>
      </c>
      <c r="D222" s="583" t="s">
        <v>3358</v>
      </c>
      <c r="E222" s="583">
        <v>0.22</v>
      </c>
      <c r="F222" s="724"/>
      <c r="G222" s="866"/>
      <c r="H222" s="583" t="s">
        <v>3275</v>
      </c>
      <c r="I222" s="1174" t="s">
        <v>3343</v>
      </c>
    </row>
    <row r="223" ht="15.75" customHeight="1">
      <c r="A223" s="721" t="s">
        <v>3359</v>
      </c>
      <c r="B223" s="583" t="s">
        <v>3360</v>
      </c>
      <c r="C223" s="583" t="s">
        <v>3321</v>
      </c>
      <c r="D223" s="583" t="s">
        <v>3362</v>
      </c>
      <c r="E223" s="583">
        <v>1.07</v>
      </c>
      <c r="F223" s="724"/>
      <c r="G223" s="866" t="s">
        <v>1343</v>
      </c>
      <c r="H223" s="583" t="s">
        <v>3275</v>
      </c>
      <c r="I223" s="874" t="s">
        <v>3363</v>
      </c>
    </row>
    <row r="224" ht="15.75" customHeight="1">
      <c r="A224" s="721" t="s">
        <v>3364</v>
      </c>
      <c r="B224" s="583" t="s">
        <v>3360</v>
      </c>
      <c r="C224" s="583" t="s">
        <v>3321</v>
      </c>
      <c r="D224" s="583" t="s">
        <v>3365</v>
      </c>
      <c r="E224" s="583">
        <v>1.04</v>
      </c>
      <c r="F224" s="724"/>
      <c r="G224" s="866" t="s">
        <v>1343</v>
      </c>
      <c r="H224" s="583" t="s">
        <v>3275</v>
      </c>
      <c r="I224" s="1174" t="s">
        <v>3343</v>
      </c>
    </row>
    <row r="225" ht="15.75" customHeight="1">
      <c r="A225" s="721" t="s">
        <v>3367</v>
      </c>
      <c r="B225" s="583" t="s">
        <v>3368</v>
      </c>
      <c r="C225" s="583" t="s">
        <v>3369</v>
      </c>
      <c r="D225" s="583" t="s">
        <v>3370</v>
      </c>
      <c r="E225" s="583">
        <v>1.15</v>
      </c>
      <c r="F225" s="724">
        <v>12200.0</v>
      </c>
      <c r="G225" s="866" t="s">
        <v>1343</v>
      </c>
      <c r="H225" s="583" t="s">
        <v>3372</v>
      </c>
      <c r="I225" s="874" t="s">
        <v>3373</v>
      </c>
    </row>
    <row r="226" ht="15.75" customHeight="1">
      <c r="A226" s="721" t="s">
        <v>3367</v>
      </c>
      <c r="B226" s="583" t="s">
        <v>3375</v>
      </c>
      <c r="C226" s="583" t="s">
        <v>611</v>
      </c>
      <c r="D226" s="583" t="s">
        <v>3376</v>
      </c>
      <c r="E226" s="583">
        <v>1.01</v>
      </c>
      <c r="F226" s="724">
        <v>10800.0</v>
      </c>
      <c r="G226" s="866" t="s">
        <v>1343</v>
      </c>
      <c r="H226" s="583" t="s">
        <v>3275</v>
      </c>
      <c r="I226" s="874" t="s">
        <v>3377</v>
      </c>
    </row>
    <row r="227" ht="15.75" customHeight="1">
      <c r="A227" s="721" t="s">
        <v>3378</v>
      </c>
      <c r="B227" s="583" t="s">
        <v>3379</v>
      </c>
      <c r="C227" s="583" t="s">
        <v>611</v>
      </c>
      <c r="D227" s="583" t="s">
        <v>3380</v>
      </c>
      <c r="E227" s="583">
        <v>29.52</v>
      </c>
      <c r="F227" s="724">
        <v>312932.25</v>
      </c>
      <c r="G227" s="866" t="s">
        <v>1343</v>
      </c>
      <c r="H227" s="583" t="s">
        <v>3346</v>
      </c>
      <c r="I227" s="1174" t="s">
        <v>3381</v>
      </c>
    </row>
    <row r="228" ht="15.75" customHeight="1">
      <c r="A228" s="721" t="s">
        <v>2940</v>
      </c>
      <c r="B228" s="583" t="s">
        <v>3382</v>
      </c>
      <c r="C228" s="583" t="s">
        <v>3383</v>
      </c>
      <c r="D228" s="583" t="s">
        <v>3384</v>
      </c>
      <c r="E228" s="583">
        <v>0.77</v>
      </c>
      <c r="F228" s="724"/>
      <c r="G228" s="947" t="s">
        <v>3385</v>
      </c>
      <c r="H228" s="583" t="s">
        <v>3386</v>
      </c>
      <c r="I228" s="874" t="s">
        <v>1463</v>
      </c>
    </row>
    <row r="229" ht="15.75" customHeight="1">
      <c r="A229" s="941" t="s">
        <v>3388</v>
      </c>
      <c r="B229" s="583" t="s">
        <v>3320</v>
      </c>
      <c r="C229" s="583" t="s">
        <v>3389</v>
      </c>
      <c r="D229" s="583" t="s">
        <v>3390</v>
      </c>
      <c r="E229" s="1187">
        <f>363.48/424</f>
        <v>0.8572641509</v>
      </c>
      <c r="F229" s="724"/>
      <c r="G229" s="866"/>
      <c r="H229" s="583"/>
      <c r="I229" s="874" t="s">
        <v>3409</v>
      </c>
    </row>
    <row r="230" ht="15.75" customHeight="1">
      <c r="A230" s="941" t="s">
        <v>3410</v>
      </c>
      <c r="B230" s="583" t="s">
        <v>3411</v>
      </c>
      <c r="C230" s="583" t="s">
        <v>3412</v>
      </c>
      <c r="D230" s="583" t="s">
        <v>3413</v>
      </c>
      <c r="E230" s="1187">
        <v>1.008</v>
      </c>
      <c r="F230" s="724"/>
      <c r="G230" s="866" t="s">
        <v>1827</v>
      </c>
      <c r="H230" s="583" t="s">
        <v>3275</v>
      </c>
      <c r="I230" s="874" t="s">
        <v>3416</v>
      </c>
    </row>
    <row r="231" ht="15.75" customHeight="1">
      <c r="A231" s="771" t="s">
        <v>200</v>
      </c>
      <c r="B231" s="774"/>
      <c r="C231" s="774"/>
      <c r="D231" s="774"/>
      <c r="E231" s="777">
        <f t="shared" ref="E231:F231" si="5">SUM(E211:E230)</f>
        <v>81.41544906</v>
      </c>
      <c r="F231" s="780">
        <f t="shared" si="5"/>
        <v>742717.42</v>
      </c>
      <c r="G231" s="774"/>
      <c r="H231" s="774"/>
      <c r="I231" s="1152"/>
    </row>
    <row r="232" ht="15.75" customHeight="1">
      <c r="A232" s="1193" t="s">
        <v>3427</v>
      </c>
      <c r="B232" s="27"/>
      <c r="C232" s="27"/>
      <c r="D232" s="27"/>
      <c r="E232" s="27"/>
      <c r="F232" s="27"/>
      <c r="G232" s="27"/>
      <c r="H232" s="27"/>
      <c r="I232" s="687"/>
    </row>
    <row r="233" ht="15.75" customHeight="1">
      <c r="A233" s="747" t="s">
        <v>3443</v>
      </c>
      <c r="B233" s="833" t="s">
        <v>3444</v>
      </c>
      <c r="C233" s="833" t="s">
        <v>3445</v>
      </c>
      <c r="D233" s="833" t="s">
        <v>3446</v>
      </c>
      <c r="E233" s="661">
        <v>16.93</v>
      </c>
      <c r="F233" s="666">
        <v>358896.5</v>
      </c>
      <c r="G233" s="1195" t="s">
        <v>1343</v>
      </c>
      <c r="H233" s="833" t="s">
        <v>1447</v>
      </c>
      <c r="I233" s="674" t="s">
        <v>3447</v>
      </c>
    </row>
    <row r="234" ht="15.75" customHeight="1">
      <c r="A234" s="747" t="s">
        <v>3448</v>
      </c>
      <c r="B234" s="833" t="s">
        <v>3449</v>
      </c>
      <c r="C234" s="833" t="s">
        <v>3450</v>
      </c>
      <c r="D234" s="833" t="s">
        <v>3451</v>
      </c>
      <c r="E234" s="999">
        <f>1850.74/424</f>
        <v>4.36495283</v>
      </c>
      <c r="F234" s="666">
        <v>97187.74</v>
      </c>
      <c r="G234" s="1195" t="s">
        <v>1343</v>
      </c>
      <c r="H234" s="833" t="s">
        <v>1447</v>
      </c>
      <c r="I234" s="674" t="s">
        <v>3452</v>
      </c>
    </row>
    <row r="235" ht="15.75" customHeight="1">
      <c r="A235" s="1200" t="s">
        <v>2774</v>
      </c>
      <c r="B235" s="1004" t="s">
        <v>3461</v>
      </c>
      <c r="C235" s="1004" t="s">
        <v>3450</v>
      </c>
      <c r="D235" s="1004" t="s">
        <v>3462</v>
      </c>
      <c r="E235" s="992">
        <f>2519/424</f>
        <v>5.941037736</v>
      </c>
      <c r="F235" s="703">
        <v>125928.0</v>
      </c>
      <c r="G235" s="1202" t="s">
        <v>1343</v>
      </c>
      <c r="H235" s="1004" t="s">
        <v>1447</v>
      </c>
      <c r="I235" s="1204" t="s">
        <v>3476</v>
      </c>
    </row>
    <row r="236" ht="15.75" customHeight="1">
      <c r="A236" s="1207" t="s">
        <v>3178</v>
      </c>
      <c r="B236" s="833" t="s">
        <v>3504</v>
      </c>
      <c r="C236" s="833"/>
      <c r="D236" s="833" t="s">
        <v>3506</v>
      </c>
      <c r="E236" s="999">
        <f>647.01/424</f>
        <v>1.525966981</v>
      </c>
      <c r="F236" s="666">
        <v>26000.0</v>
      </c>
      <c r="G236" s="1210" t="s">
        <v>3515</v>
      </c>
      <c r="H236" s="833" t="s">
        <v>1447</v>
      </c>
      <c r="I236" s="1012" t="s">
        <v>3528</v>
      </c>
    </row>
    <row r="237" ht="15.75" customHeight="1">
      <c r="A237" s="1212" t="s">
        <v>1647</v>
      </c>
      <c r="B237" s="1004" t="s">
        <v>3569</v>
      </c>
      <c r="C237" s="1004" t="s">
        <v>3571</v>
      </c>
      <c r="D237" s="1004" t="s">
        <v>3572</v>
      </c>
      <c r="E237" s="992">
        <f>498.33/424</f>
        <v>1.175306604</v>
      </c>
      <c r="F237" s="703">
        <v>24916.5</v>
      </c>
      <c r="G237" s="1214" t="s">
        <v>3600</v>
      </c>
      <c r="H237" s="1004" t="s">
        <v>1447</v>
      </c>
      <c r="I237" s="713" t="s">
        <v>3613</v>
      </c>
    </row>
    <row r="238" ht="15.75" customHeight="1">
      <c r="A238" s="1212" t="s">
        <v>3614</v>
      </c>
      <c r="B238" s="1004" t="s">
        <v>3615</v>
      </c>
      <c r="C238" s="1004" t="s">
        <v>3616</v>
      </c>
      <c r="D238" s="1004" t="s">
        <v>3617</v>
      </c>
      <c r="E238" s="992">
        <v>2.76</v>
      </c>
      <c r="F238" s="703">
        <v>46946.4</v>
      </c>
      <c r="G238" s="1202" t="s">
        <v>1343</v>
      </c>
      <c r="H238" s="1004" t="s">
        <v>1447</v>
      </c>
      <c r="I238" s="713" t="s">
        <v>3618</v>
      </c>
    </row>
    <row r="239" ht="15.75" customHeight="1">
      <c r="A239" s="1212" t="s">
        <v>3614</v>
      </c>
      <c r="B239" s="1004" t="s">
        <v>3615</v>
      </c>
      <c r="C239" s="1004" t="s">
        <v>3616</v>
      </c>
      <c r="D239" s="1004" t="s">
        <v>3619</v>
      </c>
      <c r="E239" s="992">
        <v>1.55</v>
      </c>
      <c r="F239" s="703">
        <v>26240.0</v>
      </c>
      <c r="G239" s="1202" t="s">
        <v>1343</v>
      </c>
      <c r="H239" s="1004" t="s">
        <v>1447</v>
      </c>
      <c r="I239" s="713" t="s">
        <v>3620</v>
      </c>
    </row>
    <row r="240" ht="15.75" customHeight="1">
      <c r="A240" s="1212" t="s">
        <v>1704</v>
      </c>
      <c r="B240" s="1004" t="s">
        <v>3621</v>
      </c>
      <c r="C240" s="1004" t="s">
        <v>3622</v>
      </c>
      <c r="D240" s="1004" t="s">
        <v>3623</v>
      </c>
      <c r="E240" s="992">
        <f>1077.99/424</f>
        <v>2.542429245</v>
      </c>
      <c r="F240" s="703">
        <v>53848.0</v>
      </c>
      <c r="G240" s="1202" t="s">
        <v>1343</v>
      </c>
      <c r="H240" s="1004" t="s">
        <v>1447</v>
      </c>
      <c r="I240" s="713" t="s">
        <v>3631</v>
      </c>
      <c r="J240" s="1220" t="s">
        <v>3634</v>
      </c>
    </row>
    <row r="241" ht="15.75" customHeight="1">
      <c r="A241" s="1212" t="s">
        <v>3649</v>
      </c>
      <c r="B241" s="1004" t="s">
        <v>3651</v>
      </c>
      <c r="C241" s="1004" t="s">
        <v>3622</v>
      </c>
      <c r="D241" s="1004" t="s">
        <v>3652</v>
      </c>
      <c r="E241" s="992">
        <v>5.51</v>
      </c>
      <c r="F241" s="703">
        <v>128583.4</v>
      </c>
      <c r="G241" s="1202" t="s">
        <v>1343</v>
      </c>
      <c r="H241" s="1004" t="s">
        <v>1447</v>
      </c>
      <c r="I241" s="1204" t="s">
        <v>3654</v>
      </c>
      <c r="J241" s="1220" t="s">
        <v>3656</v>
      </c>
    </row>
    <row r="242" ht="15.75" customHeight="1">
      <c r="A242" s="747" t="s">
        <v>3658</v>
      </c>
      <c r="B242" s="833" t="s">
        <v>3621</v>
      </c>
      <c r="C242" s="833" t="s">
        <v>3622</v>
      </c>
      <c r="D242" s="833" t="s">
        <v>3659</v>
      </c>
      <c r="E242" s="999"/>
      <c r="F242" s="666">
        <v>8000.0</v>
      </c>
      <c r="G242" s="1195" t="s">
        <v>1343</v>
      </c>
      <c r="H242" s="833" t="s">
        <v>1447</v>
      </c>
      <c r="I242" s="674" t="s">
        <v>3660</v>
      </c>
    </row>
    <row r="243" ht="15.75" customHeight="1">
      <c r="A243" s="747" t="s">
        <v>1714</v>
      </c>
      <c r="B243" s="833" t="s">
        <v>3661</v>
      </c>
      <c r="C243" s="833" t="s">
        <v>3622</v>
      </c>
      <c r="D243" s="833" t="s">
        <v>3662</v>
      </c>
      <c r="E243" s="1053">
        <v>3.53</v>
      </c>
      <c r="F243" s="666">
        <v>59923.2</v>
      </c>
      <c r="G243" s="1195" t="s">
        <v>1343</v>
      </c>
      <c r="H243" s="833" t="s">
        <v>1447</v>
      </c>
      <c r="I243" s="674" t="s">
        <v>3660</v>
      </c>
    </row>
    <row r="244" ht="15.75" customHeight="1">
      <c r="A244" s="747" t="s">
        <v>1729</v>
      </c>
      <c r="B244" s="833" t="s">
        <v>3663</v>
      </c>
      <c r="C244" s="833" t="s">
        <v>3616</v>
      </c>
      <c r="D244" s="1224" t="s">
        <v>3665</v>
      </c>
      <c r="E244" s="1053">
        <v>0.298</v>
      </c>
      <c r="F244" s="1229">
        <v>6148.0</v>
      </c>
      <c r="G244" s="1210" t="s">
        <v>3691</v>
      </c>
      <c r="H244" s="833" t="s">
        <v>1447</v>
      </c>
      <c r="I244" s="674" t="s">
        <v>3694</v>
      </c>
    </row>
    <row r="245" ht="15.75" customHeight="1">
      <c r="A245" s="1212" t="s">
        <v>3697</v>
      </c>
      <c r="B245" s="1004" t="s">
        <v>3663</v>
      </c>
      <c r="C245" s="1004" t="s">
        <v>3699</v>
      </c>
      <c r="D245" s="1232" t="s">
        <v>3703</v>
      </c>
      <c r="E245" s="992">
        <v>1.07</v>
      </c>
      <c r="F245" s="1236">
        <v>22684.0</v>
      </c>
      <c r="G245" s="1202" t="s">
        <v>1343</v>
      </c>
      <c r="H245" s="1004" t="s">
        <v>1447</v>
      </c>
      <c r="I245" s="713" t="s">
        <v>3738</v>
      </c>
    </row>
    <row r="246" ht="15.75" customHeight="1">
      <c r="A246" s="1212" t="s">
        <v>3697</v>
      </c>
      <c r="B246" s="1004" t="s">
        <v>3742</v>
      </c>
      <c r="C246" s="1004" t="s">
        <v>3616</v>
      </c>
      <c r="D246" s="1232" t="s">
        <v>3746</v>
      </c>
      <c r="E246" s="1239">
        <v>2.62</v>
      </c>
      <c r="F246" s="1236">
        <v>55120.0</v>
      </c>
      <c r="G246" s="1202" t="s">
        <v>1343</v>
      </c>
      <c r="H246" s="1004" t="s">
        <v>1447</v>
      </c>
      <c r="I246" s="713" t="s">
        <v>3765</v>
      </c>
    </row>
    <row r="247" ht="15.75" customHeight="1">
      <c r="A247" s="941" t="s">
        <v>1742</v>
      </c>
      <c r="B247" s="944" t="s">
        <v>3766</v>
      </c>
      <c r="C247" s="944" t="s">
        <v>3767</v>
      </c>
      <c r="D247" s="1244" t="s">
        <v>1343</v>
      </c>
      <c r="E247" s="944" t="s">
        <v>1343</v>
      </c>
      <c r="F247" s="1246">
        <v>10000.0</v>
      </c>
      <c r="G247" s="1250" t="s">
        <v>1596</v>
      </c>
      <c r="H247" s="944" t="s">
        <v>1447</v>
      </c>
      <c r="I247" s="886" t="s">
        <v>3825</v>
      </c>
    </row>
    <row r="248" ht="15.75" customHeight="1">
      <c r="A248" s="747" t="s">
        <v>1746</v>
      </c>
      <c r="B248" s="833" t="s">
        <v>3826</v>
      </c>
      <c r="C248" s="833" t="s">
        <v>3767</v>
      </c>
      <c r="D248" s="1224" t="s">
        <v>3827</v>
      </c>
      <c r="E248" s="644">
        <v>1.53</v>
      </c>
      <c r="F248" s="1229">
        <v>3000.0</v>
      </c>
      <c r="G248" s="1210" t="s">
        <v>3828</v>
      </c>
      <c r="H248" s="833" t="s">
        <v>1447</v>
      </c>
      <c r="I248" s="674" t="s">
        <v>3829</v>
      </c>
    </row>
    <row r="249" ht="15.75" customHeight="1">
      <c r="A249" s="1212" t="s">
        <v>1772</v>
      </c>
      <c r="B249" s="1004" t="s">
        <v>3830</v>
      </c>
      <c r="C249" s="1004" t="s">
        <v>3767</v>
      </c>
      <c r="D249" s="1232" t="s">
        <v>3831</v>
      </c>
      <c r="E249" s="799">
        <v>11.68</v>
      </c>
      <c r="F249" s="1236">
        <v>247693.5</v>
      </c>
      <c r="G249" s="1202" t="s">
        <v>1343</v>
      </c>
      <c r="H249" s="1004" t="s">
        <v>1447</v>
      </c>
      <c r="I249" s="713" t="s">
        <v>3832</v>
      </c>
      <c r="J249" s="674" t="s">
        <v>3833</v>
      </c>
    </row>
    <row r="250" ht="15.75" customHeight="1">
      <c r="A250" s="747" t="s">
        <v>3834</v>
      </c>
      <c r="B250" s="833" t="s">
        <v>3835</v>
      </c>
      <c r="C250" s="833" t="s">
        <v>3767</v>
      </c>
      <c r="D250" s="1224" t="s">
        <v>3837</v>
      </c>
      <c r="E250" s="644">
        <v>1.29</v>
      </c>
      <c r="F250" s="1229">
        <v>27345.0</v>
      </c>
      <c r="G250" s="1210" t="s">
        <v>3838</v>
      </c>
      <c r="H250" s="833" t="s">
        <v>3839</v>
      </c>
      <c r="I250" s="1012" t="s">
        <v>3840</v>
      </c>
    </row>
    <row r="251" ht="15.75" customHeight="1">
      <c r="A251" s="747" t="s">
        <v>1796</v>
      </c>
      <c r="B251" s="833" t="s">
        <v>3842</v>
      </c>
      <c r="C251" s="833" t="s">
        <v>3767</v>
      </c>
      <c r="D251" s="1224" t="s">
        <v>3844</v>
      </c>
      <c r="E251" s="644">
        <v>0.31</v>
      </c>
      <c r="F251" s="1229"/>
      <c r="G251" s="1253" t="s">
        <v>1596</v>
      </c>
      <c r="H251" s="833" t="s">
        <v>3839</v>
      </c>
      <c r="I251" s="1012" t="s">
        <v>3851</v>
      </c>
    </row>
    <row r="252" ht="15.75" customHeight="1">
      <c r="A252" s="747" t="s">
        <v>1796</v>
      </c>
      <c r="B252" s="833" t="s">
        <v>3842</v>
      </c>
      <c r="C252" s="833" t="s">
        <v>3767</v>
      </c>
      <c r="D252" s="1224" t="s">
        <v>3853</v>
      </c>
      <c r="E252" s="644">
        <v>0.86</v>
      </c>
      <c r="F252" s="1229">
        <v>18200.0</v>
      </c>
      <c r="G252" s="1195" t="s">
        <v>1343</v>
      </c>
      <c r="H252" s="833" t="s">
        <v>3839</v>
      </c>
      <c r="I252" s="1012" t="s">
        <v>3856</v>
      </c>
    </row>
    <row r="253" ht="15.75" customHeight="1">
      <c r="A253" s="941" t="s">
        <v>3359</v>
      </c>
      <c r="B253" s="944" t="s">
        <v>3859</v>
      </c>
      <c r="C253" s="944" t="s">
        <v>3861</v>
      </c>
      <c r="D253" s="1244" t="s">
        <v>3862</v>
      </c>
      <c r="E253" s="870">
        <v>3.32</v>
      </c>
      <c r="F253" s="1246">
        <v>70410.0</v>
      </c>
      <c r="G253" s="1256" t="s">
        <v>1343</v>
      </c>
      <c r="H253" s="944" t="s">
        <v>1447</v>
      </c>
      <c r="I253" s="886" t="s">
        <v>3874</v>
      </c>
    </row>
    <row r="254" ht="15.75" customHeight="1">
      <c r="A254" s="941" t="s">
        <v>1931</v>
      </c>
      <c r="B254" s="944" t="s">
        <v>3875</v>
      </c>
      <c r="C254" s="944" t="s">
        <v>3876</v>
      </c>
      <c r="D254" s="1244" t="s">
        <v>3877</v>
      </c>
      <c r="E254" s="870">
        <v>1.18</v>
      </c>
      <c r="F254" s="1246">
        <v>25100.0</v>
      </c>
      <c r="G254" s="1256" t="s">
        <v>1343</v>
      </c>
      <c r="H254" s="944" t="s">
        <v>1447</v>
      </c>
      <c r="I254" s="886" t="s">
        <v>3878</v>
      </c>
    </row>
    <row r="255" ht="15.75" customHeight="1">
      <c r="A255" s="941" t="s">
        <v>3367</v>
      </c>
      <c r="B255" s="944" t="s">
        <v>3879</v>
      </c>
      <c r="C255" s="944" t="s">
        <v>3876</v>
      </c>
      <c r="D255" s="1244" t="s">
        <v>3880</v>
      </c>
      <c r="E255" s="870">
        <v>0.19</v>
      </c>
      <c r="F255" s="1246">
        <v>4200.0</v>
      </c>
      <c r="G255" s="1256" t="s">
        <v>3881</v>
      </c>
      <c r="H255" s="944" t="s">
        <v>3882</v>
      </c>
      <c r="I255" s="886" t="s">
        <v>3883</v>
      </c>
      <c r="J255" s="1260" t="s">
        <v>3884</v>
      </c>
    </row>
    <row r="256" ht="15.75" customHeight="1">
      <c r="A256" s="941" t="s">
        <v>3367</v>
      </c>
      <c r="B256" s="944" t="s">
        <v>3879</v>
      </c>
      <c r="C256" s="944" t="s">
        <v>3876</v>
      </c>
      <c r="D256" s="1244" t="s">
        <v>3880</v>
      </c>
      <c r="E256" s="870">
        <v>0.22</v>
      </c>
      <c r="F256" s="1246">
        <v>4650.0</v>
      </c>
      <c r="G256" s="1256" t="s">
        <v>3898</v>
      </c>
      <c r="H256" s="944" t="s">
        <v>1447</v>
      </c>
      <c r="I256" s="886" t="s">
        <v>3899</v>
      </c>
      <c r="J256" s="1264"/>
    </row>
    <row r="257" ht="15.75" customHeight="1">
      <c r="A257" s="1267" t="s">
        <v>3905</v>
      </c>
      <c r="B257" s="944" t="s">
        <v>3925</v>
      </c>
      <c r="C257" s="944" t="s">
        <v>3876</v>
      </c>
      <c r="D257" s="1244" t="s">
        <v>3926</v>
      </c>
      <c r="E257" s="870">
        <v>1.57</v>
      </c>
      <c r="F257" s="1246">
        <v>50835.0</v>
      </c>
      <c r="G257" s="1256" t="s">
        <v>1343</v>
      </c>
      <c r="H257" s="944" t="s">
        <v>1447</v>
      </c>
      <c r="I257" s="886" t="s">
        <v>3930</v>
      </c>
    </row>
    <row r="258" ht="15.75" customHeight="1">
      <c r="A258" s="1267" t="s">
        <v>1833</v>
      </c>
      <c r="B258" s="944" t="s">
        <v>3933</v>
      </c>
      <c r="C258" s="944" t="s">
        <v>3934</v>
      </c>
      <c r="D258" s="1244" t="s">
        <v>3936</v>
      </c>
      <c r="E258" s="870">
        <v>7.69</v>
      </c>
      <c r="F258" s="1246">
        <v>163104.5</v>
      </c>
      <c r="G258" s="1256"/>
      <c r="H258" s="944" t="s">
        <v>3938</v>
      </c>
      <c r="I258" s="886" t="s">
        <v>3940</v>
      </c>
    </row>
    <row r="259" ht="15.75" customHeight="1">
      <c r="A259" s="1207" t="s">
        <v>1981</v>
      </c>
      <c r="B259" s="833" t="s">
        <v>3943</v>
      </c>
      <c r="C259" s="833" t="s">
        <v>1693</v>
      </c>
      <c r="D259" s="1224" t="s">
        <v>3947</v>
      </c>
      <c r="E259" s="644">
        <v>0.16</v>
      </c>
      <c r="F259" s="1229">
        <v>21317.0</v>
      </c>
      <c r="G259" s="1210" t="s">
        <v>3948</v>
      </c>
      <c r="H259" s="833" t="s">
        <v>3951</v>
      </c>
      <c r="I259" s="1012" t="s">
        <v>3952</v>
      </c>
    </row>
    <row r="260" ht="15.75" customHeight="1">
      <c r="A260" s="1207" t="s">
        <v>3955</v>
      </c>
      <c r="B260" s="833" t="s">
        <v>3835</v>
      </c>
      <c r="C260" s="833" t="s">
        <v>1427</v>
      </c>
      <c r="D260" s="1224" t="s">
        <v>3958</v>
      </c>
      <c r="E260" s="644">
        <f>SUM(E233:E259)</f>
        <v>79.8176934</v>
      </c>
      <c r="F260" s="1229">
        <v>3000.0</v>
      </c>
      <c r="G260" s="1210" t="s">
        <v>3972</v>
      </c>
      <c r="H260" s="833" t="s">
        <v>1427</v>
      </c>
      <c r="I260" s="1012" t="s">
        <v>3973</v>
      </c>
    </row>
    <row r="261" ht="15.75" customHeight="1">
      <c r="A261" s="771" t="s">
        <v>200</v>
      </c>
      <c r="B261" s="774"/>
      <c r="C261" s="774"/>
      <c r="D261" s="774"/>
      <c r="E261" s="1272">
        <f>SUM(E233:E259)</f>
        <v>79.8176934</v>
      </c>
      <c r="F261" s="780">
        <f>SUM(F233:F260)</f>
        <v>1689276.74</v>
      </c>
      <c r="G261" s="774"/>
      <c r="H261" s="774"/>
      <c r="I261" s="1152"/>
    </row>
    <row r="262" ht="15.75" customHeight="1">
      <c r="A262" s="1281" t="s">
        <v>518</v>
      </c>
      <c r="B262" s="1285"/>
      <c r="C262" s="1285"/>
      <c r="D262" s="1285"/>
      <c r="E262" s="1290">
        <f t="shared" ref="E262:F262" si="6">E261+E231+E209+E171+E119+E112</f>
        <v>408.6615358</v>
      </c>
      <c r="F262" s="1294">
        <f t="shared" si="6"/>
        <v>5268670.646</v>
      </c>
      <c r="G262" s="1285"/>
      <c r="H262" s="1285"/>
      <c r="I262" s="129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5:F5"/>
    <mergeCell ref="G5:G6"/>
    <mergeCell ref="H5:H6"/>
    <mergeCell ref="I5:I6"/>
    <mergeCell ref="A1:I1"/>
    <mergeCell ref="A2:I2"/>
    <mergeCell ref="A3:I3"/>
    <mergeCell ref="A4:I4"/>
    <mergeCell ref="A5:A6"/>
    <mergeCell ref="B5:B6"/>
    <mergeCell ref="C5:C6"/>
    <mergeCell ref="H130:H131"/>
    <mergeCell ref="I130:I131"/>
    <mergeCell ref="A172:I172"/>
    <mergeCell ref="A210:I210"/>
    <mergeCell ref="A232:I232"/>
    <mergeCell ref="J255:J256"/>
    <mergeCell ref="A7:I7"/>
    <mergeCell ref="A113:I113"/>
    <mergeCell ref="A120:I120"/>
    <mergeCell ref="A130:A131"/>
    <mergeCell ref="B130:B131"/>
    <mergeCell ref="C130:C131"/>
    <mergeCell ref="G130:G13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9.13"/>
    <col customWidth="1" min="3" max="3" width="21.38"/>
    <col customWidth="1" min="4" max="4" width="27.75"/>
    <col customWidth="1" min="5" max="5" width="31.63"/>
    <col customWidth="1" min="6" max="6" width="19.75"/>
    <col customWidth="1" min="7" max="7" width="19.0"/>
    <col customWidth="1" min="8" max="8" width="22.88"/>
    <col customWidth="1" min="9" max="9" width="26.63"/>
    <col customWidth="1" min="10" max="10" width="40.75"/>
    <col customWidth="1" min="11" max="11" width="29.0"/>
    <col customWidth="1" min="12" max="12" width="14.25"/>
  </cols>
  <sheetData>
    <row r="1">
      <c r="B1" s="596" t="s">
        <v>916</v>
      </c>
    </row>
    <row r="2">
      <c r="B2" s="596" t="s">
        <v>3</v>
      </c>
    </row>
    <row r="3">
      <c r="B3" s="599" t="s">
        <v>1799</v>
      </c>
    </row>
    <row r="4">
      <c r="B4" s="603" t="s">
        <v>15</v>
      </c>
    </row>
    <row r="5" ht="15.0" customHeight="1">
      <c r="A5" s="767" t="s">
        <v>28</v>
      </c>
      <c r="B5" s="608" t="s">
        <v>950</v>
      </c>
      <c r="C5" s="610" t="s">
        <v>954</v>
      </c>
      <c r="D5" s="610" t="s">
        <v>962</v>
      </c>
      <c r="E5" s="613" t="s">
        <v>965</v>
      </c>
      <c r="F5" s="476"/>
      <c r="G5" s="477"/>
      <c r="H5" s="610" t="s">
        <v>1841</v>
      </c>
      <c r="I5" s="610" t="s">
        <v>973</v>
      </c>
      <c r="J5" s="772" t="s">
        <v>22</v>
      </c>
      <c r="K5" s="775"/>
    </row>
    <row r="6">
      <c r="A6" s="779"/>
      <c r="B6" s="499"/>
      <c r="C6" s="397"/>
      <c r="D6" s="397"/>
      <c r="E6" s="619" t="s">
        <v>1268</v>
      </c>
      <c r="F6" s="619" t="s">
        <v>8</v>
      </c>
      <c r="G6" s="784" t="s">
        <v>986</v>
      </c>
      <c r="H6" s="397"/>
      <c r="I6" s="397"/>
      <c r="J6" s="787"/>
      <c r="K6" s="31"/>
    </row>
    <row r="7" ht="17.25" customHeight="1">
      <c r="A7" s="791" t="s">
        <v>27</v>
      </c>
      <c r="B7" s="15"/>
      <c r="C7" s="15"/>
      <c r="D7" s="15"/>
      <c r="E7" s="15"/>
      <c r="F7" s="15"/>
      <c r="G7" s="15"/>
      <c r="H7" s="15"/>
      <c r="I7" s="15"/>
      <c r="J7" s="19"/>
      <c r="K7" s="794"/>
    </row>
    <row r="8" ht="17.25" customHeight="1">
      <c r="A8" s="797" t="s">
        <v>1897</v>
      </c>
      <c r="B8" s="27"/>
      <c r="C8" s="27"/>
      <c r="D8" s="27"/>
      <c r="E8" s="27"/>
      <c r="F8" s="27"/>
      <c r="G8" s="27"/>
      <c r="H8" s="27"/>
      <c r="I8" s="27"/>
      <c r="J8" s="800"/>
      <c r="K8" s="794">
        <v>2020.0</v>
      </c>
    </row>
    <row r="9">
      <c r="A9" s="802">
        <v>1.0</v>
      </c>
      <c r="B9" s="806" t="s">
        <v>1835</v>
      </c>
      <c r="C9" s="812" t="s">
        <v>1925</v>
      </c>
      <c r="D9" s="816" t="s">
        <v>1941</v>
      </c>
      <c r="E9" s="816" t="s">
        <v>1945</v>
      </c>
      <c r="F9" s="812">
        <v>2.61</v>
      </c>
      <c r="G9" s="819">
        <v>18360.0</v>
      </c>
      <c r="H9" s="816"/>
      <c r="I9" s="816" t="s">
        <v>346</v>
      </c>
      <c r="J9" s="822" t="s">
        <v>1949</v>
      </c>
      <c r="K9" s="794"/>
    </row>
    <row r="10">
      <c r="A10" s="826">
        <v>2.0</v>
      </c>
      <c r="B10" s="828" t="s">
        <v>1966</v>
      </c>
      <c r="C10" s="824" t="s">
        <v>1968</v>
      </c>
      <c r="D10" s="824" t="s">
        <v>1969</v>
      </c>
      <c r="E10" s="824" t="s">
        <v>386</v>
      </c>
      <c r="F10" s="824">
        <v>0.94</v>
      </c>
      <c r="G10" s="832">
        <v>15944.0</v>
      </c>
      <c r="H10" s="824"/>
      <c r="I10" s="824" t="s">
        <v>1969</v>
      </c>
      <c r="J10" s="836" t="s">
        <v>1974</v>
      </c>
      <c r="K10" s="794"/>
    </row>
    <row r="11">
      <c r="A11" s="826">
        <v>3.0</v>
      </c>
      <c r="B11" s="828" t="s">
        <v>1966</v>
      </c>
      <c r="C11" s="824" t="s">
        <v>1977</v>
      </c>
      <c r="D11" s="824" t="s">
        <v>481</v>
      </c>
      <c r="E11" s="824" t="s">
        <v>1978</v>
      </c>
      <c r="F11" s="824">
        <v>0.81</v>
      </c>
      <c r="G11" s="832">
        <v>27075.0</v>
      </c>
      <c r="H11" s="840" t="s">
        <v>1979</v>
      </c>
      <c r="I11" s="824" t="s">
        <v>481</v>
      </c>
      <c r="J11" s="836" t="s">
        <v>1980</v>
      </c>
      <c r="K11" s="794"/>
    </row>
    <row r="12">
      <c r="A12" s="826">
        <v>4.0</v>
      </c>
      <c r="B12" s="828" t="s">
        <v>1981</v>
      </c>
      <c r="C12" s="824" t="s">
        <v>1337</v>
      </c>
      <c r="D12" s="824" t="s">
        <v>1982</v>
      </c>
      <c r="E12" s="824" t="s">
        <v>1983</v>
      </c>
      <c r="F12" s="824">
        <v>2.64</v>
      </c>
      <c r="G12" s="832">
        <v>39270.0</v>
      </c>
      <c r="H12" s="824"/>
      <c r="I12" s="824" t="s">
        <v>1982</v>
      </c>
      <c r="J12" s="836" t="s">
        <v>557</v>
      </c>
      <c r="K12" s="794"/>
    </row>
    <row r="13">
      <c r="A13" s="826">
        <v>5.0</v>
      </c>
      <c r="B13" s="828" t="s">
        <v>1984</v>
      </c>
      <c r="C13" s="824" t="s">
        <v>1985</v>
      </c>
      <c r="D13" s="824" t="s">
        <v>1986</v>
      </c>
      <c r="E13" s="824" t="s">
        <v>1987</v>
      </c>
      <c r="F13" s="824">
        <v>1.34</v>
      </c>
      <c r="G13" s="832">
        <v>19950.0</v>
      </c>
      <c r="H13" s="824"/>
      <c r="I13" s="824" t="s">
        <v>503</v>
      </c>
      <c r="J13" s="836" t="s">
        <v>1988</v>
      </c>
      <c r="K13" s="794"/>
    </row>
    <row r="14">
      <c r="A14" s="826">
        <v>6.0</v>
      </c>
      <c r="B14" s="828" t="s">
        <v>1989</v>
      </c>
      <c r="C14" s="824" t="s">
        <v>1990</v>
      </c>
      <c r="D14" s="824" t="s">
        <v>481</v>
      </c>
      <c r="E14" s="824" t="s">
        <v>1992</v>
      </c>
      <c r="F14" s="824">
        <v>1.02</v>
      </c>
      <c r="G14" s="832">
        <v>15155.0</v>
      </c>
      <c r="H14" s="824"/>
      <c r="I14" s="824" t="s">
        <v>481</v>
      </c>
      <c r="J14" s="836" t="s">
        <v>1994</v>
      </c>
      <c r="K14" s="794"/>
    </row>
    <row r="15">
      <c r="A15" s="826">
        <v>7.0</v>
      </c>
      <c r="B15" s="828" t="s">
        <v>1989</v>
      </c>
      <c r="C15" s="824" t="s">
        <v>1990</v>
      </c>
      <c r="D15" s="824" t="s">
        <v>481</v>
      </c>
      <c r="E15" s="824" t="s">
        <v>1995</v>
      </c>
      <c r="F15" s="824">
        <v>0.73</v>
      </c>
      <c r="G15" s="832">
        <v>10920.0</v>
      </c>
      <c r="H15" s="824"/>
      <c r="I15" s="824" t="s">
        <v>481</v>
      </c>
      <c r="J15" s="836" t="s">
        <v>1996</v>
      </c>
      <c r="K15" s="794"/>
    </row>
    <row r="16">
      <c r="A16" s="826">
        <v>8.0</v>
      </c>
      <c r="B16" s="828" t="s">
        <v>1998</v>
      </c>
      <c r="C16" s="824" t="s">
        <v>1999</v>
      </c>
      <c r="D16" s="824" t="s">
        <v>1058</v>
      </c>
      <c r="E16" s="824" t="s">
        <v>2000</v>
      </c>
      <c r="F16" s="824">
        <v>2.48</v>
      </c>
      <c r="G16" s="832">
        <v>61430.0</v>
      </c>
      <c r="H16" s="840" t="s">
        <v>2001</v>
      </c>
      <c r="I16" s="824" t="s">
        <v>1058</v>
      </c>
      <c r="J16" s="836" t="s">
        <v>2002</v>
      </c>
      <c r="K16" s="794"/>
    </row>
    <row r="17">
      <c r="A17" s="826">
        <v>9.0</v>
      </c>
      <c r="B17" s="828" t="s">
        <v>2003</v>
      </c>
      <c r="C17" s="824" t="s">
        <v>1977</v>
      </c>
      <c r="D17" s="824" t="s">
        <v>481</v>
      </c>
      <c r="E17" s="824" t="s">
        <v>2004</v>
      </c>
      <c r="F17" s="824">
        <v>1.4</v>
      </c>
      <c r="G17" s="832">
        <v>20825.0</v>
      </c>
      <c r="H17" s="824"/>
      <c r="I17" s="824" t="s">
        <v>481</v>
      </c>
      <c r="J17" s="836" t="s">
        <v>557</v>
      </c>
      <c r="K17" s="794"/>
    </row>
    <row r="18" ht="28.5" customHeight="1">
      <c r="A18" s="847">
        <v>10.0</v>
      </c>
      <c r="B18" s="851" t="s">
        <v>2013</v>
      </c>
      <c r="C18" s="855" t="s">
        <v>2016</v>
      </c>
      <c r="D18" s="855" t="s">
        <v>1232</v>
      </c>
      <c r="E18" s="855" t="s">
        <v>434</v>
      </c>
      <c r="F18" s="855">
        <v>0.91</v>
      </c>
      <c r="G18" s="860">
        <v>15400.0</v>
      </c>
      <c r="H18" s="855"/>
      <c r="I18" s="855" t="s">
        <v>346</v>
      </c>
      <c r="J18" s="869" t="s">
        <v>557</v>
      </c>
      <c r="K18" s="873"/>
    </row>
    <row r="19" ht="29.25" customHeight="1">
      <c r="A19" s="351"/>
      <c r="B19" s="152" t="s">
        <v>1392</v>
      </c>
      <c r="C19" s="351"/>
      <c r="D19" s="351"/>
      <c r="E19" s="351"/>
      <c r="F19" s="876">
        <f t="shared" ref="F19:G19" si="1">SUM(F9:F18)</f>
        <v>14.88</v>
      </c>
      <c r="G19" s="880">
        <f t="shared" si="1"/>
        <v>244329</v>
      </c>
      <c r="H19" s="351"/>
      <c r="I19" s="351"/>
      <c r="J19" s="351"/>
      <c r="K19" s="351"/>
    </row>
    <row r="20">
      <c r="A20" s="884">
        <v>2021.0</v>
      </c>
      <c r="B20" s="15"/>
      <c r="C20" s="15"/>
      <c r="D20" s="15"/>
      <c r="E20" s="15"/>
      <c r="F20" s="15"/>
      <c r="G20" s="15"/>
      <c r="H20" s="15"/>
      <c r="I20" s="15"/>
      <c r="J20" s="19"/>
      <c r="K20" s="888"/>
      <c r="L20" s="392"/>
    </row>
    <row r="21" ht="15.75" customHeight="1">
      <c r="A21" s="826">
        <v>11.0</v>
      </c>
      <c r="B21" s="828" t="s">
        <v>2052</v>
      </c>
      <c r="C21" s="824" t="s">
        <v>2053</v>
      </c>
      <c r="D21" s="824" t="s">
        <v>481</v>
      </c>
      <c r="E21" s="824" t="s">
        <v>2054</v>
      </c>
      <c r="F21" s="824">
        <v>0.16</v>
      </c>
      <c r="G21" s="832">
        <v>22520.0</v>
      </c>
      <c r="H21" s="840" t="s">
        <v>1839</v>
      </c>
      <c r="I21" s="824" t="s">
        <v>2055</v>
      </c>
      <c r="J21" s="836" t="s">
        <v>2056</v>
      </c>
      <c r="K21" s="794"/>
    </row>
    <row r="22" ht="15.75" customHeight="1">
      <c r="A22" s="826">
        <v>12.0</v>
      </c>
      <c r="B22" s="828" t="s">
        <v>2057</v>
      </c>
      <c r="C22" s="824" t="s">
        <v>2058</v>
      </c>
      <c r="D22" s="824" t="s">
        <v>2059</v>
      </c>
      <c r="E22" s="824" t="s">
        <v>1233</v>
      </c>
      <c r="F22" s="824">
        <v>1.42</v>
      </c>
      <c r="G22" s="832">
        <v>24160.0</v>
      </c>
      <c r="H22" s="824"/>
      <c r="I22" s="824" t="s">
        <v>2060</v>
      </c>
      <c r="J22" s="836" t="s">
        <v>2061</v>
      </c>
      <c r="K22" s="794"/>
    </row>
    <row r="23" ht="33.75" customHeight="1">
      <c r="A23" s="826">
        <v>13.0</v>
      </c>
      <c r="B23" s="828" t="s">
        <v>2062</v>
      </c>
      <c r="C23" s="824" t="s">
        <v>2063</v>
      </c>
      <c r="D23" s="824" t="s">
        <v>481</v>
      </c>
      <c r="E23" s="824" t="s">
        <v>2064</v>
      </c>
      <c r="F23" s="824">
        <v>1.19</v>
      </c>
      <c r="G23" s="832">
        <v>17759.35</v>
      </c>
      <c r="H23" s="824"/>
      <c r="I23" s="824" t="s">
        <v>481</v>
      </c>
      <c r="J23" s="836" t="s">
        <v>2065</v>
      </c>
      <c r="K23" s="794"/>
    </row>
    <row r="24" ht="15.75" customHeight="1">
      <c r="A24" s="826">
        <v>14.0</v>
      </c>
      <c r="B24" s="828" t="s">
        <v>2066</v>
      </c>
      <c r="C24" s="824" t="s">
        <v>2067</v>
      </c>
      <c r="D24" s="824" t="s">
        <v>481</v>
      </c>
      <c r="E24" s="824" t="s">
        <v>2068</v>
      </c>
      <c r="F24" s="824">
        <v>0.25</v>
      </c>
      <c r="G24" s="832">
        <v>4213.0</v>
      </c>
      <c r="H24" s="824"/>
      <c r="I24" s="824" t="s">
        <v>1033</v>
      </c>
      <c r="J24" s="836" t="s">
        <v>2071</v>
      </c>
      <c r="K24" s="794"/>
    </row>
    <row r="25" ht="15.75" customHeight="1">
      <c r="A25" s="826">
        <v>15.0</v>
      </c>
      <c r="B25" s="828" t="s">
        <v>2074</v>
      </c>
      <c r="C25" s="824" t="s">
        <v>2076</v>
      </c>
      <c r="D25" s="824" t="s">
        <v>481</v>
      </c>
      <c r="E25" s="824" t="s">
        <v>2077</v>
      </c>
      <c r="F25" s="824">
        <v>1.28</v>
      </c>
      <c r="G25" s="832">
        <v>19075.0</v>
      </c>
      <c r="H25" s="824"/>
      <c r="I25" s="824" t="s">
        <v>1033</v>
      </c>
      <c r="J25" s="836" t="s">
        <v>2078</v>
      </c>
      <c r="K25" s="794"/>
    </row>
    <row r="26" ht="15.75" customHeight="1">
      <c r="A26" s="826">
        <v>16.0</v>
      </c>
      <c r="B26" s="828" t="s">
        <v>2079</v>
      </c>
      <c r="C26" s="824" t="s">
        <v>2080</v>
      </c>
      <c r="D26" s="824" t="s">
        <v>481</v>
      </c>
      <c r="E26" s="824" t="s">
        <v>2081</v>
      </c>
      <c r="F26" s="824">
        <v>0.67</v>
      </c>
      <c r="G26" s="832">
        <v>10080.0</v>
      </c>
      <c r="H26" s="824"/>
      <c r="I26" s="824" t="s">
        <v>481</v>
      </c>
      <c r="J26" s="836" t="s">
        <v>2082</v>
      </c>
      <c r="K26" s="794"/>
    </row>
    <row r="27" ht="15.75" customHeight="1">
      <c r="A27" s="826">
        <v>17.0</v>
      </c>
      <c r="B27" s="828" t="s">
        <v>2079</v>
      </c>
      <c r="C27" s="824" t="s">
        <v>2080</v>
      </c>
      <c r="D27" s="824" t="s">
        <v>481</v>
      </c>
      <c r="E27" s="824" t="s">
        <v>2084</v>
      </c>
      <c r="F27" s="824">
        <v>0.38</v>
      </c>
      <c r="G27" s="832">
        <v>5775.0</v>
      </c>
      <c r="H27" s="824"/>
      <c r="I27" s="824" t="s">
        <v>481</v>
      </c>
      <c r="J27" s="836" t="s">
        <v>2085</v>
      </c>
      <c r="K27" s="794"/>
    </row>
    <row r="28" ht="15.75" customHeight="1">
      <c r="A28" s="826">
        <v>18.0</v>
      </c>
      <c r="B28" s="828" t="s">
        <v>2086</v>
      </c>
      <c r="C28" s="824" t="s">
        <v>1765</v>
      </c>
      <c r="D28" s="824" t="s">
        <v>1969</v>
      </c>
      <c r="E28" s="824"/>
      <c r="F28" s="824"/>
      <c r="G28" s="832"/>
      <c r="H28" s="840" t="s">
        <v>2087</v>
      </c>
      <c r="I28" s="824" t="s">
        <v>2088</v>
      </c>
      <c r="J28" s="836" t="s">
        <v>2089</v>
      </c>
      <c r="K28" s="794"/>
    </row>
    <row r="29" ht="15.75" customHeight="1">
      <c r="A29" s="826">
        <v>19.0</v>
      </c>
      <c r="B29" s="828" t="s">
        <v>2090</v>
      </c>
      <c r="C29" s="824" t="s">
        <v>2091</v>
      </c>
      <c r="D29" s="824" t="s">
        <v>481</v>
      </c>
      <c r="E29" s="824" t="s">
        <v>2092</v>
      </c>
      <c r="F29" s="824">
        <v>0.2</v>
      </c>
      <c r="G29" s="832">
        <v>4025.0</v>
      </c>
      <c r="H29" s="824"/>
      <c r="I29" s="824" t="s">
        <v>2055</v>
      </c>
      <c r="J29" s="836" t="s">
        <v>2093</v>
      </c>
      <c r="K29" s="794"/>
    </row>
    <row r="30" ht="15.75" customHeight="1">
      <c r="A30" s="893">
        <v>20.0</v>
      </c>
      <c r="B30" s="897" t="s">
        <v>2094</v>
      </c>
      <c r="C30" s="883" t="s">
        <v>2101</v>
      </c>
      <c r="D30" s="883" t="s">
        <v>228</v>
      </c>
      <c r="E30" s="883" t="s">
        <v>2102</v>
      </c>
      <c r="F30" s="883">
        <v>1.09</v>
      </c>
      <c r="G30" s="899">
        <v>18652.4</v>
      </c>
      <c r="H30" s="891" t="s">
        <v>2103</v>
      </c>
      <c r="I30" s="883" t="s">
        <v>346</v>
      </c>
      <c r="J30" s="895" t="s">
        <v>2104</v>
      </c>
      <c r="K30" s="794"/>
    </row>
    <row r="31" ht="15.75" customHeight="1">
      <c r="A31" s="826">
        <v>21.0</v>
      </c>
      <c r="B31" s="828" t="s">
        <v>2105</v>
      </c>
      <c r="C31" s="824" t="s">
        <v>2107</v>
      </c>
      <c r="D31" s="824" t="s">
        <v>134</v>
      </c>
      <c r="E31" s="824" t="s">
        <v>2109</v>
      </c>
      <c r="F31" s="824">
        <f>496/424</f>
        <v>1.169811321</v>
      </c>
      <c r="G31" s="832">
        <v>17360.0</v>
      </c>
      <c r="H31" s="824"/>
      <c r="I31" s="824" t="s">
        <v>134</v>
      </c>
      <c r="J31" s="836" t="s">
        <v>2115</v>
      </c>
      <c r="K31" s="794"/>
    </row>
    <row r="32" ht="15.75" customHeight="1">
      <c r="A32" s="826">
        <v>22.0</v>
      </c>
      <c r="B32" s="828" t="s">
        <v>2116</v>
      </c>
      <c r="C32" s="824" t="s">
        <v>2118</v>
      </c>
      <c r="D32" s="824" t="s">
        <v>2119</v>
      </c>
      <c r="E32" s="824" t="s">
        <v>2120</v>
      </c>
      <c r="F32" s="824">
        <v>0.69</v>
      </c>
      <c r="G32" s="832">
        <v>11700.0</v>
      </c>
      <c r="H32" s="824"/>
      <c r="I32" s="824" t="s">
        <v>2121</v>
      </c>
      <c r="J32" s="836" t="s">
        <v>2122</v>
      </c>
      <c r="K32" s="794"/>
    </row>
    <row r="33" ht="15.75" customHeight="1">
      <c r="A33" s="826">
        <v>23.0</v>
      </c>
      <c r="B33" s="828" t="s">
        <v>2123</v>
      </c>
      <c r="C33" s="824" t="s">
        <v>2124</v>
      </c>
      <c r="D33" s="824" t="s">
        <v>1969</v>
      </c>
      <c r="E33" s="824" t="s">
        <v>2125</v>
      </c>
      <c r="F33" s="824">
        <v>0.8</v>
      </c>
      <c r="G33" s="832">
        <v>13500.0</v>
      </c>
      <c r="H33" s="824"/>
      <c r="I33" s="824" t="s">
        <v>2121</v>
      </c>
      <c r="J33" s="836" t="s">
        <v>2127</v>
      </c>
      <c r="K33" s="794"/>
    </row>
    <row r="34" ht="15.75" customHeight="1">
      <c r="A34" s="826">
        <v>24.0</v>
      </c>
      <c r="B34" s="828" t="s">
        <v>2128</v>
      </c>
      <c r="C34" s="824" t="s">
        <v>2130</v>
      </c>
      <c r="D34" s="824" t="s">
        <v>481</v>
      </c>
      <c r="E34" s="824" t="s">
        <v>2133</v>
      </c>
      <c r="F34" s="824">
        <v>1.125</v>
      </c>
      <c r="G34" s="832">
        <v>16695.0</v>
      </c>
      <c r="H34" s="824"/>
      <c r="I34" s="824" t="s">
        <v>481</v>
      </c>
      <c r="J34" s="836" t="s">
        <v>2061</v>
      </c>
      <c r="K34" s="794"/>
    </row>
    <row r="35" ht="15.75" customHeight="1">
      <c r="A35" s="826">
        <v>25.0</v>
      </c>
      <c r="B35" s="828" t="s">
        <v>2135</v>
      </c>
      <c r="C35" s="824" t="s">
        <v>1585</v>
      </c>
      <c r="D35" s="824" t="s">
        <v>134</v>
      </c>
      <c r="E35" s="824" t="s">
        <v>2136</v>
      </c>
      <c r="F35" s="824">
        <v>0.37</v>
      </c>
      <c r="G35" s="832">
        <v>61181.55</v>
      </c>
      <c r="H35" s="824"/>
      <c r="I35" s="824" t="s">
        <v>2138</v>
      </c>
      <c r="J35" s="836" t="s">
        <v>2140</v>
      </c>
      <c r="K35" s="794"/>
    </row>
    <row r="36" ht="15.75" customHeight="1">
      <c r="A36" s="826">
        <v>26.0</v>
      </c>
      <c r="B36" s="828" t="s">
        <v>2143</v>
      </c>
      <c r="C36" s="824" t="s">
        <v>2144</v>
      </c>
      <c r="D36" s="824" t="s">
        <v>2145</v>
      </c>
      <c r="E36" s="824" t="s">
        <v>2146</v>
      </c>
      <c r="F36" s="824">
        <v>3.56</v>
      </c>
      <c r="G36" s="832">
        <v>52815.0</v>
      </c>
      <c r="H36" s="824"/>
      <c r="I36" s="824" t="s">
        <v>2148</v>
      </c>
      <c r="J36" s="836" t="s">
        <v>2061</v>
      </c>
      <c r="K36" s="794"/>
    </row>
    <row r="37" ht="15.75" customHeight="1">
      <c r="A37" s="826">
        <v>27.0</v>
      </c>
      <c r="B37" s="828" t="s">
        <v>2149</v>
      </c>
      <c r="C37" s="824" t="s">
        <v>2150</v>
      </c>
      <c r="D37" s="824" t="s">
        <v>1058</v>
      </c>
      <c r="E37" s="824" t="s">
        <v>2152</v>
      </c>
      <c r="F37" s="824">
        <v>0.21</v>
      </c>
      <c r="G37" s="832">
        <v>25465.0</v>
      </c>
      <c r="H37" s="910" t="s">
        <v>2153</v>
      </c>
      <c r="I37" s="824" t="s">
        <v>2158</v>
      </c>
      <c r="J37" s="836" t="s">
        <v>2160</v>
      </c>
      <c r="K37" s="794"/>
    </row>
    <row r="38" ht="15.75" customHeight="1">
      <c r="A38" s="802">
        <v>28.0</v>
      </c>
      <c r="B38" s="914" t="s">
        <v>2161</v>
      </c>
      <c r="C38" s="824" t="s">
        <v>2166</v>
      </c>
      <c r="D38" s="824" t="s">
        <v>134</v>
      </c>
      <c r="E38" s="824" t="s">
        <v>2167</v>
      </c>
      <c r="F38" s="824">
        <v>2.48</v>
      </c>
      <c r="G38" s="832">
        <v>36749.0</v>
      </c>
      <c r="H38" s="910"/>
      <c r="I38" s="824" t="s">
        <v>2168</v>
      </c>
      <c r="J38" s="836" t="s">
        <v>2169</v>
      </c>
      <c r="K38" s="794"/>
    </row>
    <row r="39" ht="15.75" customHeight="1">
      <c r="A39" s="826">
        <v>29.0</v>
      </c>
      <c r="B39" s="828" t="s">
        <v>2170</v>
      </c>
      <c r="C39" s="824" t="s">
        <v>1497</v>
      </c>
      <c r="D39" s="824" t="s">
        <v>134</v>
      </c>
      <c r="E39" s="824" t="s">
        <v>2171</v>
      </c>
      <c r="F39" s="824">
        <v>0.46</v>
      </c>
      <c r="G39" s="832">
        <v>6825.0</v>
      </c>
      <c r="H39" s="910" t="s">
        <v>2172</v>
      </c>
      <c r="I39" s="824" t="s">
        <v>2138</v>
      </c>
      <c r="J39" s="836" t="s">
        <v>2173</v>
      </c>
      <c r="K39" s="794"/>
    </row>
    <row r="40" ht="15.75" customHeight="1">
      <c r="A40" s="826">
        <v>30.0</v>
      </c>
      <c r="B40" s="828" t="s">
        <v>2170</v>
      </c>
      <c r="C40" s="824" t="s">
        <v>1497</v>
      </c>
      <c r="D40" s="824" t="s">
        <v>134</v>
      </c>
      <c r="E40" s="824" t="s">
        <v>2171</v>
      </c>
      <c r="F40" s="824">
        <v>0.47</v>
      </c>
      <c r="G40" s="832">
        <v>6940.15</v>
      </c>
      <c r="H40" s="824"/>
      <c r="I40" s="824" t="s">
        <v>2138</v>
      </c>
      <c r="J40" s="836" t="s">
        <v>2174</v>
      </c>
      <c r="K40" s="794"/>
    </row>
    <row r="41" ht="15.75" customHeight="1">
      <c r="A41" s="826">
        <v>31.0</v>
      </c>
      <c r="B41" s="828" t="s">
        <v>2176</v>
      </c>
      <c r="C41" s="824" t="s">
        <v>2177</v>
      </c>
      <c r="D41" s="824" t="s">
        <v>1560</v>
      </c>
      <c r="E41" s="824" t="s">
        <v>2178</v>
      </c>
      <c r="F41" s="824">
        <v>4.54</v>
      </c>
      <c r="G41" s="832">
        <v>76959.2</v>
      </c>
      <c r="H41" s="824"/>
      <c r="I41" s="824" t="s">
        <v>2179</v>
      </c>
      <c r="J41" s="836" t="s">
        <v>2061</v>
      </c>
      <c r="K41" s="794"/>
    </row>
    <row r="42" ht="15.75" customHeight="1">
      <c r="A42" s="826">
        <v>32.0</v>
      </c>
      <c r="B42" s="828" t="s">
        <v>2180</v>
      </c>
      <c r="C42" s="824" t="s">
        <v>2182</v>
      </c>
      <c r="D42" s="824" t="s">
        <v>2183</v>
      </c>
      <c r="E42" s="824" t="s">
        <v>2184</v>
      </c>
      <c r="F42" s="824">
        <v>1.83</v>
      </c>
      <c r="G42" s="832">
        <v>31064.0</v>
      </c>
      <c r="H42" s="824"/>
      <c r="I42" s="824" t="s">
        <v>2185</v>
      </c>
      <c r="J42" s="836" t="s">
        <v>2061</v>
      </c>
      <c r="K42" s="794"/>
    </row>
    <row r="43" ht="15.75" customHeight="1">
      <c r="A43" s="826">
        <v>33.0</v>
      </c>
      <c r="B43" s="828" t="s">
        <v>2186</v>
      </c>
      <c r="C43" s="824" t="s">
        <v>2187</v>
      </c>
      <c r="D43" s="824" t="s">
        <v>2188</v>
      </c>
      <c r="E43" s="824" t="s">
        <v>2189</v>
      </c>
      <c r="F43" s="824">
        <v>3.91</v>
      </c>
      <c r="G43" s="832">
        <v>66392.0</v>
      </c>
      <c r="H43" s="824"/>
      <c r="I43" s="824" t="s">
        <v>2179</v>
      </c>
      <c r="J43" s="836" t="s">
        <v>2061</v>
      </c>
      <c r="K43" s="794"/>
    </row>
    <row r="44" ht="15.75" customHeight="1">
      <c r="A44" s="826">
        <v>34.0</v>
      </c>
      <c r="B44" s="828" t="s">
        <v>2186</v>
      </c>
      <c r="C44" s="824" t="s">
        <v>2190</v>
      </c>
      <c r="D44" s="824" t="s">
        <v>2191</v>
      </c>
      <c r="E44" s="824" t="s">
        <v>2192</v>
      </c>
      <c r="F44" s="824">
        <v>10.62</v>
      </c>
      <c r="G44" s="832">
        <v>289554.6</v>
      </c>
      <c r="H44" s="824" t="s">
        <v>2193</v>
      </c>
      <c r="I44" s="824" t="s">
        <v>2194</v>
      </c>
      <c r="J44" s="836" t="s">
        <v>2195</v>
      </c>
      <c r="K44" s="794"/>
    </row>
    <row r="45" ht="15.75" customHeight="1">
      <c r="A45" s="826">
        <v>35.0</v>
      </c>
      <c r="B45" s="828" t="s">
        <v>2196</v>
      </c>
      <c r="C45" s="824" t="s">
        <v>2197</v>
      </c>
      <c r="D45" s="824" t="s">
        <v>2198</v>
      </c>
      <c r="E45" s="824" t="s">
        <v>1300</v>
      </c>
      <c r="F45" s="824">
        <v>0.96</v>
      </c>
      <c r="G45" s="832">
        <v>16320.0</v>
      </c>
      <c r="H45" s="824"/>
      <c r="I45" s="824" t="s">
        <v>2199</v>
      </c>
      <c r="J45" s="836" t="s">
        <v>2061</v>
      </c>
      <c r="K45" s="794"/>
    </row>
    <row r="46" ht="15.75" customHeight="1">
      <c r="A46" s="826">
        <v>36.0</v>
      </c>
      <c r="B46" s="828" t="s">
        <v>2201</v>
      </c>
      <c r="C46" s="824" t="s">
        <v>2202</v>
      </c>
      <c r="D46" s="824" t="s">
        <v>2203</v>
      </c>
      <c r="E46" s="824" t="s">
        <v>2204</v>
      </c>
      <c r="F46" s="824">
        <v>1.87</v>
      </c>
      <c r="G46" s="832">
        <v>23820.0</v>
      </c>
      <c r="H46" s="824"/>
      <c r="I46" s="824" t="s">
        <v>2205</v>
      </c>
      <c r="J46" s="836" t="s">
        <v>2206</v>
      </c>
      <c r="K46" s="794"/>
    </row>
    <row r="47" ht="15.75" customHeight="1">
      <c r="A47" s="826">
        <v>37.0</v>
      </c>
      <c r="B47" s="920" t="s">
        <v>2201</v>
      </c>
      <c r="C47" s="824" t="s">
        <v>2101</v>
      </c>
      <c r="D47" s="824" t="s">
        <v>2208</v>
      </c>
      <c r="E47" s="824" t="s">
        <v>2209</v>
      </c>
      <c r="F47" s="824">
        <v>0.35</v>
      </c>
      <c r="G47" s="832">
        <v>22450.0</v>
      </c>
      <c r="H47" s="824"/>
      <c r="I47" s="824" t="s">
        <v>346</v>
      </c>
      <c r="J47" s="836" t="s">
        <v>2211</v>
      </c>
      <c r="K47" s="794"/>
    </row>
    <row r="48" ht="15.75" customHeight="1">
      <c r="A48" s="826">
        <v>38.0</v>
      </c>
      <c r="B48" s="828" t="s">
        <v>2212</v>
      </c>
      <c r="C48" s="824" t="s">
        <v>2213</v>
      </c>
      <c r="D48" s="824" t="s">
        <v>2214</v>
      </c>
      <c r="E48" s="824" t="s">
        <v>2215</v>
      </c>
      <c r="F48" s="824">
        <v>0.97</v>
      </c>
      <c r="G48" s="832">
        <v>14350.0</v>
      </c>
      <c r="H48" s="824"/>
      <c r="I48" s="824" t="s">
        <v>2168</v>
      </c>
      <c r="J48" s="836" t="s">
        <v>2216</v>
      </c>
      <c r="K48" s="794"/>
    </row>
    <row r="49" ht="15.75" customHeight="1">
      <c r="A49" s="826">
        <v>39.0</v>
      </c>
      <c r="B49" s="828" t="s">
        <v>2212</v>
      </c>
      <c r="C49" s="824" t="s">
        <v>2217</v>
      </c>
      <c r="D49" s="824" t="s">
        <v>2218</v>
      </c>
      <c r="E49" s="824" t="s">
        <v>2219</v>
      </c>
      <c r="F49" s="824">
        <v>0.67</v>
      </c>
      <c r="G49" s="832">
        <v>14314.5</v>
      </c>
      <c r="H49" s="824"/>
      <c r="I49" s="824" t="s">
        <v>2220</v>
      </c>
      <c r="J49" s="836" t="s">
        <v>2216</v>
      </c>
      <c r="K49" s="794"/>
    </row>
    <row r="50" ht="15.75" customHeight="1">
      <c r="A50" s="826">
        <v>40.0</v>
      </c>
      <c r="B50" s="828" t="s">
        <v>2221</v>
      </c>
      <c r="C50" s="824" t="s">
        <v>2222</v>
      </c>
      <c r="D50" s="824" t="s">
        <v>2223</v>
      </c>
      <c r="E50" s="824" t="s">
        <v>2224</v>
      </c>
      <c r="F50" s="824"/>
      <c r="G50" s="832">
        <v>55400.0</v>
      </c>
      <c r="H50" s="925" t="s">
        <v>2225</v>
      </c>
      <c r="I50" s="824" t="s">
        <v>2227</v>
      </c>
      <c r="J50" s="836" t="s">
        <v>2228</v>
      </c>
      <c r="K50" s="794"/>
    </row>
    <row r="51" ht="15.75" customHeight="1">
      <c r="A51" s="826">
        <v>41.0</v>
      </c>
      <c r="B51" s="828" t="s">
        <v>2229</v>
      </c>
      <c r="C51" s="824" t="s">
        <v>2230</v>
      </c>
      <c r="D51" s="824" t="s">
        <v>2231</v>
      </c>
      <c r="E51" s="824" t="s">
        <v>2232</v>
      </c>
      <c r="F51" s="824">
        <v>2.08</v>
      </c>
      <c r="G51" s="832">
        <v>55823.1</v>
      </c>
      <c r="H51" s="840" t="s">
        <v>1596</v>
      </c>
      <c r="I51" s="824" t="s">
        <v>2233</v>
      </c>
      <c r="J51" s="836" t="s">
        <v>2234</v>
      </c>
      <c r="K51" s="794"/>
    </row>
    <row r="52" ht="15.75" customHeight="1">
      <c r="A52" s="826">
        <v>42.0</v>
      </c>
      <c r="B52" s="920" t="s">
        <v>2229</v>
      </c>
      <c r="C52" s="824" t="s">
        <v>1023</v>
      </c>
      <c r="D52" s="824" t="s">
        <v>1954</v>
      </c>
      <c r="E52" s="824" t="s">
        <v>2235</v>
      </c>
      <c r="F52" s="824">
        <v>1.19</v>
      </c>
      <c r="G52" s="832">
        <v>22492.65</v>
      </c>
      <c r="H52" s="824"/>
      <c r="I52" s="824" t="s">
        <v>2236</v>
      </c>
      <c r="J52" s="836" t="s">
        <v>2237</v>
      </c>
      <c r="K52" s="794"/>
    </row>
    <row r="53" ht="15.75" customHeight="1">
      <c r="A53" s="826">
        <v>43.0</v>
      </c>
      <c r="B53" s="828" t="s">
        <v>2238</v>
      </c>
      <c r="C53" s="824" t="s">
        <v>2239</v>
      </c>
      <c r="D53" s="824" t="s">
        <v>2203</v>
      </c>
      <c r="E53" s="824" t="s">
        <v>2240</v>
      </c>
      <c r="F53" s="824">
        <v>0.92</v>
      </c>
      <c r="G53" s="832">
        <v>63646.85</v>
      </c>
      <c r="H53" s="910" t="s">
        <v>2241</v>
      </c>
      <c r="I53" s="824" t="s">
        <v>2242</v>
      </c>
      <c r="J53" s="836" t="s">
        <v>2243</v>
      </c>
      <c r="K53" s="794"/>
    </row>
    <row r="54" ht="15.75" customHeight="1">
      <c r="A54" s="826">
        <v>44.0</v>
      </c>
      <c r="B54" s="920" t="s">
        <v>2244</v>
      </c>
      <c r="C54" s="824" t="s">
        <v>2245</v>
      </c>
      <c r="D54" s="824" t="s">
        <v>2246</v>
      </c>
      <c r="E54" s="824" t="s">
        <v>2247</v>
      </c>
      <c r="F54" s="824">
        <v>0.21</v>
      </c>
      <c r="G54" s="832">
        <v>3179.05</v>
      </c>
      <c r="H54" s="824"/>
      <c r="I54" s="824" t="s">
        <v>2248</v>
      </c>
      <c r="J54" s="836" t="s">
        <v>2249</v>
      </c>
      <c r="K54" s="794"/>
    </row>
    <row r="55" ht="15.75" customHeight="1">
      <c r="A55" s="826">
        <v>45.0</v>
      </c>
      <c r="B55" s="920"/>
      <c r="C55" s="824" t="s">
        <v>2230</v>
      </c>
      <c r="D55" s="824" t="s">
        <v>2252</v>
      </c>
      <c r="E55" s="824" t="s">
        <v>1274</v>
      </c>
      <c r="F55" s="824">
        <v>0.97</v>
      </c>
      <c r="G55" s="832">
        <v>2481.2</v>
      </c>
      <c r="H55" s="930" t="s">
        <v>1596</v>
      </c>
      <c r="I55" s="824" t="s">
        <v>2261</v>
      </c>
      <c r="J55" s="836" t="s">
        <v>2262</v>
      </c>
      <c r="K55" s="794"/>
    </row>
    <row r="56" ht="15.75" customHeight="1">
      <c r="A56" s="826">
        <v>46.0</v>
      </c>
      <c r="B56" s="920" t="s">
        <v>2263</v>
      </c>
      <c r="C56" s="824" t="s">
        <v>2264</v>
      </c>
      <c r="D56" s="824" t="s">
        <v>2218</v>
      </c>
      <c r="E56" s="824" t="s">
        <v>2265</v>
      </c>
      <c r="F56" s="824">
        <v>0.97</v>
      </c>
      <c r="G56" s="832">
        <v>2481.2</v>
      </c>
      <c r="H56" s="930" t="s">
        <v>1596</v>
      </c>
      <c r="I56" s="824" t="s">
        <v>2266</v>
      </c>
      <c r="J56" s="836" t="s">
        <v>2267</v>
      </c>
      <c r="K56" s="794"/>
    </row>
    <row r="57" ht="15.75" customHeight="1">
      <c r="A57" s="826">
        <v>47.0</v>
      </c>
      <c r="B57" s="920" t="s">
        <v>2263</v>
      </c>
      <c r="C57" s="824" t="s">
        <v>2268</v>
      </c>
      <c r="D57" s="824" t="s">
        <v>2269</v>
      </c>
      <c r="E57" s="824" t="s">
        <v>2270</v>
      </c>
      <c r="F57" s="824">
        <v>0.26</v>
      </c>
      <c r="G57" s="832">
        <v>4960.0</v>
      </c>
      <c r="H57" s="824"/>
      <c r="I57" s="824" t="s">
        <v>346</v>
      </c>
      <c r="J57" s="895" t="s">
        <v>2271</v>
      </c>
      <c r="K57" s="794"/>
    </row>
    <row r="58" ht="15.75" customHeight="1">
      <c r="A58" s="826">
        <v>48.0</v>
      </c>
      <c r="B58" s="828" t="s">
        <v>2272</v>
      </c>
      <c r="C58" s="824" t="s">
        <v>2273</v>
      </c>
      <c r="D58" s="824" t="s">
        <v>2274</v>
      </c>
      <c r="E58" s="824" t="s">
        <v>2275</v>
      </c>
      <c r="F58" s="824">
        <v>0.3</v>
      </c>
      <c r="G58" s="832">
        <v>4398.1</v>
      </c>
      <c r="H58" s="824"/>
      <c r="I58" s="824" t="s">
        <v>2276</v>
      </c>
      <c r="J58" s="836" t="s">
        <v>2277</v>
      </c>
      <c r="K58" s="794"/>
    </row>
    <row r="59" ht="15.75" customHeight="1">
      <c r="A59" s="826">
        <v>49.0</v>
      </c>
      <c r="B59" s="920" t="s">
        <v>2279</v>
      </c>
      <c r="C59" s="824" t="s">
        <v>2280</v>
      </c>
      <c r="D59" s="824" t="s">
        <v>2203</v>
      </c>
      <c r="E59" s="824" t="s">
        <v>2281</v>
      </c>
      <c r="F59" s="824">
        <v>0.21</v>
      </c>
      <c r="G59" s="832">
        <v>2672.4</v>
      </c>
      <c r="H59" s="930" t="s">
        <v>1596</v>
      </c>
      <c r="I59" s="824" t="s">
        <v>2055</v>
      </c>
      <c r="J59" s="836" t="s">
        <v>2282</v>
      </c>
      <c r="K59" s="794"/>
    </row>
    <row r="60" ht="15.75" customHeight="1">
      <c r="A60" s="826">
        <v>50.0</v>
      </c>
      <c r="B60" s="920" t="s">
        <v>2283</v>
      </c>
      <c r="C60" s="824" t="s">
        <v>2284</v>
      </c>
      <c r="D60" s="824" t="s">
        <v>2285</v>
      </c>
      <c r="E60" s="824" t="s">
        <v>1300</v>
      </c>
      <c r="F60" s="824">
        <v>0.53</v>
      </c>
      <c r="G60" s="832">
        <v>22910.0</v>
      </c>
      <c r="H60" s="910" t="s">
        <v>2286</v>
      </c>
      <c r="I60" s="824" t="s">
        <v>2287</v>
      </c>
      <c r="J60" s="836" t="s">
        <v>2288</v>
      </c>
      <c r="K60" s="794"/>
    </row>
    <row r="61" ht="15.75" customHeight="1">
      <c r="A61" s="935">
        <v>51.0</v>
      </c>
      <c r="B61" s="939" t="s">
        <v>2283</v>
      </c>
      <c r="C61" s="609" t="s">
        <v>2316</v>
      </c>
      <c r="D61" s="609" t="s">
        <v>2218</v>
      </c>
      <c r="E61" s="609" t="s">
        <v>2028</v>
      </c>
      <c r="F61" s="609">
        <v>0.11</v>
      </c>
      <c r="G61" s="943">
        <v>2182.05</v>
      </c>
      <c r="H61" s="609"/>
      <c r="I61" s="609" t="s">
        <v>346</v>
      </c>
      <c r="J61" s="933" t="s">
        <v>2338</v>
      </c>
      <c r="K61" s="946"/>
    </row>
    <row r="62" ht="15.75" customHeight="1">
      <c r="A62" s="826">
        <v>52.0</v>
      </c>
      <c r="B62" s="920" t="s">
        <v>2344</v>
      </c>
      <c r="C62" s="824" t="s">
        <v>2345</v>
      </c>
      <c r="D62" s="824" t="s">
        <v>2203</v>
      </c>
      <c r="E62" s="824" t="s">
        <v>2348</v>
      </c>
      <c r="F62" s="824">
        <v>0.49</v>
      </c>
      <c r="G62" s="832">
        <v>127280.0</v>
      </c>
      <c r="H62" s="824" t="s">
        <v>2350</v>
      </c>
      <c r="I62" s="824" t="s">
        <v>2242</v>
      </c>
      <c r="J62" s="836" t="s">
        <v>2351</v>
      </c>
      <c r="K62" s="794"/>
    </row>
    <row r="63" ht="15.75" customHeight="1">
      <c r="A63" s="826">
        <v>53.0</v>
      </c>
      <c r="B63" s="828" t="s">
        <v>2353</v>
      </c>
      <c r="C63" s="824" t="s">
        <v>2354</v>
      </c>
      <c r="D63" s="824" t="s">
        <v>84</v>
      </c>
      <c r="E63" s="824" t="s">
        <v>2356</v>
      </c>
      <c r="F63" s="824">
        <v>0.44</v>
      </c>
      <c r="G63" s="832">
        <v>39230.0</v>
      </c>
      <c r="H63" s="910" t="s">
        <v>2357</v>
      </c>
      <c r="I63" s="824" t="s">
        <v>2358</v>
      </c>
      <c r="J63" s="836" t="s">
        <v>2360</v>
      </c>
      <c r="K63" s="794"/>
    </row>
    <row r="64" ht="15.75" customHeight="1">
      <c r="A64" s="826">
        <v>54.0</v>
      </c>
      <c r="B64" s="828" t="s">
        <v>2361</v>
      </c>
      <c r="C64" s="824" t="s">
        <v>2362</v>
      </c>
      <c r="D64" s="824" t="s">
        <v>2203</v>
      </c>
      <c r="E64" s="824" t="s">
        <v>1300</v>
      </c>
      <c r="F64" s="824">
        <v>0.19</v>
      </c>
      <c r="G64" s="832">
        <v>2800.0</v>
      </c>
      <c r="H64" s="824"/>
      <c r="I64" s="824" t="s">
        <v>2242</v>
      </c>
      <c r="J64" s="836" t="s">
        <v>2363</v>
      </c>
      <c r="K64" s="794"/>
    </row>
    <row r="65" ht="15.75" customHeight="1">
      <c r="A65" s="826">
        <v>55.0</v>
      </c>
      <c r="B65" s="828" t="s">
        <v>2361</v>
      </c>
      <c r="C65" s="824" t="s">
        <v>2364</v>
      </c>
      <c r="D65" s="824" t="s">
        <v>2203</v>
      </c>
      <c r="E65" s="824" t="s">
        <v>2365</v>
      </c>
      <c r="F65" s="824">
        <v>0.66</v>
      </c>
      <c r="G65" s="832">
        <v>27000.0</v>
      </c>
      <c r="H65" s="910" t="s">
        <v>2366</v>
      </c>
      <c r="I65" s="824" t="s">
        <v>2242</v>
      </c>
      <c r="J65" s="836" t="s">
        <v>2367</v>
      </c>
      <c r="K65" s="794"/>
    </row>
    <row r="66" ht="15.75" customHeight="1">
      <c r="A66" s="826">
        <v>56.0</v>
      </c>
      <c r="B66" s="828" t="s">
        <v>2368</v>
      </c>
      <c r="C66" s="824" t="s">
        <v>2369</v>
      </c>
      <c r="D66" s="824" t="s">
        <v>2214</v>
      </c>
      <c r="E66" s="824" t="s">
        <v>1046</v>
      </c>
      <c r="F66" s="824">
        <v>0.33</v>
      </c>
      <c r="G66" s="832">
        <v>34900.0</v>
      </c>
      <c r="H66" s="910" t="s">
        <v>2370</v>
      </c>
      <c r="I66" s="824" t="s">
        <v>2138</v>
      </c>
      <c r="J66" s="836" t="s">
        <v>2371</v>
      </c>
      <c r="K66" s="794"/>
    </row>
    <row r="67" ht="15.75" customHeight="1">
      <c r="A67" s="826">
        <v>57.0</v>
      </c>
      <c r="B67" s="828" t="s">
        <v>2372</v>
      </c>
      <c r="C67" s="824" t="s">
        <v>2373</v>
      </c>
      <c r="D67" s="824" t="s">
        <v>2374</v>
      </c>
      <c r="E67" s="824" t="s">
        <v>2375</v>
      </c>
      <c r="F67" s="824">
        <v>0.66</v>
      </c>
      <c r="G67" s="832">
        <v>11172.0</v>
      </c>
      <c r="H67" s="824"/>
      <c r="I67" s="824" t="s">
        <v>2376</v>
      </c>
      <c r="J67" s="836" t="s">
        <v>2377</v>
      </c>
      <c r="K67" s="794"/>
    </row>
    <row r="68" ht="15.75" customHeight="1">
      <c r="A68" s="826">
        <v>58.0</v>
      </c>
      <c r="B68" s="828" t="s">
        <v>2378</v>
      </c>
      <c r="C68" s="824" t="s">
        <v>2379</v>
      </c>
      <c r="D68" s="824" t="s">
        <v>2203</v>
      </c>
      <c r="E68" s="824" t="s">
        <v>2380</v>
      </c>
      <c r="F68" s="824">
        <v>0.31</v>
      </c>
      <c r="G68" s="832">
        <v>4725.0</v>
      </c>
      <c r="H68" s="824"/>
      <c r="I68" s="824" t="s">
        <v>2242</v>
      </c>
      <c r="J68" s="836" t="s">
        <v>2381</v>
      </c>
      <c r="K68" s="794"/>
    </row>
    <row r="69" ht="15.75" customHeight="1">
      <c r="A69" s="826">
        <v>59.0</v>
      </c>
      <c r="B69" s="828" t="s">
        <v>2382</v>
      </c>
      <c r="C69" s="824" t="s">
        <v>2383</v>
      </c>
      <c r="D69" s="824" t="s">
        <v>2384</v>
      </c>
      <c r="E69" s="824" t="s">
        <v>2385</v>
      </c>
      <c r="F69" s="824">
        <v>0.1</v>
      </c>
      <c r="G69" s="832">
        <v>1540.0</v>
      </c>
      <c r="H69" s="930" t="s">
        <v>2386</v>
      </c>
      <c r="I69" s="824" t="s">
        <v>2242</v>
      </c>
      <c r="J69" s="836" t="s">
        <v>2387</v>
      </c>
      <c r="K69" s="794"/>
    </row>
    <row r="70" ht="15.75" customHeight="1">
      <c r="A70" s="826">
        <v>60.0</v>
      </c>
      <c r="B70" s="828" t="s">
        <v>2388</v>
      </c>
      <c r="C70" s="824" t="s">
        <v>2389</v>
      </c>
      <c r="D70" s="824" t="s">
        <v>2214</v>
      </c>
      <c r="E70" s="824" t="s">
        <v>2391</v>
      </c>
      <c r="F70" s="824">
        <v>1.61</v>
      </c>
      <c r="G70" s="832">
        <v>24681.3</v>
      </c>
      <c r="H70" s="824"/>
      <c r="I70" s="824" t="s">
        <v>2138</v>
      </c>
      <c r="J70" s="836" t="s">
        <v>2393</v>
      </c>
      <c r="K70" s="794"/>
    </row>
    <row r="71" ht="15.75" customHeight="1">
      <c r="A71" s="826">
        <v>61.0</v>
      </c>
      <c r="B71" s="828" t="s">
        <v>2394</v>
      </c>
      <c r="C71" s="824" t="s">
        <v>2395</v>
      </c>
      <c r="D71" s="824" t="s">
        <v>2223</v>
      </c>
      <c r="E71" s="824" t="s">
        <v>2396</v>
      </c>
      <c r="F71" s="824">
        <v>1.09</v>
      </c>
      <c r="G71" s="832">
        <v>31130.45</v>
      </c>
      <c r="H71" s="930" t="s">
        <v>2397</v>
      </c>
      <c r="I71" s="824" t="s">
        <v>2399</v>
      </c>
      <c r="J71" s="836" t="s">
        <v>2401</v>
      </c>
      <c r="K71" s="794"/>
    </row>
    <row r="72" ht="15.75" customHeight="1">
      <c r="A72" s="826">
        <v>62.0</v>
      </c>
      <c r="B72" s="828" t="s">
        <v>2404</v>
      </c>
      <c r="C72" s="824" t="s">
        <v>2406</v>
      </c>
      <c r="D72" s="824" t="s">
        <v>2407</v>
      </c>
      <c r="E72" s="824" t="s">
        <v>2408</v>
      </c>
      <c r="F72" s="824">
        <v>0.43</v>
      </c>
      <c r="G72" s="832">
        <v>6370.0</v>
      </c>
      <c r="H72" s="824"/>
      <c r="I72" s="824" t="s">
        <v>2168</v>
      </c>
      <c r="J72" s="836" t="s">
        <v>2409</v>
      </c>
      <c r="K72" s="794"/>
    </row>
    <row r="73" ht="15.75" customHeight="1">
      <c r="A73" s="826">
        <v>63.0</v>
      </c>
      <c r="B73" s="920" t="s">
        <v>2410</v>
      </c>
      <c r="C73" s="824" t="s">
        <v>2150</v>
      </c>
      <c r="D73" s="824" t="s">
        <v>2411</v>
      </c>
      <c r="E73" s="824" t="s">
        <v>2412</v>
      </c>
      <c r="F73" s="824">
        <v>7.33</v>
      </c>
      <c r="G73" s="832">
        <v>123814.23</v>
      </c>
      <c r="H73" s="930" t="s">
        <v>2413</v>
      </c>
      <c r="I73" s="824" t="s">
        <v>2414</v>
      </c>
      <c r="J73" s="836" t="s">
        <v>2415</v>
      </c>
      <c r="K73" s="794"/>
    </row>
    <row r="74" ht="15.75" customHeight="1">
      <c r="A74" s="826">
        <v>64.0</v>
      </c>
      <c r="B74" s="828" t="s">
        <v>2418</v>
      </c>
      <c r="C74" s="824" t="s">
        <v>2419</v>
      </c>
      <c r="D74" s="824" t="s">
        <v>1954</v>
      </c>
      <c r="E74" s="824" t="s">
        <v>2420</v>
      </c>
      <c r="F74" s="824">
        <v>0.64</v>
      </c>
      <c r="G74" s="832">
        <v>9777.4</v>
      </c>
      <c r="H74" s="824"/>
      <c r="I74" s="824" t="s">
        <v>2276</v>
      </c>
      <c r="J74" s="836" t="s">
        <v>2421</v>
      </c>
      <c r="K74" s="794"/>
    </row>
    <row r="75" ht="15.75" customHeight="1">
      <c r="A75" s="826">
        <v>65.0</v>
      </c>
      <c r="B75" s="828" t="s">
        <v>2423</v>
      </c>
      <c r="C75" s="824" t="s">
        <v>2067</v>
      </c>
      <c r="D75" s="824" t="s">
        <v>1954</v>
      </c>
      <c r="E75" s="824" t="s">
        <v>2424</v>
      </c>
      <c r="F75" s="824">
        <v>1.32</v>
      </c>
      <c r="G75" s="832">
        <v>19635.0</v>
      </c>
      <c r="H75" s="824"/>
      <c r="I75" s="824" t="s">
        <v>2276</v>
      </c>
      <c r="J75" s="836" t="s">
        <v>2425</v>
      </c>
      <c r="K75" s="794"/>
    </row>
    <row r="76" ht="15.75" customHeight="1">
      <c r="A76" s="826">
        <v>66.0</v>
      </c>
      <c r="B76" s="828" t="s">
        <v>2428</v>
      </c>
      <c r="C76" s="824" t="s">
        <v>2429</v>
      </c>
      <c r="D76" s="824" t="s">
        <v>2214</v>
      </c>
      <c r="E76" s="824" t="s">
        <v>2432</v>
      </c>
      <c r="F76" s="824">
        <v>0.18</v>
      </c>
      <c r="G76" s="832">
        <v>17660.0</v>
      </c>
      <c r="H76" s="824"/>
      <c r="I76" s="824" t="s">
        <v>2168</v>
      </c>
      <c r="J76" s="836" t="s">
        <v>2436</v>
      </c>
      <c r="K76" s="794"/>
    </row>
    <row r="77" ht="15.75" customHeight="1">
      <c r="A77" s="826">
        <v>67.0</v>
      </c>
      <c r="B77" s="920" t="s">
        <v>2437</v>
      </c>
      <c r="C77" s="824" t="s">
        <v>2439</v>
      </c>
      <c r="D77" s="824" t="s">
        <v>2203</v>
      </c>
      <c r="E77" s="824" t="s">
        <v>2442</v>
      </c>
      <c r="F77" s="824">
        <v>0.31</v>
      </c>
      <c r="G77" s="832">
        <v>39725.0</v>
      </c>
      <c r="H77" s="910" t="s">
        <v>2449</v>
      </c>
      <c r="I77" s="824" t="s">
        <v>2450</v>
      </c>
      <c r="J77" s="836" t="s">
        <v>2452</v>
      </c>
      <c r="K77" s="794"/>
    </row>
    <row r="78" ht="15.75" customHeight="1">
      <c r="A78" s="826">
        <v>68.0</v>
      </c>
      <c r="B78" s="920" t="s">
        <v>2437</v>
      </c>
      <c r="C78" s="824" t="s">
        <v>2453</v>
      </c>
      <c r="D78" s="824" t="s">
        <v>2454</v>
      </c>
      <c r="E78" s="824" t="s">
        <v>2455</v>
      </c>
      <c r="F78" s="824">
        <v>1.33</v>
      </c>
      <c r="G78" s="832">
        <v>29785.85</v>
      </c>
      <c r="H78" s="930" t="s">
        <v>2386</v>
      </c>
      <c r="I78" s="824" t="s">
        <v>2456</v>
      </c>
      <c r="J78" s="836" t="s">
        <v>2457</v>
      </c>
      <c r="K78" s="794"/>
    </row>
    <row r="79" ht="15.75" customHeight="1">
      <c r="A79" s="935"/>
      <c r="B79" s="939" t="s">
        <v>2458</v>
      </c>
      <c r="C79" s="609" t="s">
        <v>2459</v>
      </c>
      <c r="D79" s="609"/>
      <c r="E79" s="609" t="s">
        <v>2460</v>
      </c>
      <c r="F79" s="609">
        <v>0.361</v>
      </c>
      <c r="G79" s="943"/>
      <c r="H79" s="957"/>
      <c r="I79" s="609"/>
      <c r="J79" s="933" t="s">
        <v>2466</v>
      </c>
      <c r="K79" s="946"/>
    </row>
    <row r="80" ht="15.75" customHeight="1">
      <c r="A80" s="826">
        <v>69.0</v>
      </c>
      <c r="B80" s="920" t="s">
        <v>2467</v>
      </c>
      <c r="C80" s="824" t="s">
        <v>2144</v>
      </c>
      <c r="D80" s="824" t="s">
        <v>2411</v>
      </c>
      <c r="E80" s="824" t="s">
        <v>2468</v>
      </c>
      <c r="F80" s="824">
        <v>0.24</v>
      </c>
      <c r="G80" s="832">
        <v>38500.0</v>
      </c>
      <c r="H80" s="961" t="s">
        <v>2469</v>
      </c>
      <c r="I80" s="824" t="s">
        <v>2505</v>
      </c>
      <c r="J80" s="836" t="s">
        <v>2507</v>
      </c>
      <c r="K80" s="794"/>
    </row>
    <row r="81" ht="15.75" customHeight="1">
      <c r="A81" s="826">
        <v>70.0</v>
      </c>
      <c r="B81" s="828" t="s">
        <v>2514</v>
      </c>
      <c r="C81" s="824" t="s">
        <v>2516</v>
      </c>
      <c r="D81" s="824" t="s">
        <v>2203</v>
      </c>
      <c r="E81" s="824" t="s">
        <v>2518</v>
      </c>
      <c r="F81" s="824">
        <v>0.33</v>
      </c>
      <c r="G81" s="832">
        <v>20625.6</v>
      </c>
      <c r="H81" s="930" t="s">
        <v>2522</v>
      </c>
      <c r="I81" s="824" t="s">
        <v>2242</v>
      </c>
      <c r="J81" s="836" t="s">
        <v>2524</v>
      </c>
      <c r="K81" s="794"/>
    </row>
    <row r="82" ht="15.75" customHeight="1">
      <c r="A82" s="826">
        <v>71.0</v>
      </c>
      <c r="B82" s="920" t="s">
        <v>2527</v>
      </c>
      <c r="C82" s="824" t="s">
        <v>2528</v>
      </c>
      <c r="D82" s="824" t="s">
        <v>2214</v>
      </c>
      <c r="E82" s="824" t="s">
        <v>2530</v>
      </c>
      <c r="F82" s="824">
        <v>0.62</v>
      </c>
      <c r="G82" s="832">
        <v>141179.2</v>
      </c>
      <c r="H82" s="910" t="s">
        <v>2532</v>
      </c>
      <c r="I82" s="824" t="s">
        <v>2168</v>
      </c>
      <c r="J82" s="836" t="s">
        <v>2534</v>
      </c>
      <c r="K82" s="794"/>
    </row>
    <row r="83" ht="15.75" customHeight="1">
      <c r="A83" s="826">
        <v>72.0</v>
      </c>
      <c r="B83" s="920" t="s">
        <v>2538</v>
      </c>
      <c r="C83" s="824" t="s">
        <v>1400</v>
      </c>
      <c r="D83" s="824" t="s">
        <v>2223</v>
      </c>
      <c r="E83" s="824" t="s">
        <v>2541</v>
      </c>
      <c r="F83" s="824">
        <v>2.05</v>
      </c>
      <c r="G83" s="832">
        <v>24681.3</v>
      </c>
      <c r="H83" s="824"/>
      <c r="I83" s="824" t="s">
        <v>2544</v>
      </c>
      <c r="J83" s="836" t="s">
        <v>2545</v>
      </c>
      <c r="K83" s="794"/>
    </row>
    <row r="84" ht="15.75" customHeight="1">
      <c r="A84" s="826">
        <v>73.0</v>
      </c>
      <c r="B84" s="920" t="s">
        <v>2538</v>
      </c>
      <c r="C84" s="824" t="s">
        <v>2548</v>
      </c>
      <c r="D84" s="824" t="s">
        <v>2549</v>
      </c>
      <c r="E84" s="824" t="s">
        <v>36</v>
      </c>
      <c r="F84" s="824">
        <v>0.43</v>
      </c>
      <c r="G84" s="832">
        <v>22903.0</v>
      </c>
      <c r="H84" s="930" t="s">
        <v>2386</v>
      </c>
      <c r="I84" s="824" t="s">
        <v>2456</v>
      </c>
      <c r="J84" s="836" t="s">
        <v>2552</v>
      </c>
      <c r="K84" s="794"/>
    </row>
    <row r="85" ht="15.75" customHeight="1">
      <c r="A85" s="826">
        <v>74.0</v>
      </c>
      <c r="B85" s="920" t="s">
        <v>2554</v>
      </c>
      <c r="C85" s="824" t="s">
        <v>2555</v>
      </c>
      <c r="D85" s="824" t="s">
        <v>2214</v>
      </c>
      <c r="E85" s="824" t="s">
        <v>2556</v>
      </c>
      <c r="F85" s="824">
        <v>0.54</v>
      </c>
      <c r="G85" s="832">
        <v>43085.0</v>
      </c>
      <c r="H85" s="910" t="s">
        <v>2557</v>
      </c>
      <c r="I85" s="824" t="s">
        <v>2559</v>
      </c>
      <c r="J85" s="836" t="s">
        <v>2561</v>
      </c>
      <c r="K85" s="794"/>
    </row>
    <row r="86" ht="15.75" customHeight="1">
      <c r="A86" s="826">
        <v>75.0</v>
      </c>
      <c r="B86" s="920" t="s">
        <v>2554</v>
      </c>
      <c r="C86" s="824" t="s">
        <v>2555</v>
      </c>
      <c r="D86" s="824" t="s">
        <v>2214</v>
      </c>
      <c r="E86" s="824" t="s">
        <v>2564</v>
      </c>
      <c r="F86" s="824">
        <v>0.51</v>
      </c>
      <c r="G86" s="832">
        <v>42595.0</v>
      </c>
      <c r="H86" s="910" t="s">
        <v>2565</v>
      </c>
      <c r="I86" s="824" t="s">
        <v>2559</v>
      </c>
      <c r="J86" s="836" t="s">
        <v>2566</v>
      </c>
      <c r="K86" s="794"/>
    </row>
    <row r="87" ht="15.75" customHeight="1">
      <c r="A87" s="826">
        <v>76.0</v>
      </c>
      <c r="B87" s="920" t="s">
        <v>2554</v>
      </c>
      <c r="C87" s="824" t="s">
        <v>2555</v>
      </c>
      <c r="D87" s="824" t="s">
        <v>2214</v>
      </c>
      <c r="E87" s="824" t="s">
        <v>879</v>
      </c>
      <c r="F87" s="824">
        <v>0.52</v>
      </c>
      <c r="G87" s="832">
        <v>42735.0</v>
      </c>
      <c r="H87" s="910" t="s">
        <v>2567</v>
      </c>
      <c r="I87" s="824" t="s">
        <v>2559</v>
      </c>
      <c r="J87" s="836" t="s">
        <v>2568</v>
      </c>
      <c r="K87" s="794"/>
    </row>
    <row r="88" ht="15.75" customHeight="1">
      <c r="A88" s="893">
        <v>77.0</v>
      </c>
      <c r="B88" s="968" t="s">
        <v>2571</v>
      </c>
      <c r="C88" s="883" t="s">
        <v>2577</v>
      </c>
      <c r="D88" s="883" t="s">
        <v>2223</v>
      </c>
      <c r="E88" s="883" t="s">
        <v>2578</v>
      </c>
      <c r="F88" s="887"/>
      <c r="G88" s="899">
        <v>26800.0</v>
      </c>
      <c r="H88" s="883" t="s">
        <v>2579</v>
      </c>
      <c r="I88" s="883" t="s">
        <v>346</v>
      </c>
      <c r="J88" s="970" t="s">
        <v>1284</v>
      </c>
      <c r="K88" s="794"/>
    </row>
    <row r="89" ht="15.75" customHeight="1">
      <c r="A89" s="826">
        <v>78.0</v>
      </c>
      <c r="B89" s="920" t="s">
        <v>2571</v>
      </c>
      <c r="C89" s="824" t="s">
        <v>2581</v>
      </c>
      <c r="D89" s="824" t="s">
        <v>2582</v>
      </c>
      <c r="E89" s="824" t="s">
        <v>2583</v>
      </c>
      <c r="F89" s="824">
        <v>0.16</v>
      </c>
      <c r="G89" s="832">
        <v>37345.0</v>
      </c>
      <c r="H89" s="925" t="s">
        <v>2584</v>
      </c>
      <c r="I89" s="824" t="s">
        <v>2376</v>
      </c>
      <c r="J89" s="836" t="s">
        <v>2585</v>
      </c>
      <c r="K89" s="794"/>
    </row>
    <row r="90" ht="15.75" customHeight="1">
      <c r="A90" s="826">
        <v>79.0</v>
      </c>
      <c r="B90" s="920" t="s">
        <v>2571</v>
      </c>
      <c r="C90" s="824" t="s">
        <v>2586</v>
      </c>
      <c r="D90" s="824" t="s">
        <v>2203</v>
      </c>
      <c r="E90" s="824" t="s">
        <v>2526</v>
      </c>
      <c r="F90" s="824">
        <v>0.45</v>
      </c>
      <c r="G90" s="832">
        <v>18755.0</v>
      </c>
      <c r="H90" s="930" t="s">
        <v>2587</v>
      </c>
      <c r="I90" s="824" t="s">
        <v>346</v>
      </c>
      <c r="J90" s="836" t="s">
        <v>2588</v>
      </c>
      <c r="K90" s="794"/>
    </row>
    <row r="91" ht="15.75" customHeight="1">
      <c r="A91" s="826">
        <v>80.0</v>
      </c>
      <c r="B91" s="920" t="s">
        <v>2589</v>
      </c>
      <c r="C91" s="824" t="s">
        <v>2590</v>
      </c>
      <c r="D91" s="824" t="s">
        <v>1560</v>
      </c>
      <c r="E91" s="824" t="s">
        <v>2592</v>
      </c>
      <c r="F91" s="824">
        <v>1.99</v>
      </c>
      <c r="G91" s="832">
        <v>31400.0</v>
      </c>
      <c r="H91" s="824"/>
      <c r="I91" s="824" t="s">
        <v>346</v>
      </c>
      <c r="J91" s="836" t="s">
        <v>2593</v>
      </c>
      <c r="K91" s="794"/>
    </row>
    <row r="92" ht="15.75" customHeight="1">
      <c r="A92" s="826">
        <v>81.0</v>
      </c>
      <c r="B92" s="828" t="s">
        <v>2594</v>
      </c>
      <c r="C92" s="824" t="s">
        <v>2595</v>
      </c>
      <c r="D92" s="824" t="s">
        <v>2582</v>
      </c>
      <c r="E92" s="824" t="s">
        <v>2596</v>
      </c>
      <c r="F92" s="824">
        <v>0.58</v>
      </c>
      <c r="G92" s="832">
        <v>11440.0</v>
      </c>
      <c r="H92" s="824"/>
      <c r="I92" s="824" t="s">
        <v>2599</v>
      </c>
      <c r="J92" s="836" t="s">
        <v>2600</v>
      </c>
      <c r="K92" s="794"/>
    </row>
    <row r="93" ht="15.75" customHeight="1">
      <c r="A93" s="826">
        <v>82.0</v>
      </c>
      <c r="B93" s="920" t="s">
        <v>2601</v>
      </c>
      <c r="C93" s="824" t="s">
        <v>2602</v>
      </c>
      <c r="D93" s="824" t="s">
        <v>2269</v>
      </c>
      <c r="E93" s="824" t="s">
        <v>2603</v>
      </c>
      <c r="F93" s="824">
        <v>0.25</v>
      </c>
      <c r="G93" s="832">
        <v>4716.0</v>
      </c>
      <c r="H93" s="824"/>
      <c r="I93" s="824" t="s">
        <v>346</v>
      </c>
      <c r="J93" s="836" t="s">
        <v>2604</v>
      </c>
      <c r="K93" s="794"/>
    </row>
    <row r="94" ht="15.75" customHeight="1">
      <c r="A94" s="826">
        <v>83.0</v>
      </c>
      <c r="B94" s="920" t="s">
        <v>2605</v>
      </c>
      <c r="C94" s="824" t="s">
        <v>2606</v>
      </c>
      <c r="D94" s="824" t="s">
        <v>2214</v>
      </c>
      <c r="E94" s="824" t="s">
        <v>1011</v>
      </c>
      <c r="F94" s="824">
        <v>0.32</v>
      </c>
      <c r="G94" s="832">
        <v>34725.0</v>
      </c>
      <c r="H94" s="910" t="s">
        <v>2607</v>
      </c>
      <c r="I94" s="824" t="s">
        <v>2608</v>
      </c>
      <c r="J94" s="836" t="s">
        <v>2609</v>
      </c>
      <c r="K94" s="794"/>
    </row>
    <row r="95" ht="15.75" customHeight="1">
      <c r="A95" s="826">
        <v>84.0</v>
      </c>
      <c r="B95" s="920" t="s">
        <v>2610</v>
      </c>
      <c r="C95" s="824" t="s">
        <v>1585</v>
      </c>
      <c r="D95" s="824" t="s">
        <v>2214</v>
      </c>
      <c r="E95" s="824" t="s">
        <v>2611</v>
      </c>
      <c r="F95" s="824">
        <v>1.34</v>
      </c>
      <c r="G95" s="832">
        <v>19880.0</v>
      </c>
      <c r="H95" s="824"/>
      <c r="I95" s="824" t="s">
        <v>2608</v>
      </c>
      <c r="J95" s="836" t="s">
        <v>2612</v>
      </c>
      <c r="K95" s="794"/>
    </row>
    <row r="96" ht="15.75" customHeight="1">
      <c r="A96" s="826">
        <v>85.0</v>
      </c>
      <c r="B96" s="920" t="s">
        <v>2613</v>
      </c>
      <c r="C96" s="824" t="s">
        <v>2614</v>
      </c>
      <c r="D96" s="824" t="s">
        <v>2203</v>
      </c>
      <c r="E96" s="824" t="s">
        <v>2615</v>
      </c>
      <c r="F96" s="824">
        <v>0.05</v>
      </c>
      <c r="G96" s="832">
        <v>1250.0</v>
      </c>
      <c r="H96" s="824"/>
      <c r="I96" s="824" t="s">
        <v>2242</v>
      </c>
      <c r="J96" s="836" t="s">
        <v>2616</v>
      </c>
      <c r="K96" s="794"/>
    </row>
    <row r="97" ht="15.75" customHeight="1">
      <c r="A97" s="826">
        <v>86.0</v>
      </c>
      <c r="B97" s="920" t="s">
        <v>2617</v>
      </c>
      <c r="C97" s="824" t="s">
        <v>1585</v>
      </c>
      <c r="D97" s="824" t="s">
        <v>2214</v>
      </c>
      <c r="E97" s="824" t="s">
        <v>2081</v>
      </c>
      <c r="F97" s="824">
        <v>1.34</v>
      </c>
      <c r="G97" s="832">
        <v>19880.0</v>
      </c>
      <c r="H97" s="824"/>
      <c r="I97" s="824" t="s">
        <v>2619</v>
      </c>
      <c r="J97" s="836" t="s">
        <v>2545</v>
      </c>
      <c r="K97" s="794"/>
    </row>
    <row r="98" ht="15.75" customHeight="1">
      <c r="A98" s="826">
        <v>87.0</v>
      </c>
      <c r="B98" s="828" t="s">
        <v>2621</v>
      </c>
      <c r="C98" s="824" t="s">
        <v>2622</v>
      </c>
      <c r="D98" s="824" t="s">
        <v>2203</v>
      </c>
      <c r="E98" s="824" t="s">
        <v>2623</v>
      </c>
      <c r="F98" s="824">
        <v>0.17</v>
      </c>
      <c r="G98" s="832">
        <v>11537.5</v>
      </c>
      <c r="H98" s="930" t="s">
        <v>2624</v>
      </c>
      <c r="I98" s="824" t="s">
        <v>2242</v>
      </c>
      <c r="J98" s="836" t="s">
        <v>2625</v>
      </c>
      <c r="K98" s="794"/>
    </row>
    <row r="99" ht="15.75" customHeight="1">
      <c r="A99" s="826">
        <v>88.0</v>
      </c>
      <c r="B99" s="828" t="s">
        <v>2621</v>
      </c>
      <c r="C99" s="824" t="s">
        <v>2166</v>
      </c>
      <c r="D99" s="824" t="s">
        <v>2214</v>
      </c>
      <c r="E99" s="824" t="s">
        <v>2626</v>
      </c>
      <c r="F99" s="824">
        <v>0.32</v>
      </c>
      <c r="G99" s="832">
        <v>19569.1</v>
      </c>
      <c r="H99" s="930" t="s">
        <v>2624</v>
      </c>
      <c r="I99" s="824" t="s">
        <v>2627</v>
      </c>
      <c r="J99" s="836" t="s">
        <v>2628</v>
      </c>
      <c r="K99" s="794"/>
    </row>
    <row r="100" ht="15.75" customHeight="1">
      <c r="A100" s="826">
        <v>89.0</v>
      </c>
      <c r="B100" s="828" t="s">
        <v>2629</v>
      </c>
      <c r="C100" s="824" t="s">
        <v>2630</v>
      </c>
      <c r="D100" s="824" t="s">
        <v>2214</v>
      </c>
      <c r="E100" s="824" t="s">
        <v>1300</v>
      </c>
      <c r="F100" s="824">
        <v>0.33</v>
      </c>
      <c r="G100" s="832">
        <v>19900.0</v>
      </c>
      <c r="H100" s="910" t="s">
        <v>2631</v>
      </c>
      <c r="I100" s="824" t="s">
        <v>2632</v>
      </c>
      <c r="J100" s="836" t="s">
        <v>2633</v>
      </c>
      <c r="K100" s="794"/>
    </row>
    <row r="101" ht="15.75" customHeight="1">
      <c r="A101" s="826">
        <v>90.0</v>
      </c>
      <c r="B101" s="828" t="s">
        <v>2629</v>
      </c>
      <c r="C101" s="824" t="s">
        <v>2630</v>
      </c>
      <c r="D101" s="824" t="s">
        <v>2214</v>
      </c>
      <c r="E101" s="824" t="s">
        <v>879</v>
      </c>
      <c r="F101" s="824">
        <v>0.39</v>
      </c>
      <c r="G101" s="832">
        <v>20312.0</v>
      </c>
      <c r="H101" s="910" t="s">
        <v>2637</v>
      </c>
      <c r="I101" s="824" t="s">
        <v>2632</v>
      </c>
      <c r="J101" s="836" t="s">
        <v>2640</v>
      </c>
      <c r="K101" s="794"/>
    </row>
    <row r="102" ht="15.75" customHeight="1">
      <c r="A102" s="826">
        <v>91.0</v>
      </c>
      <c r="B102" s="828" t="s">
        <v>2641</v>
      </c>
      <c r="C102" s="824" t="s">
        <v>2642</v>
      </c>
      <c r="D102" s="824" t="s">
        <v>2214</v>
      </c>
      <c r="E102" s="824" t="s">
        <v>2644</v>
      </c>
      <c r="F102" s="824"/>
      <c r="G102" s="832">
        <v>1200.0</v>
      </c>
      <c r="H102" s="824"/>
      <c r="I102" s="824" t="s">
        <v>2619</v>
      </c>
      <c r="J102" s="836" t="s">
        <v>2645</v>
      </c>
      <c r="K102" s="794"/>
    </row>
    <row r="103" ht="15.75" customHeight="1">
      <c r="A103" s="826">
        <v>92.0</v>
      </c>
      <c r="B103" s="828" t="s">
        <v>2646</v>
      </c>
      <c r="C103" s="824" t="s">
        <v>2647</v>
      </c>
      <c r="D103" s="824" t="s">
        <v>2648</v>
      </c>
      <c r="E103" s="824" t="s">
        <v>2649</v>
      </c>
      <c r="F103" s="824">
        <v>1.38</v>
      </c>
      <c r="G103" s="832">
        <v>17523.31</v>
      </c>
      <c r="H103" s="824"/>
      <c r="I103" s="824" t="s">
        <v>2650</v>
      </c>
      <c r="J103" s="836" t="s">
        <v>2651</v>
      </c>
      <c r="K103" s="794"/>
    </row>
    <row r="104" ht="15.75" customHeight="1">
      <c r="A104" s="826">
        <v>93.0</v>
      </c>
      <c r="B104" s="828" t="s">
        <v>2652</v>
      </c>
      <c r="C104" s="824" t="s">
        <v>2653</v>
      </c>
      <c r="D104" s="824" t="s">
        <v>2454</v>
      </c>
      <c r="E104" s="824" t="s">
        <v>2380</v>
      </c>
      <c r="F104" s="824">
        <v>0.54</v>
      </c>
      <c r="G104" s="832">
        <v>39160.0</v>
      </c>
      <c r="H104" s="930" t="s">
        <v>2654</v>
      </c>
      <c r="I104" s="824" t="s">
        <v>2456</v>
      </c>
      <c r="J104" s="836" t="s">
        <v>2656</v>
      </c>
      <c r="K104" s="794"/>
    </row>
    <row r="105" ht="15.75" customHeight="1">
      <c r="A105" s="826">
        <v>94.0</v>
      </c>
      <c r="B105" s="828" t="s">
        <v>2657</v>
      </c>
      <c r="C105" s="824" t="s">
        <v>2658</v>
      </c>
      <c r="D105" s="824" t="s">
        <v>2214</v>
      </c>
      <c r="E105" s="824" t="s">
        <v>193</v>
      </c>
      <c r="F105" s="824">
        <v>0.61</v>
      </c>
      <c r="G105" s="832">
        <v>9100.0</v>
      </c>
      <c r="H105" s="824"/>
      <c r="I105" s="824" t="s">
        <v>2661</v>
      </c>
      <c r="J105" s="836" t="s">
        <v>2662</v>
      </c>
      <c r="K105" s="794"/>
    </row>
    <row r="106" ht="15.75" customHeight="1">
      <c r="A106" s="826">
        <v>95.0</v>
      </c>
      <c r="B106" s="828" t="s">
        <v>2657</v>
      </c>
      <c r="C106" s="824" t="s">
        <v>2118</v>
      </c>
      <c r="D106" s="824" t="s">
        <v>2454</v>
      </c>
      <c r="E106" s="824" t="s">
        <v>1013</v>
      </c>
      <c r="F106" s="824">
        <v>0.45</v>
      </c>
      <c r="G106" s="832">
        <v>7632.0</v>
      </c>
      <c r="H106" s="824"/>
      <c r="I106" s="824" t="s">
        <v>2121</v>
      </c>
      <c r="J106" s="836" t="s">
        <v>2666</v>
      </c>
      <c r="K106" s="794"/>
    </row>
    <row r="107" ht="15.75" customHeight="1">
      <c r="A107" s="826">
        <v>96.0</v>
      </c>
      <c r="B107" s="828" t="s">
        <v>2667</v>
      </c>
      <c r="C107" s="824" t="s">
        <v>2668</v>
      </c>
      <c r="D107" s="824" t="s">
        <v>2214</v>
      </c>
      <c r="E107" s="824" t="s">
        <v>2669</v>
      </c>
      <c r="F107" s="824">
        <v>0.17</v>
      </c>
      <c r="G107" s="832">
        <v>3500.0</v>
      </c>
      <c r="H107" s="824"/>
      <c r="I107" s="824" t="s">
        <v>2670</v>
      </c>
      <c r="J107" s="836" t="s">
        <v>2671</v>
      </c>
      <c r="K107" s="794"/>
    </row>
    <row r="108" ht="15.75" customHeight="1">
      <c r="A108" s="826">
        <v>97.0</v>
      </c>
      <c r="B108" s="828" t="s">
        <v>2667</v>
      </c>
      <c r="C108" s="824" t="s">
        <v>2280</v>
      </c>
      <c r="D108" s="824" t="s">
        <v>2203</v>
      </c>
      <c r="E108" s="824" t="s">
        <v>2672</v>
      </c>
      <c r="F108" s="824">
        <v>0.18</v>
      </c>
      <c r="G108" s="832">
        <v>4730.0</v>
      </c>
      <c r="H108" s="840" t="s">
        <v>2673</v>
      </c>
      <c r="I108" s="824" t="s">
        <v>2055</v>
      </c>
      <c r="J108" s="836" t="s">
        <v>2674</v>
      </c>
      <c r="K108" s="794"/>
    </row>
    <row r="109" ht="15.75" customHeight="1">
      <c r="A109" s="826">
        <v>98.0</v>
      </c>
      <c r="B109" s="828" t="s">
        <v>2667</v>
      </c>
      <c r="C109" s="824" t="s">
        <v>2675</v>
      </c>
      <c r="D109" s="824" t="s">
        <v>2203</v>
      </c>
      <c r="E109" s="824" t="s">
        <v>2676</v>
      </c>
      <c r="F109" s="824">
        <v>0.32</v>
      </c>
      <c r="G109" s="832">
        <v>20440.0</v>
      </c>
      <c r="H109" s="910" t="s">
        <v>2678</v>
      </c>
      <c r="I109" s="824" t="s">
        <v>2055</v>
      </c>
      <c r="J109" s="836" t="s">
        <v>2679</v>
      </c>
      <c r="K109" s="794"/>
    </row>
    <row r="110" ht="15.75" customHeight="1">
      <c r="A110" s="826">
        <v>99.0</v>
      </c>
      <c r="B110" s="828" t="s">
        <v>2681</v>
      </c>
      <c r="C110" s="824" t="s">
        <v>2682</v>
      </c>
      <c r="D110" s="824" t="s">
        <v>2203</v>
      </c>
      <c r="E110" s="824" t="s">
        <v>2684</v>
      </c>
      <c r="F110" s="824">
        <v>0.25</v>
      </c>
      <c r="G110" s="832">
        <v>34240.0</v>
      </c>
      <c r="H110" s="910" t="s">
        <v>2686</v>
      </c>
      <c r="I110" s="824" t="s">
        <v>2055</v>
      </c>
      <c r="J110" s="836" t="s">
        <v>2687</v>
      </c>
      <c r="K110" s="794"/>
    </row>
    <row r="111" ht="15.75" customHeight="1">
      <c r="A111" s="826">
        <v>100.0</v>
      </c>
      <c r="B111" s="828" t="s">
        <v>2681</v>
      </c>
      <c r="C111" s="824" t="s">
        <v>2688</v>
      </c>
      <c r="D111" s="824" t="s">
        <v>1954</v>
      </c>
      <c r="E111" s="824" t="s">
        <v>2689</v>
      </c>
      <c r="F111" s="824">
        <v>0.4</v>
      </c>
      <c r="G111" s="832">
        <v>27672.5</v>
      </c>
      <c r="H111" s="930" t="s">
        <v>1596</v>
      </c>
      <c r="I111" s="824" t="s">
        <v>2690</v>
      </c>
      <c r="J111" s="836" t="s">
        <v>2691</v>
      </c>
      <c r="K111" s="794"/>
    </row>
    <row r="112" ht="15.75" customHeight="1">
      <c r="A112" s="826">
        <v>101.0</v>
      </c>
      <c r="B112" s="828" t="s">
        <v>2693</v>
      </c>
      <c r="C112" s="824" t="s">
        <v>2694</v>
      </c>
      <c r="D112" s="824" t="s">
        <v>2203</v>
      </c>
      <c r="E112" s="824" t="s">
        <v>2695</v>
      </c>
      <c r="F112" s="824">
        <v>0.17</v>
      </c>
      <c r="G112" s="832">
        <v>5732.0</v>
      </c>
      <c r="H112" s="930"/>
      <c r="I112" s="824" t="s">
        <v>2055</v>
      </c>
      <c r="J112" s="836" t="s">
        <v>2698</v>
      </c>
      <c r="K112" s="794"/>
    </row>
    <row r="113" ht="15.75" customHeight="1">
      <c r="A113" s="826">
        <v>102.0</v>
      </c>
      <c r="B113" s="828" t="s">
        <v>2700</v>
      </c>
      <c r="C113" s="824" t="s">
        <v>2429</v>
      </c>
      <c r="D113" s="824" t="s">
        <v>2214</v>
      </c>
      <c r="E113" s="824" t="s">
        <v>2152</v>
      </c>
      <c r="F113" s="824">
        <v>0.15</v>
      </c>
      <c r="G113" s="832">
        <v>40066.0</v>
      </c>
      <c r="H113" s="930" t="s">
        <v>2701</v>
      </c>
      <c r="I113" s="824" t="s">
        <v>2703</v>
      </c>
      <c r="J113" s="836" t="s">
        <v>2704</v>
      </c>
      <c r="K113" s="794"/>
    </row>
    <row r="114" ht="15.75" customHeight="1">
      <c r="A114" s="847">
        <v>103.0</v>
      </c>
      <c r="B114" s="851" t="s">
        <v>2705</v>
      </c>
      <c r="C114" s="824" t="s">
        <v>1497</v>
      </c>
      <c r="D114" s="824" t="s">
        <v>2214</v>
      </c>
      <c r="E114" s="824" t="s">
        <v>427</v>
      </c>
      <c r="F114" s="824">
        <v>0.5</v>
      </c>
      <c r="G114" s="832">
        <v>32420.0</v>
      </c>
      <c r="H114" s="910" t="s">
        <v>2706</v>
      </c>
      <c r="I114" s="824" t="s">
        <v>2707</v>
      </c>
      <c r="J114" s="836" t="s">
        <v>2708</v>
      </c>
      <c r="K114" s="794"/>
    </row>
    <row r="115" ht="15.75" customHeight="1">
      <c r="A115" s="978">
        <v>104.0</v>
      </c>
      <c r="B115" s="828" t="s">
        <v>2720</v>
      </c>
      <c r="C115" s="981" t="s">
        <v>2721</v>
      </c>
      <c r="D115" s="824" t="s">
        <v>2582</v>
      </c>
      <c r="E115" s="824" t="s">
        <v>2725</v>
      </c>
      <c r="F115" s="824">
        <v>0.45</v>
      </c>
      <c r="G115" s="832">
        <v>7600.0</v>
      </c>
      <c r="H115" s="824"/>
      <c r="I115" s="824" t="s">
        <v>2726</v>
      </c>
      <c r="J115" s="836" t="s">
        <v>2727</v>
      </c>
      <c r="K115" s="794"/>
    </row>
    <row r="116" ht="15.75" customHeight="1">
      <c r="A116" s="978">
        <v>105.0</v>
      </c>
      <c r="B116" s="828" t="s">
        <v>2720</v>
      </c>
      <c r="C116" s="981" t="s">
        <v>2728</v>
      </c>
      <c r="D116" s="883" t="s">
        <v>2729</v>
      </c>
      <c r="E116" s="883" t="s">
        <v>2730</v>
      </c>
      <c r="F116" s="824">
        <v>1.45</v>
      </c>
      <c r="G116" s="832">
        <v>24640.0</v>
      </c>
      <c r="H116" s="930"/>
      <c r="I116" s="824" t="s">
        <v>1969</v>
      </c>
      <c r="J116" s="895" t="s">
        <v>2733</v>
      </c>
      <c r="K116" s="794"/>
    </row>
    <row r="117" ht="15.75" customHeight="1">
      <c r="A117" s="978">
        <v>106.0</v>
      </c>
      <c r="B117" s="828" t="s">
        <v>2734</v>
      </c>
      <c r="C117" s="981" t="s">
        <v>2735</v>
      </c>
      <c r="D117" s="824" t="s">
        <v>2736</v>
      </c>
      <c r="E117" s="824" t="s">
        <v>2737</v>
      </c>
      <c r="F117" s="985">
        <v>0.14</v>
      </c>
      <c r="G117" s="832">
        <v>4765.6</v>
      </c>
      <c r="H117" s="930" t="s">
        <v>1396</v>
      </c>
      <c r="I117" s="824" t="s">
        <v>2741</v>
      </c>
      <c r="J117" s="836" t="s">
        <v>2742</v>
      </c>
      <c r="K117" s="794"/>
    </row>
    <row r="118" ht="15.75" customHeight="1">
      <c r="A118" s="978">
        <v>107.0</v>
      </c>
      <c r="B118" s="828" t="s">
        <v>2743</v>
      </c>
      <c r="C118" s="981" t="s">
        <v>2744</v>
      </c>
      <c r="D118" s="824" t="s">
        <v>2648</v>
      </c>
      <c r="E118" s="824" t="s">
        <v>2745</v>
      </c>
      <c r="F118" s="985">
        <v>0.24</v>
      </c>
      <c r="G118" s="832">
        <v>3593.45</v>
      </c>
      <c r="H118" s="930" t="s">
        <v>2746</v>
      </c>
      <c r="I118" s="824" t="s">
        <v>2747</v>
      </c>
      <c r="J118" s="836" t="s">
        <v>2749</v>
      </c>
      <c r="K118" s="794"/>
    </row>
    <row r="119" ht="15.75" customHeight="1">
      <c r="A119" s="978">
        <v>108.0</v>
      </c>
      <c r="B119" s="828" t="s">
        <v>2751</v>
      </c>
      <c r="C119" s="981" t="s">
        <v>2752</v>
      </c>
      <c r="D119" s="824" t="s">
        <v>2753</v>
      </c>
      <c r="E119" s="824" t="s">
        <v>2754</v>
      </c>
      <c r="F119" s="985">
        <v>11.01</v>
      </c>
      <c r="G119" s="832">
        <v>265115.6</v>
      </c>
      <c r="H119" s="910" t="s">
        <v>2755</v>
      </c>
      <c r="I119" s="824" t="s">
        <v>2756</v>
      </c>
      <c r="J119" s="836" t="s">
        <v>2757</v>
      </c>
      <c r="K119" s="794"/>
    </row>
    <row r="120" ht="15.75" customHeight="1">
      <c r="A120" s="978">
        <v>109.0</v>
      </c>
      <c r="B120" s="828" t="s">
        <v>2758</v>
      </c>
      <c r="C120" s="981" t="s">
        <v>1298</v>
      </c>
      <c r="D120" s="824" t="s">
        <v>2411</v>
      </c>
      <c r="E120" s="824" t="s">
        <v>2760</v>
      </c>
      <c r="F120" s="985">
        <v>1.48</v>
      </c>
      <c r="G120" s="832">
        <v>22025.85</v>
      </c>
      <c r="H120" s="990" t="s">
        <v>1396</v>
      </c>
      <c r="I120" s="824" t="s">
        <v>2788</v>
      </c>
      <c r="J120" s="836" t="s">
        <v>2789</v>
      </c>
      <c r="K120" s="794"/>
    </row>
    <row r="121" ht="15.75" customHeight="1">
      <c r="A121" s="978">
        <v>110.0</v>
      </c>
      <c r="B121" s="828" t="s">
        <v>2790</v>
      </c>
      <c r="C121" s="981" t="s">
        <v>2791</v>
      </c>
      <c r="D121" s="824" t="s">
        <v>2208</v>
      </c>
      <c r="E121" s="824" t="s">
        <v>2792</v>
      </c>
      <c r="F121" s="985">
        <v>0.41</v>
      </c>
      <c r="G121" s="832">
        <v>13050.0</v>
      </c>
      <c r="H121" s="824"/>
      <c r="I121" s="824" t="s">
        <v>2793</v>
      </c>
      <c r="J121" s="836" t="s">
        <v>2794</v>
      </c>
      <c r="K121" s="794"/>
    </row>
    <row r="122" ht="15.75" customHeight="1">
      <c r="A122" s="978">
        <v>111.0</v>
      </c>
      <c r="B122" s="828" t="s">
        <v>2795</v>
      </c>
      <c r="C122" s="981" t="s">
        <v>2796</v>
      </c>
      <c r="D122" s="883" t="s">
        <v>2797</v>
      </c>
      <c r="E122" s="824" t="s">
        <v>2798</v>
      </c>
      <c r="F122" s="985">
        <v>0.89</v>
      </c>
      <c r="G122" s="832">
        <v>15106.4</v>
      </c>
      <c r="H122" s="840" t="s">
        <v>1396</v>
      </c>
      <c r="I122" s="824" t="s">
        <v>2799</v>
      </c>
      <c r="J122" s="836" t="s">
        <v>2800</v>
      </c>
      <c r="K122" s="794"/>
    </row>
    <row r="123" ht="15.75" customHeight="1">
      <c r="A123" s="978">
        <v>112.0</v>
      </c>
      <c r="B123" s="897" t="s">
        <v>2801</v>
      </c>
      <c r="C123" s="994" t="s">
        <v>2803</v>
      </c>
      <c r="D123" s="883" t="s">
        <v>2736</v>
      </c>
      <c r="E123" s="883" t="s">
        <v>2817</v>
      </c>
      <c r="F123" s="998">
        <v>0.19</v>
      </c>
      <c r="G123" s="899">
        <v>3144.0</v>
      </c>
      <c r="H123" s="961" t="s">
        <v>2831</v>
      </c>
      <c r="I123" s="883" t="s">
        <v>2741</v>
      </c>
      <c r="J123" s="895" t="s">
        <v>2832</v>
      </c>
      <c r="K123" s="794"/>
    </row>
    <row r="124" ht="15.75" customHeight="1">
      <c r="A124" s="978">
        <v>113.0</v>
      </c>
      <c r="B124" s="828" t="s">
        <v>2833</v>
      </c>
      <c r="C124" s="994" t="s">
        <v>2803</v>
      </c>
      <c r="D124" s="883" t="s">
        <v>2736</v>
      </c>
      <c r="E124" s="824" t="s">
        <v>2834</v>
      </c>
      <c r="F124" s="985">
        <v>0.28</v>
      </c>
      <c r="G124" s="832">
        <v>4800.0</v>
      </c>
      <c r="H124" s="961" t="s">
        <v>2835</v>
      </c>
      <c r="I124" s="883" t="s">
        <v>2741</v>
      </c>
      <c r="J124" s="836" t="s">
        <v>2836</v>
      </c>
      <c r="K124" s="794"/>
    </row>
    <row r="125" ht="15.75" customHeight="1">
      <c r="A125" s="978">
        <v>114.0</v>
      </c>
      <c r="B125" s="897" t="s">
        <v>2833</v>
      </c>
      <c r="C125" s="994" t="s">
        <v>2803</v>
      </c>
      <c r="D125" s="883" t="s">
        <v>2736</v>
      </c>
      <c r="E125" s="883" t="s">
        <v>2837</v>
      </c>
      <c r="F125" s="998">
        <v>0.61</v>
      </c>
      <c r="G125" s="899">
        <v>10320.0</v>
      </c>
      <c r="H125" s="961" t="s">
        <v>2838</v>
      </c>
      <c r="I125" s="883" t="s">
        <v>2741</v>
      </c>
      <c r="J125" s="895" t="s">
        <v>2839</v>
      </c>
      <c r="K125" s="794"/>
    </row>
    <row r="126" ht="15.75" customHeight="1">
      <c r="A126" s="978">
        <v>115.0</v>
      </c>
      <c r="B126" s="828" t="s">
        <v>2833</v>
      </c>
      <c r="C126" s="994" t="s">
        <v>2675</v>
      </c>
      <c r="D126" s="883" t="s">
        <v>2736</v>
      </c>
      <c r="E126" s="883" t="s">
        <v>2817</v>
      </c>
      <c r="F126" s="998">
        <v>0.24</v>
      </c>
      <c r="G126" s="899">
        <v>4000.0</v>
      </c>
      <c r="H126" s="961" t="s">
        <v>2841</v>
      </c>
      <c r="I126" s="883" t="s">
        <v>2741</v>
      </c>
      <c r="J126" s="895" t="s">
        <v>2842</v>
      </c>
      <c r="K126" s="794"/>
    </row>
    <row r="127" ht="15.75" customHeight="1">
      <c r="A127" s="978">
        <v>116.0</v>
      </c>
      <c r="B127" s="897" t="s">
        <v>2843</v>
      </c>
      <c r="C127" s="994" t="s">
        <v>2675</v>
      </c>
      <c r="D127" s="883" t="s">
        <v>2736</v>
      </c>
      <c r="E127" s="883" t="s">
        <v>2844</v>
      </c>
      <c r="F127" s="998">
        <v>0.38</v>
      </c>
      <c r="G127" s="899">
        <v>6400.0</v>
      </c>
      <c r="H127" s="961" t="s">
        <v>2845</v>
      </c>
      <c r="I127" s="824" t="s">
        <v>2741</v>
      </c>
      <c r="J127" s="895" t="s">
        <v>2846</v>
      </c>
      <c r="K127" s="794"/>
    </row>
    <row r="128" ht="15.75" customHeight="1">
      <c r="A128" s="978">
        <v>117.0</v>
      </c>
      <c r="B128" s="897" t="s">
        <v>2847</v>
      </c>
      <c r="C128" s="994" t="s">
        <v>2848</v>
      </c>
      <c r="D128" s="883" t="s">
        <v>2849</v>
      </c>
      <c r="E128" s="883" t="s">
        <v>2850</v>
      </c>
      <c r="F128" s="998">
        <v>2.07</v>
      </c>
      <c r="G128" s="899">
        <v>35160.0</v>
      </c>
      <c r="H128" s="1001"/>
      <c r="I128" s="824" t="s">
        <v>346</v>
      </c>
      <c r="J128" s="895" t="s">
        <v>2851</v>
      </c>
      <c r="K128" s="794"/>
    </row>
    <row r="129" ht="15.75" customHeight="1">
      <c r="A129" s="978">
        <v>118.0</v>
      </c>
      <c r="B129" s="897" t="s">
        <v>2852</v>
      </c>
      <c r="C129" s="994" t="s">
        <v>2853</v>
      </c>
      <c r="D129" s="883" t="s">
        <v>2736</v>
      </c>
      <c r="E129" s="883" t="s">
        <v>2854</v>
      </c>
      <c r="F129" s="998">
        <v>1.33</v>
      </c>
      <c r="G129" s="899">
        <v>25406.0</v>
      </c>
      <c r="H129" s="1001" t="s">
        <v>1596</v>
      </c>
      <c r="I129" s="824" t="s">
        <v>2741</v>
      </c>
      <c r="J129" s="895" t="s">
        <v>2855</v>
      </c>
      <c r="K129" s="794"/>
    </row>
    <row r="130" ht="15.75" customHeight="1">
      <c r="A130" s="978">
        <v>119.0</v>
      </c>
      <c r="B130" s="897" t="s">
        <v>2856</v>
      </c>
      <c r="C130" s="994" t="s">
        <v>2857</v>
      </c>
      <c r="D130" s="883" t="s">
        <v>2736</v>
      </c>
      <c r="E130" s="883" t="s">
        <v>2858</v>
      </c>
      <c r="F130" s="998">
        <v>0.5</v>
      </c>
      <c r="G130" s="899">
        <v>9540.0</v>
      </c>
      <c r="H130" s="1001" t="s">
        <v>2859</v>
      </c>
      <c r="I130" s="824" t="s">
        <v>2741</v>
      </c>
      <c r="J130" s="895" t="s">
        <v>2860</v>
      </c>
      <c r="K130" s="794"/>
    </row>
    <row r="131" ht="15.75" customHeight="1">
      <c r="A131" s="978">
        <v>120.0</v>
      </c>
      <c r="B131" s="897" t="s">
        <v>2861</v>
      </c>
      <c r="C131" s="994" t="s">
        <v>2862</v>
      </c>
      <c r="D131" s="883" t="s">
        <v>2736</v>
      </c>
      <c r="E131" s="883" t="s">
        <v>2863</v>
      </c>
      <c r="F131" s="998">
        <v>0.42</v>
      </c>
      <c r="G131" s="899">
        <v>7200.0</v>
      </c>
      <c r="H131" s="588" t="s">
        <v>2864</v>
      </c>
      <c r="I131" s="824" t="s">
        <v>2741</v>
      </c>
      <c r="J131" s="895" t="s">
        <v>2865</v>
      </c>
      <c r="K131" s="794"/>
    </row>
    <row r="132" ht="15.75" customHeight="1">
      <c r="A132" s="1007">
        <v>121.0</v>
      </c>
      <c r="B132" s="1013" t="s">
        <v>2877</v>
      </c>
      <c r="C132" s="883" t="s">
        <v>2130</v>
      </c>
      <c r="D132" s="883" t="s">
        <v>2736</v>
      </c>
      <c r="E132" s="883" t="s">
        <v>2356</v>
      </c>
      <c r="F132" s="998">
        <v>0.32</v>
      </c>
      <c r="G132" s="899">
        <v>5520.0</v>
      </c>
      <c r="H132" s="1001" t="s">
        <v>1596</v>
      </c>
      <c r="I132" s="824" t="s">
        <v>2741</v>
      </c>
      <c r="J132" s="895" t="s">
        <v>2898</v>
      </c>
      <c r="K132" s="794"/>
    </row>
    <row r="133" ht="15.75" customHeight="1">
      <c r="A133" s="826">
        <v>122.0</v>
      </c>
      <c r="B133" s="897" t="s">
        <v>2877</v>
      </c>
      <c r="C133" s="883" t="s">
        <v>2130</v>
      </c>
      <c r="D133" s="883" t="s">
        <v>2736</v>
      </c>
      <c r="E133" s="883" t="s">
        <v>1046</v>
      </c>
      <c r="F133" s="998">
        <v>0.86</v>
      </c>
      <c r="G133" s="899">
        <v>14600.0</v>
      </c>
      <c r="H133" s="1001" t="s">
        <v>1596</v>
      </c>
      <c r="I133" s="824" t="s">
        <v>2242</v>
      </c>
      <c r="J133" s="895" t="s">
        <v>2906</v>
      </c>
      <c r="K133" s="794"/>
    </row>
    <row r="134" ht="56.25" customHeight="1">
      <c r="A134" s="893">
        <v>123.0</v>
      </c>
      <c r="B134" s="897" t="s">
        <v>2909</v>
      </c>
      <c r="C134" s="883" t="s">
        <v>2848</v>
      </c>
      <c r="D134" s="883" t="s">
        <v>2911</v>
      </c>
      <c r="E134" s="883" t="s">
        <v>2913</v>
      </c>
      <c r="F134" s="998">
        <v>1.13</v>
      </c>
      <c r="G134" s="899">
        <v>19200.0</v>
      </c>
      <c r="H134" s="883"/>
      <c r="I134" s="883" t="s">
        <v>2456</v>
      </c>
      <c r="J134" s="895" t="s">
        <v>2915</v>
      </c>
      <c r="K134" s="1016" t="s">
        <v>2917</v>
      </c>
    </row>
    <row r="135" ht="15.75" customHeight="1">
      <c r="A135" s="826">
        <v>124.0</v>
      </c>
      <c r="B135" s="897" t="s">
        <v>2924</v>
      </c>
      <c r="C135" s="883" t="s">
        <v>2925</v>
      </c>
      <c r="D135" s="883" t="s">
        <v>2926</v>
      </c>
      <c r="E135" s="883" t="s">
        <v>2927</v>
      </c>
      <c r="F135" s="998">
        <v>0.77</v>
      </c>
      <c r="G135" s="899">
        <v>12980.0</v>
      </c>
      <c r="H135" s="883"/>
      <c r="I135" s="824" t="s">
        <v>2456</v>
      </c>
      <c r="J135" s="895" t="s">
        <v>2928</v>
      </c>
      <c r="K135" s="794"/>
    </row>
    <row r="136" ht="15.75" customHeight="1">
      <c r="A136" s="826">
        <v>125.0</v>
      </c>
      <c r="B136" s="897" t="s">
        <v>2929</v>
      </c>
      <c r="C136" s="883" t="s">
        <v>2930</v>
      </c>
      <c r="D136" s="883" t="s">
        <v>2582</v>
      </c>
      <c r="E136" s="883" t="s">
        <v>2931</v>
      </c>
      <c r="F136" s="998">
        <v>0.26</v>
      </c>
      <c r="G136" s="899">
        <v>3859.8</v>
      </c>
      <c r="H136" s="883"/>
      <c r="I136" s="824" t="s">
        <v>2726</v>
      </c>
      <c r="J136" s="1021" t="s">
        <v>2932</v>
      </c>
      <c r="K136" s="794"/>
    </row>
    <row r="137" ht="15.75" customHeight="1">
      <c r="A137" s="826">
        <v>126.0</v>
      </c>
      <c r="B137" s="897" t="s">
        <v>2934</v>
      </c>
      <c r="C137" s="883" t="s">
        <v>2935</v>
      </c>
      <c r="D137" s="883" t="s">
        <v>2214</v>
      </c>
      <c r="E137" s="883" t="s">
        <v>427</v>
      </c>
      <c r="F137" s="998">
        <v>0.24</v>
      </c>
      <c r="G137" s="899">
        <v>3500.0</v>
      </c>
      <c r="H137" s="961" t="s">
        <v>2936</v>
      </c>
      <c r="I137" s="824" t="s">
        <v>2608</v>
      </c>
      <c r="J137" s="895" t="s">
        <v>2937</v>
      </c>
      <c r="K137" s="794"/>
    </row>
    <row r="138" ht="42.75" customHeight="1">
      <c r="A138" s="935">
        <v>127.0</v>
      </c>
      <c r="B138" s="1023" t="s">
        <v>2938</v>
      </c>
      <c r="C138" s="609" t="s">
        <v>2925</v>
      </c>
      <c r="D138" s="609" t="s">
        <v>2926</v>
      </c>
      <c r="E138" s="609" t="s">
        <v>2939</v>
      </c>
      <c r="F138" s="1027">
        <v>0.4</v>
      </c>
      <c r="G138" s="943">
        <v>5961.0</v>
      </c>
      <c r="H138" s="1031"/>
      <c r="I138" s="609" t="s">
        <v>2456</v>
      </c>
      <c r="J138" s="933" t="s">
        <v>2963</v>
      </c>
      <c r="K138" s="1034" t="s">
        <v>2964</v>
      </c>
    </row>
    <row r="139" ht="64.5" customHeight="1">
      <c r="A139" s="893">
        <v>128.0</v>
      </c>
      <c r="B139" s="897" t="s">
        <v>2966</v>
      </c>
      <c r="C139" s="883" t="s">
        <v>2647</v>
      </c>
      <c r="D139" s="883" t="s">
        <v>2214</v>
      </c>
      <c r="E139" s="883" t="s">
        <v>2967</v>
      </c>
      <c r="F139" s="998">
        <v>1.05</v>
      </c>
      <c r="G139" s="899">
        <v>15575.0</v>
      </c>
      <c r="H139" s="961"/>
      <c r="I139" s="883" t="s">
        <v>2608</v>
      </c>
      <c r="J139" s="1036" t="s">
        <v>2968</v>
      </c>
      <c r="K139" s="883" t="s">
        <v>2969</v>
      </c>
    </row>
    <row r="140" ht="15.75" customHeight="1">
      <c r="A140" s="826">
        <v>129.0</v>
      </c>
      <c r="B140" s="897" t="s">
        <v>2970</v>
      </c>
      <c r="C140" s="883" t="s">
        <v>2063</v>
      </c>
      <c r="D140" s="883" t="s">
        <v>2203</v>
      </c>
      <c r="E140" s="883" t="s">
        <v>377</v>
      </c>
      <c r="F140" s="998">
        <v>0.3</v>
      </c>
      <c r="G140" s="899">
        <v>5080.0</v>
      </c>
      <c r="H140" s="961" t="s">
        <v>2936</v>
      </c>
      <c r="I140" s="824" t="s">
        <v>2055</v>
      </c>
      <c r="J140" s="991" t="s">
        <v>2971</v>
      </c>
      <c r="K140" s="794"/>
    </row>
    <row r="141" ht="15.75" customHeight="1">
      <c r="A141" s="1038">
        <v>130.0</v>
      </c>
      <c r="B141" s="1041" t="s">
        <v>2972</v>
      </c>
      <c r="C141" s="609" t="s">
        <v>2973</v>
      </c>
      <c r="D141" s="609" t="s">
        <v>2214</v>
      </c>
      <c r="E141" s="609" t="s">
        <v>2974</v>
      </c>
      <c r="F141" s="1027">
        <v>0.36</v>
      </c>
      <c r="G141" s="943">
        <v>28530.65</v>
      </c>
      <c r="H141" s="1031"/>
      <c r="I141" s="609" t="s">
        <v>2608</v>
      </c>
      <c r="J141" s="933" t="s">
        <v>2975</v>
      </c>
      <c r="K141" s="946"/>
    </row>
    <row r="142" ht="15.75" customHeight="1">
      <c r="A142" s="826">
        <v>131.0</v>
      </c>
      <c r="B142" s="897" t="s">
        <v>2972</v>
      </c>
      <c r="C142" s="883" t="s">
        <v>2976</v>
      </c>
      <c r="D142" s="883" t="s">
        <v>2214</v>
      </c>
      <c r="E142" s="883" t="s">
        <v>427</v>
      </c>
      <c r="F142" s="998">
        <v>2.03</v>
      </c>
      <c r="G142" s="899">
        <v>6809.0</v>
      </c>
      <c r="H142" s="961"/>
      <c r="I142" s="824" t="s">
        <v>2608</v>
      </c>
      <c r="J142" s="1021" t="s">
        <v>2977</v>
      </c>
      <c r="K142" s="794"/>
    </row>
    <row r="143" ht="15.75" customHeight="1">
      <c r="A143" s="802">
        <v>132.0</v>
      </c>
      <c r="B143" s="1045" t="s">
        <v>2978</v>
      </c>
      <c r="C143" s="883" t="s">
        <v>2369</v>
      </c>
      <c r="D143" s="883" t="s">
        <v>2736</v>
      </c>
      <c r="E143" s="883" t="s">
        <v>2979</v>
      </c>
      <c r="F143" s="998">
        <v>0.47</v>
      </c>
      <c r="G143" s="899">
        <v>8910.0</v>
      </c>
      <c r="H143" s="961" t="s">
        <v>2980</v>
      </c>
      <c r="I143" s="824" t="s">
        <v>2981</v>
      </c>
      <c r="J143" s="895" t="s">
        <v>2982</v>
      </c>
      <c r="K143" s="794"/>
    </row>
    <row r="144" ht="15.75" customHeight="1">
      <c r="A144" s="826">
        <v>133.0</v>
      </c>
      <c r="B144" s="897" t="s">
        <v>2978</v>
      </c>
      <c r="C144" s="883" t="s">
        <v>2983</v>
      </c>
      <c r="D144" s="883" t="s">
        <v>2984</v>
      </c>
      <c r="E144" s="883" t="s">
        <v>2985</v>
      </c>
      <c r="F144" s="998">
        <v>0.1</v>
      </c>
      <c r="G144" s="899">
        <v>1800.0</v>
      </c>
      <c r="H144" s="1001" t="s">
        <v>1596</v>
      </c>
      <c r="I144" s="824" t="s">
        <v>346</v>
      </c>
      <c r="J144" s="895" t="s">
        <v>2986</v>
      </c>
      <c r="K144" s="794"/>
    </row>
    <row r="145" ht="15.75" customHeight="1">
      <c r="A145" s="826">
        <v>134.0</v>
      </c>
      <c r="B145" s="897" t="s">
        <v>2987</v>
      </c>
      <c r="C145" s="883" t="s">
        <v>1023</v>
      </c>
      <c r="D145" s="883" t="s">
        <v>1954</v>
      </c>
      <c r="E145" s="883" t="s">
        <v>2989</v>
      </c>
      <c r="F145" s="998">
        <v>5.35</v>
      </c>
      <c r="G145" s="899">
        <v>2674.0</v>
      </c>
      <c r="H145" s="961" t="s">
        <v>2990</v>
      </c>
      <c r="I145" s="824" t="s">
        <v>346</v>
      </c>
      <c r="J145" s="895" t="s">
        <v>2991</v>
      </c>
      <c r="K145" s="794"/>
    </row>
    <row r="146" ht="15.75" customHeight="1">
      <c r="A146" s="826">
        <v>135.0</v>
      </c>
      <c r="B146" s="897" t="s">
        <v>2993</v>
      </c>
      <c r="C146" s="883" t="s">
        <v>2622</v>
      </c>
      <c r="D146" s="883" t="s">
        <v>2203</v>
      </c>
      <c r="E146" s="883" t="s">
        <v>2994</v>
      </c>
      <c r="F146" s="998">
        <v>0.27</v>
      </c>
      <c r="G146" s="899">
        <v>4640.0</v>
      </c>
      <c r="H146" s="961" t="s">
        <v>2995</v>
      </c>
      <c r="I146" s="824" t="s">
        <v>2996</v>
      </c>
      <c r="J146" s="895" t="s">
        <v>2997</v>
      </c>
      <c r="K146" s="794"/>
    </row>
    <row r="147" ht="15.75" customHeight="1">
      <c r="A147" s="826">
        <v>136.0</v>
      </c>
      <c r="B147" s="897" t="s">
        <v>2993</v>
      </c>
      <c r="C147" s="883" t="s">
        <v>2622</v>
      </c>
      <c r="D147" s="883" t="s">
        <v>2203</v>
      </c>
      <c r="E147" s="883" t="s">
        <v>2998</v>
      </c>
      <c r="F147" s="998">
        <v>0.28</v>
      </c>
      <c r="G147" s="899">
        <v>4800.0</v>
      </c>
      <c r="H147" s="961" t="s">
        <v>2936</v>
      </c>
      <c r="I147" s="824" t="s">
        <v>2996</v>
      </c>
      <c r="J147" s="895" t="s">
        <v>3000</v>
      </c>
      <c r="K147" s="794"/>
    </row>
    <row r="148" ht="15.75" customHeight="1">
      <c r="A148" s="826">
        <v>137.0</v>
      </c>
      <c r="B148" s="897" t="s">
        <v>3001</v>
      </c>
      <c r="C148" s="883" t="s">
        <v>3002</v>
      </c>
      <c r="D148" s="883" t="s">
        <v>2582</v>
      </c>
      <c r="E148" s="883" t="s">
        <v>3003</v>
      </c>
      <c r="F148" s="998">
        <v>0.14</v>
      </c>
      <c r="G148" s="899">
        <v>2346.4</v>
      </c>
      <c r="H148" s="961" t="s">
        <v>3004</v>
      </c>
      <c r="I148" s="824" t="s">
        <v>3005</v>
      </c>
      <c r="J148" s="895" t="s">
        <v>3006</v>
      </c>
      <c r="K148" s="794"/>
    </row>
    <row r="149" ht="15.75" customHeight="1">
      <c r="A149" s="826">
        <v>138.0</v>
      </c>
      <c r="B149" s="897" t="s">
        <v>3007</v>
      </c>
      <c r="C149" s="883" t="s">
        <v>3008</v>
      </c>
      <c r="D149" s="883" t="s">
        <v>2214</v>
      </c>
      <c r="E149" s="883" t="s">
        <v>1274</v>
      </c>
      <c r="F149" s="998">
        <v>0.19</v>
      </c>
      <c r="G149" s="899">
        <v>3306.8</v>
      </c>
      <c r="H149" s="961" t="s">
        <v>2936</v>
      </c>
      <c r="I149" s="824" t="s">
        <v>3010</v>
      </c>
      <c r="J149" s="895" t="s">
        <v>3011</v>
      </c>
      <c r="K149" s="794"/>
    </row>
    <row r="150" ht="15.75" customHeight="1">
      <c r="A150" s="826">
        <v>139.0</v>
      </c>
      <c r="B150" s="897" t="s">
        <v>3007</v>
      </c>
      <c r="C150" s="883" t="s">
        <v>2239</v>
      </c>
      <c r="D150" s="883" t="s">
        <v>2203</v>
      </c>
      <c r="E150" s="883" t="s">
        <v>3013</v>
      </c>
      <c r="F150" s="998">
        <v>0.18</v>
      </c>
      <c r="G150" s="899">
        <v>3375.0</v>
      </c>
      <c r="H150" s="961" t="s">
        <v>3015</v>
      </c>
      <c r="I150" s="824" t="s">
        <v>3016</v>
      </c>
      <c r="J150" s="895" t="s">
        <v>3017</v>
      </c>
      <c r="K150" s="794"/>
    </row>
    <row r="151" ht="15.75" customHeight="1">
      <c r="A151" s="826">
        <v>140.0</v>
      </c>
      <c r="B151" s="897" t="s">
        <v>3007</v>
      </c>
      <c r="C151" s="883" t="s">
        <v>2239</v>
      </c>
      <c r="D151" s="883" t="s">
        <v>2203</v>
      </c>
      <c r="E151" s="883" t="s">
        <v>3018</v>
      </c>
      <c r="F151" s="998">
        <v>0.28</v>
      </c>
      <c r="G151" s="899">
        <v>4455.0</v>
      </c>
      <c r="H151" s="961" t="s">
        <v>3015</v>
      </c>
      <c r="I151" s="824" t="s">
        <v>3016</v>
      </c>
      <c r="J151" s="895" t="s">
        <v>3019</v>
      </c>
      <c r="K151" s="794"/>
    </row>
    <row r="152" ht="15.75" customHeight="1">
      <c r="A152" s="1052"/>
      <c r="B152" s="1054" t="s">
        <v>200</v>
      </c>
      <c r="C152" s="1057"/>
      <c r="D152" s="1057"/>
      <c r="E152" s="1057"/>
      <c r="F152" s="1002">
        <f t="shared" ref="F152:G152" si="2">SUM(F21:F151)</f>
        <v>124.3458113</v>
      </c>
      <c r="G152" s="1063">
        <f t="shared" si="2"/>
        <v>3241586.64</v>
      </c>
      <c r="H152" s="1057"/>
      <c r="I152" s="1057"/>
      <c r="J152" s="1067"/>
      <c r="K152" s="1071"/>
    </row>
    <row r="153" ht="15.75" customHeight="1">
      <c r="A153" s="1075"/>
      <c r="B153" s="1079" t="s">
        <v>30</v>
      </c>
      <c r="C153" s="27"/>
      <c r="D153" s="27"/>
      <c r="E153" s="27"/>
      <c r="F153" s="27"/>
      <c r="G153" s="27"/>
      <c r="H153" s="27"/>
      <c r="I153" s="27"/>
      <c r="J153" s="800"/>
      <c r="K153" s="1081"/>
      <c r="L153" s="392"/>
    </row>
    <row r="154" ht="15.75" customHeight="1">
      <c r="A154" s="826">
        <v>1.0</v>
      </c>
      <c r="B154" s="1086" t="s">
        <v>3044</v>
      </c>
      <c r="C154" s="1090" t="s">
        <v>3047</v>
      </c>
      <c r="D154" s="1090" t="s">
        <v>3050</v>
      </c>
      <c r="E154" s="1090" t="s">
        <v>3051</v>
      </c>
      <c r="F154" s="1094">
        <v>3.014</v>
      </c>
      <c r="G154" s="860">
        <v>44727.76</v>
      </c>
      <c r="H154" s="1098"/>
      <c r="I154" s="1090" t="s">
        <v>3061</v>
      </c>
      <c r="J154" s="1101" t="s">
        <v>3064</v>
      </c>
      <c r="K154" s="794"/>
    </row>
    <row r="155" ht="15.75" customHeight="1">
      <c r="A155" s="1105"/>
      <c r="B155" s="1109" t="s">
        <v>200</v>
      </c>
      <c r="C155" s="1057"/>
      <c r="D155" s="1057"/>
      <c r="E155" s="1057"/>
      <c r="F155" s="1002">
        <f t="shared" ref="F155:G155" si="3">SUM(F154)</f>
        <v>3.014</v>
      </c>
      <c r="G155" s="1063">
        <f t="shared" si="3"/>
        <v>44727.76</v>
      </c>
      <c r="H155" s="1057"/>
      <c r="I155" s="1057"/>
      <c r="J155" s="1067"/>
      <c r="K155" s="1071"/>
      <c r="L155" s="392"/>
    </row>
    <row r="156" ht="15.75" customHeight="1">
      <c r="A156" s="1110"/>
      <c r="B156" s="1113" t="s">
        <v>390</v>
      </c>
      <c r="C156" s="27"/>
      <c r="D156" s="27"/>
      <c r="E156" s="27"/>
      <c r="F156" s="27"/>
      <c r="G156" s="27"/>
      <c r="H156" s="27"/>
      <c r="I156" s="27"/>
      <c r="J156" s="800"/>
      <c r="K156" s="1081"/>
      <c r="L156" s="392"/>
    </row>
    <row r="157" ht="15.75" customHeight="1">
      <c r="A157" s="802">
        <v>1.0</v>
      </c>
      <c r="B157" s="914" t="s">
        <v>2390</v>
      </c>
      <c r="C157" s="824" t="s">
        <v>3101</v>
      </c>
      <c r="D157" s="824" t="s">
        <v>1247</v>
      </c>
      <c r="E157" s="824" t="s">
        <v>879</v>
      </c>
      <c r="F157" s="1117">
        <f>232/424</f>
        <v>0.5471698113</v>
      </c>
      <c r="G157" s="832">
        <v>11600.0</v>
      </c>
      <c r="H157" s="925" t="s">
        <v>3106</v>
      </c>
      <c r="I157" s="824" t="s">
        <v>1247</v>
      </c>
      <c r="J157" s="836" t="s">
        <v>3107</v>
      </c>
      <c r="K157" s="794"/>
    </row>
    <row r="158" ht="15.75" customHeight="1">
      <c r="A158" s="802">
        <v>2.0</v>
      </c>
      <c r="B158" s="914" t="s">
        <v>3108</v>
      </c>
      <c r="C158" s="824" t="s">
        <v>3109</v>
      </c>
      <c r="D158" s="824" t="s">
        <v>1247</v>
      </c>
      <c r="E158" s="824" t="s">
        <v>3110</v>
      </c>
      <c r="F158" s="1117">
        <f>412/424</f>
        <v>0.9716981132</v>
      </c>
      <c r="G158" s="832">
        <v>2520.0</v>
      </c>
      <c r="H158" s="824"/>
      <c r="I158" s="824" t="s">
        <v>1247</v>
      </c>
      <c r="J158" s="836" t="s">
        <v>3117</v>
      </c>
      <c r="K158" s="794"/>
    </row>
    <row r="159" ht="15.75" customHeight="1">
      <c r="A159" s="802">
        <v>3.0</v>
      </c>
      <c r="B159" s="914" t="s">
        <v>2724</v>
      </c>
      <c r="C159" s="824" t="s">
        <v>2015</v>
      </c>
      <c r="D159" s="824" t="s">
        <v>1247</v>
      </c>
      <c r="E159" s="824" t="s">
        <v>3119</v>
      </c>
      <c r="F159" s="1117">
        <f>42/424</f>
        <v>0.09905660377</v>
      </c>
      <c r="G159" s="832">
        <v>2520.0</v>
      </c>
      <c r="H159" s="824"/>
      <c r="I159" s="824" t="s">
        <v>1247</v>
      </c>
      <c r="J159" s="1126" t="s">
        <v>682</v>
      </c>
      <c r="K159" s="794"/>
    </row>
    <row r="160" ht="15.75" customHeight="1">
      <c r="A160" s="1130">
        <v>4.0</v>
      </c>
      <c r="B160" s="1134" t="s">
        <v>3141</v>
      </c>
      <c r="C160" s="855" t="s">
        <v>2015</v>
      </c>
      <c r="D160" s="855" t="s">
        <v>3157</v>
      </c>
      <c r="E160" s="855" t="s">
        <v>3158</v>
      </c>
      <c r="F160" s="1136">
        <f>512/424</f>
        <v>1.20754717</v>
      </c>
      <c r="G160" s="860">
        <v>30720.0</v>
      </c>
      <c r="H160" s="855"/>
      <c r="I160" s="855" t="s">
        <v>3171</v>
      </c>
      <c r="J160" s="1101" t="s">
        <v>3172</v>
      </c>
      <c r="K160" s="794"/>
    </row>
    <row r="161" ht="84.75" customHeight="1">
      <c r="A161" s="1150">
        <v>5.0</v>
      </c>
      <c r="B161" s="1041" t="s">
        <v>3239</v>
      </c>
      <c r="C161" s="609" t="s">
        <v>3240</v>
      </c>
      <c r="D161" s="609" t="s">
        <v>3157</v>
      </c>
      <c r="E161" s="609" t="s">
        <v>3241</v>
      </c>
      <c r="F161" s="1154">
        <f>458/424</f>
        <v>1.080188679</v>
      </c>
      <c r="G161" s="943">
        <v>22900.0</v>
      </c>
      <c r="H161" s="609"/>
      <c r="I161" s="609" t="s">
        <v>1247</v>
      </c>
      <c r="J161" s="933" t="s">
        <v>3246</v>
      </c>
      <c r="K161" s="1034" t="s">
        <v>3247</v>
      </c>
    </row>
    <row r="162" ht="15.75" customHeight="1">
      <c r="A162" s="1007">
        <v>6.0</v>
      </c>
      <c r="B162" s="1157" t="s">
        <v>3248</v>
      </c>
      <c r="C162" s="1160" t="s">
        <v>3256</v>
      </c>
      <c r="D162" s="1160" t="s">
        <v>3157</v>
      </c>
      <c r="E162" s="1160" t="s">
        <v>3270</v>
      </c>
      <c r="F162" s="1164">
        <f>642/424</f>
        <v>1.514150943</v>
      </c>
      <c r="G162" s="1039">
        <v>31400.0</v>
      </c>
      <c r="H162" s="1160"/>
      <c r="I162" s="1160" t="s">
        <v>1247</v>
      </c>
      <c r="J162" s="1168" t="s">
        <v>557</v>
      </c>
      <c r="K162" s="794"/>
    </row>
    <row r="163" ht="15.75" customHeight="1">
      <c r="A163" s="893">
        <v>7.0</v>
      </c>
      <c r="B163" s="897" t="s">
        <v>3290</v>
      </c>
      <c r="C163" s="883" t="s">
        <v>3291</v>
      </c>
      <c r="D163" s="883" t="s">
        <v>3157</v>
      </c>
      <c r="E163" s="883" t="s">
        <v>2290</v>
      </c>
      <c r="F163" s="1170">
        <v>0.668</v>
      </c>
      <c r="G163" s="899">
        <v>14150.0</v>
      </c>
      <c r="H163" s="883"/>
      <c r="I163" s="883" t="s">
        <v>1247</v>
      </c>
      <c r="J163" s="895" t="s">
        <v>3297</v>
      </c>
      <c r="K163" s="794"/>
    </row>
    <row r="164" ht="15.75" customHeight="1">
      <c r="A164" s="935">
        <v>8.0</v>
      </c>
      <c r="B164" s="1023" t="s">
        <v>3298</v>
      </c>
      <c r="C164" s="609" t="s">
        <v>3299</v>
      </c>
      <c r="D164" s="609" t="s">
        <v>3300</v>
      </c>
      <c r="E164" s="609" t="s">
        <v>3301</v>
      </c>
      <c r="F164" s="1154">
        <f>224/424</f>
        <v>0.5283018868</v>
      </c>
      <c r="G164" s="943">
        <v>11200.0</v>
      </c>
      <c r="H164" s="609"/>
      <c r="I164" s="609" t="s">
        <v>1247</v>
      </c>
      <c r="J164" s="933" t="s">
        <v>3302</v>
      </c>
      <c r="K164" s="946"/>
    </row>
    <row r="165" ht="15.75" customHeight="1">
      <c r="A165" s="893">
        <v>9.0</v>
      </c>
      <c r="B165" s="897" t="s">
        <v>3303</v>
      </c>
      <c r="C165" s="883" t="s">
        <v>3304</v>
      </c>
      <c r="D165" s="883" t="s">
        <v>3300</v>
      </c>
      <c r="E165" s="883" t="s">
        <v>3305</v>
      </c>
      <c r="F165" s="1170">
        <v>0.236</v>
      </c>
      <c r="G165" s="899">
        <v>5000.0</v>
      </c>
      <c r="H165" s="883"/>
      <c r="I165" s="883" t="s">
        <v>1247</v>
      </c>
      <c r="J165" s="895" t="s">
        <v>3297</v>
      </c>
      <c r="K165" s="794"/>
    </row>
    <row r="166" ht="15.75" customHeight="1">
      <c r="A166" s="893"/>
      <c r="B166" s="897" t="s">
        <v>3306</v>
      </c>
      <c r="C166" s="883" t="s">
        <v>3240</v>
      </c>
      <c r="D166" s="883" t="s">
        <v>2256</v>
      </c>
      <c r="E166" s="883"/>
      <c r="F166" s="1170"/>
      <c r="G166" s="899"/>
      <c r="H166" s="883" t="s">
        <v>3307</v>
      </c>
      <c r="I166" s="883" t="s">
        <v>557</v>
      </c>
      <c r="J166" s="895" t="s">
        <v>3308</v>
      </c>
      <c r="K166" s="794"/>
    </row>
    <row r="167" ht="15.75" customHeight="1">
      <c r="A167" s="826">
        <v>10.0</v>
      </c>
      <c r="B167" s="828" t="s">
        <v>3306</v>
      </c>
      <c r="C167" s="824" t="s">
        <v>3310</v>
      </c>
      <c r="D167" s="824" t="s">
        <v>1247</v>
      </c>
      <c r="E167" s="824" t="s">
        <v>2380</v>
      </c>
      <c r="F167" s="1117">
        <v>0.26</v>
      </c>
      <c r="G167" s="832">
        <v>5500.0</v>
      </c>
      <c r="H167" s="824"/>
      <c r="I167" s="824" t="s">
        <v>1247</v>
      </c>
      <c r="J167" s="836" t="s">
        <v>557</v>
      </c>
      <c r="K167" s="794"/>
    </row>
    <row r="168" ht="15.75" customHeight="1">
      <c r="A168" s="935">
        <v>11.0</v>
      </c>
      <c r="B168" s="1023" t="s">
        <v>3313</v>
      </c>
      <c r="C168" s="609" t="s">
        <v>3315</v>
      </c>
      <c r="D168" s="609" t="s">
        <v>3300</v>
      </c>
      <c r="E168" s="609" t="s">
        <v>3316</v>
      </c>
      <c r="F168" s="1154">
        <v>0.621</v>
      </c>
      <c r="G168" s="943">
        <v>12110.0</v>
      </c>
      <c r="H168" s="609"/>
      <c r="I168" s="609" t="s">
        <v>1247</v>
      </c>
      <c r="J168" s="933" t="s">
        <v>3317</v>
      </c>
      <c r="K168" s="1175" t="s">
        <v>3318</v>
      </c>
    </row>
    <row r="169" ht="15.75" customHeight="1">
      <c r="A169" s="826">
        <v>12.0</v>
      </c>
      <c r="B169" s="828" t="s">
        <v>3313</v>
      </c>
      <c r="C169" s="824" t="s">
        <v>3323</v>
      </c>
      <c r="D169" s="824" t="s">
        <v>3324</v>
      </c>
      <c r="E169" s="824" t="s">
        <v>2028</v>
      </c>
      <c r="F169" s="1117">
        <f>59/424</f>
        <v>0.1391509434</v>
      </c>
      <c r="G169" s="832">
        <v>1475.0</v>
      </c>
      <c r="H169" s="910" t="s">
        <v>3325</v>
      </c>
      <c r="I169" s="824" t="s">
        <v>1247</v>
      </c>
      <c r="J169" s="836" t="s">
        <v>3326</v>
      </c>
      <c r="K169" s="794"/>
    </row>
    <row r="170" ht="15.75" customHeight="1">
      <c r="A170" s="826">
        <v>13.0</v>
      </c>
      <c r="B170" s="828" t="s">
        <v>3327</v>
      </c>
      <c r="C170" s="824" t="s">
        <v>3328</v>
      </c>
      <c r="D170" s="824" t="s">
        <v>3300</v>
      </c>
      <c r="E170" s="824" t="s">
        <v>1330</v>
      </c>
      <c r="F170" s="1117">
        <f>216/424</f>
        <v>0.5094339623</v>
      </c>
      <c r="G170" s="832">
        <v>12960.0</v>
      </c>
      <c r="H170" s="824"/>
      <c r="I170" s="824" t="s">
        <v>1247</v>
      </c>
      <c r="J170" s="836" t="s">
        <v>3329</v>
      </c>
      <c r="K170" s="794"/>
    </row>
    <row r="171" ht="15.75" customHeight="1">
      <c r="A171" s="826">
        <v>14.0</v>
      </c>
      <c r="B171" s="828" t="s">
        <v>3330</v>
      </c>
      <c r="C171" s="824" t="s">
        <v>3331</v>
      </c>
      <c r="D171" s="824" t="s">
        <v>1247</v>
      </c>
      <c r="E171" s="824" t="s">
        <v>3333</v>
      </c>
      <c r="F171" s="1117">
        <v>0.548</v>
      </c>
      <c r="G171" s="832">
        <v>11600.0</v>
      </c>
      <c r="H171" s="824"/>
      <c r="I171" s="824" t="s">
        <v>1247</v>
      </c>
      <c r="J171" s="836" t="s">
        <v>557</v>
      </c>
      <c r="K171" s="794"/>
    </row>
    <row r="172" ht="64.5" customHeight="1">
      <c r="A172" s="935">
        <v>15.0</v>
      </c>
      <c r="B172" s="1023" t="s">
        <v>3330</v>
      </c>
      <c r="C172" s="609" t="s">
        <v>2956</v>
      </c>
      <c r="D172" s="609" t="s">
        <v>3300</v>
      </c>
      <c r="E172" s="609" t="s">
        <v>36</v>
      </c>
      <c r="F172" s="1154">
        <f>135/424</f>
        <v>0.3183962264</v>
      </c>
      <c r="G172" s="943">
        <v>8100.0</v>
      </c>
      <c r="H172" s="609"/>
      <c r="I172" s="609" t="s">
        <v>1247</v>
      </c>
      <c r="J172" s="933" t="s">
        <v>3348</v>
      </c>
      <c r="K172" s="609" t="s">
        <v>3329</v>
      </c>
    </row>
    <row r="173" ht="39.0" customHeight="1">
      <c r="A173" s="893">
        <v>16.0</v>
      </c>
      <c r="B173" s="897" t="s">
        <v>3353</v>
      </c>
      <c r="C173" s="883" t="s">
        <v>3355</v>
      </c>
      <c r="D173" s="883" t="s">
        <v>3300</v>
      </c>
      <c r="E173" s="883" t="s">
        <v>596</v>
      </c>
      <c r="F173" s="1170">
        <v>0.567</v>
      </c>
      <c r="G173" s="899">
        <v>12000.0</v>
      </c>
      <c r="H173" s="883"/>
      <c r="I173" s="883" t="s">
        <v>1247</v>
      </c>
      <c r="J173" s="1182" t="s">
        <v>3361</v>
      </c>
      <c r="K173" s="1185"/>
    </row>
    <row r="174" ht="54.0" customHeight="1">
      <c r="A174" s="935"/>
      <c r="B174" s="1023" t="s">
        <v>2278</v>
      </c>
      <c r="C174" s="609" t="s">
        <v>3398</v>
      </c>
      <c r="D174" s="609" t="s">
        <v>1247</v>
      </c>
      <c r="E174" s="609" t="s">
        <v>3399</v>
      </c>
      <c r="F174" s="1154">
        <v>0.97</v>
      </c>
      <c r="G174" s="943"/>
      <c r="H174" s="609"/>
      <c r="I174" s="609" t="s">
        <v>1247</v>
      </c>
      <c r="J174" s="933" t="s">
        <v>3400</v>
      </c>
      <c r="K174" s="1034" t="s">
        <v>3402</v>
      </c>
    </row>
    <row r="175" ht="15.75" customHeight="1">
      <c r="A175" s="935">
        <v>17.0</v>
      </c>
      <c r="B175" s="939" t="s">
        <v>2196</v>
      </c>
      <c r="C175" s="609" t="s">
        <v>3405</v>
      </c>
      <c r="D175" s="609" t="s">
        <v>1247</v>
      </c>
      <c r="E175" s="609" t="s">
        <v>3406</v>
      </c>
      <c r="F175" s="1154">
        <v>0.66</v>
      </c>
      <c r="G175" s="943">
        <v>6500.0</v>
      </c>
      <c r="H175" s="609"/>
      <c r="I175" s="609" t="s">
        <v>1247</v>
      </c>
      <c r="J175" s="1190" t="s">
        <v>3407</v>
      </c>
      <c r="K175" s="1034" t="s">
        <v>3428</v>
      </c>
    </row>
    <row r="176" ht="15.75" customHeight="1">
      <c r="A176" s="826">
        <v>18.0</v>
      </c>
      <c r="B176" s="828" t="s">
        <v>3429</v>
      </c>
      <c r="C176" s="824" t="s">
        <v>3430</v>
      </c>
      <c r="D176" s="824" t="s">
        <v>3300</v>
      </c>
      <c r="E176" s="824" t="s">
        <v>3431</v>
      </c>
      <c r="F176" s="1117">
        <v>1.383</v>
      </c>
      <c r="G176" s="832">
        <v>29300.0</v>
      </c>
      <c r="H176" s="824"/>
      <c r="I176" s="824" t="s">
        <v>1247</v>
      </c>
      <c r="J176" s="1126" t="s">
        <v>3432</v>
      </c>
      <c r="K176" s="794"/>
    </row>
    <row r="177" ht="15.75" customHeight="1">
      <c r="A177" s="826">
        <v>19.0</v>
      </c>
      <c r="B177" s="828" t="s">
        <v>3429</v>
      </c>
      <c r="C177" s="824" t="s">
        <v>3433</v>
      </c>
      <c r="D177" s="824" t="s">
        <v>3434</v>
      </c>
      <c r="E177" s="824" t="s">
        <v>3435</v>
      </c>
      <c r="F177" s="1117">
        <f>102/424</f>
        <v>0.2405660377</v>
      </c>
      <c r="G177" s="832">
        <v>6120.0</v>
      </c>
      <c r="H177" s="824"/>
      <c r="I177" s="824" t="s">
        <v>3437</v>
      </c>
      <c r="J177" s="1126" t="s">
        <v>557</v>
      </c>
      <c r="K177" s="794"/>
    </row>
    <row r="178" ht="15.75" customHeight="1">
      <c r="A178" s="893">
        <v>20.0</v>
      </c>
      <c r="B178" s="897" t="s">
        <v>2201</v>
      </c>
      <c r="C178" s="883" t="s">
        <v>3439</v>
      </c>
      <c r="D178" s="883" t="s">
        <v>3434</v>
      </c>
      <c r="E178" s="883" t="s">
        <v>3441</v>
      </c>
      <c r="F178" s="1170">
        <v>0.83</v>
      </c>
      <c r="G178" s="899">
        <v>12560.0</v>
      </c>
      <c r="H178" s="883"/>
      <c r="I178" s="883" t="s">
        <v>1247</v>
      </c>
      <c r="J178" s="1197" t="s">
        <v>3442</v>
      </c>
      <c r="K178" s="1185"/>
    </row>
    <row r="179" ht="15.75" customHeight="1">
      <c r="A179" s="826">
        <v>21.0</v>
      </c>
      <c r="B179" s="828" t="s">
        <v>3453</v>
      </c>
      <c r="C179" s="824" t="s">
        <v>3454</v>
      </c>
      <c r="D179" s="824" t="s">
        <v>3434</v>
      </c>
      <c r="E179" s="824" t="s">
        <v>3455</v>
      </c>
      <c r="F179" s="1117">
        <v>2.293</v>
      </c>
      <c r="G179" s="832">
        <v>48690.0</v>
      </c>
      <c r="H179" s="824"/>
      <c r="I179" s="824" t="s">
        <v>1247</v>
      </c>
      <c r="J179" s="1126" t="s">
        <v>557</v>
      </c>
      <c r="K179" s="794"/>
    </row>
    <row r="180" ht="15.75" customHeight="1">
      <c r="A180" s="826">
        <v>22.0</v>
      </c>
      <c r="B180" s="828" t="s">
        <v>3456</v>
      </c>
      <c r="C180" s="824" t="s">
        <v>3454</v>
      </c>
      <c r="D180" s="824" t="s">
        <v>3434</v>
      </c>
      <c r="E180" s="824" t="s">
        <v>3457</v>
      </c>
      <c r="F180" s="1117">
        <v>1.133</v>
      </c>
      <c r="G180" s="832">
        <v>24000.0</v>
      </c>
      <c r="H180" s="824"/>
      <c r="I180" s="824" t="s">
        <v>1247</v>
      </c>
      <c r="J180" s="1126" t="s">
        <v>557</v>
      </c>
      <c r="K180" s="794"/>
    </row>
    <row r="181" ht="15.75" customHeight="1">
      <c r="A181" s="826">
        <v>23.0</v>
      </c>
      <c r="B181" s="828" t="s">
        <v>3458</v>
      </c>
      <c r="C181" s="824" t="s">
        <v>3459</v>
      </c>
      <c r="D181" s="824" t="s">
        <v>3434</v>
      </c>
      <c r="E181" s="824" t="s">
        <v>3460</v>
      </c>
      <c r="F181" s="1117">
        <f>127/424</f>
        <v>0.2995283019</v>
      </c>
      <c r="G181" s="832">
        <v>7620.0</v>
      </c>
      <c r="H181" s="824"/>
      <c r="I181" s="824" t="s">
        <v>2256</v>
      </c>
      <c r="J181" s="1126" t="s">
        <v>557</v>
      </c>
      <c r="K181" s="794"/>
    </row>
    <row r="182" ht="15.75" customHeight="1">
      <c r="A182" s="826">
        <v>24.0</v>
      </c>
      <c r="B182" s="828" t="s">
        <v>3463</v>
      </c>
      <c r="C182" s="824" t="s">
        <v>3464</v>
      </c>
      <c r="D182" s="824" t="s">
        <v>3434</v>
      </c>
      <c r="E182" s="824" t="s">
        <v>3465</v>
      </c>
      <c r="F182" s="1117">
        <v>1.604</v>
      </c>
      <c r="G182" s="832">
        <v>34000.0</v>
      </c>
      <c r="H182" s="824"/>
      <c r="I182" s="824" t="s">
        <v>1247</v>
      </c>
      <c r="J182" s="1126" t="s">
        <v>557</v>
      </c>
      <c r="K182" s="794"/>
    </row>
    <row r="183" ht="15.75" customHeight="1">
      <c r="A183" s="826">
        <v>25.0</v>
      </c>
      <c r="B183" s="828" t="s">
        <v>3466</v>
      </c>
      <c r="C183" s="824" t="s">
        <v>3467</v>
      </c>
      <c r="D183" s="824" t="s">
        <v>3434</v>
      </c>
      <c r="E183" s="824" t="s">
        <v>65</v>
      </c>
      <c r="F183" s="1117">
        <v>0.392</v>
      </c>
      <c r="G183" s="832">
        <v>9960.0</v>
      </c>
      <c r="H183" s="824"/>
      <c r="I183" s="824" t="s">
        <v>1247</v>
      </c>
      <c r="J183" s="1126" t="s">
        <v>557</v>
      </c>
      <c r="K183" s="794"/>
    </row>
    <row r="184" ht="15.75" customHeight="1">
      <c r="A184" s="826">
        <v>26.0</v>
      </c>
      <c r="B184" s="828" t="s">
        <v>3466</v>
      </c>
      <c r="C184" s="824" t="s">
        <v>3468</v>
      </c>
      <c r="D184" s="824" t="s">
        <v>3434</v>
      </c>
      <c r="E184" s="824" t="s">
        <v>3469</v>
      </c>
      <c r="F184" s="1117">
        <f>112/424</f>
        <v>0.2641509434</v>
      </c>
      <c r="G184" s="832">
        <v>10000.0</v>
      </c>
      <c r="H184" s="824"/>
      <c r="I184" s="824" t="s">
        <v>2256</v>
      </c>
      <c r="J184" s="1126" t="s">
        <v>557</v>
      </c>
      <c r="K184" s="794"/>
    </row>
    <row r="185" ht="15.75" customHeight="1">
      <c r="A185" s="826">
        <v>27.0</v>
      </c>
      <c r="B185" s="828" t="s">
        <v>3477</v>
      </c>
      <c r="C185" s="824" t="s">
        <v>3175</v>
      </c>
      <c r="D185" s="824" t="s">
        <v>3434</v>
      </c>
      <c r="E185" s="824" t="s">
        <v>3478</v>
      </c>
      <c r="F185" s="1117">
        <v>0.416</v>
      </c>
      <c r="G185" s="832">
        <v>6180.0</v>
      </c>
      <c r="H185" s="824"/>
      <c r="I185" s="824" t="s">
        <v>1247</v>
      </c>
      <c r="J185" s="1126" t="s">
        <v>557</v>
      </c>
      <c r="K185" s="794"/>
    </row>
    <row r="186" ht="15.75" customHeight="1">
      <c r="A186" s="826">
        <v>28.0</v>
      </c>
      <c r="B186" s="828" t="s">
        <v>3479</v>
      </c>
      <c r="C186" s="824" t="s">
        <v>3480</v>
      </c>
      <c r="D186" s="824" t="s">
        <v>3434</v>
      </c>
      <c r="E186" s="824" t="s">
        <v>3481</v>
      </c>
      <c r="F186" s="1117">
        <v>0.707</v>
      </c>
      <c r="G186" s="832">
        <v>16640.0</v>
      </c>
      <c r="H186" s="824"/>
      <c r="I186" s="824" t="s">
        <v>2256</v>
      </c>
      <c r="J186" s="1126" t="s">
        <v>557</v>
      </c>
      <c r="K186" s="794"/>
    </row>
    <row r="187" ht="15.75" customHeight="1">
      <c r="A187" s="826">
        <v>29.0</v>
      </c>
      <c r="B187" s="828" t="s">
        <v>3483</v>
      </c>
      <c r="C187" s="824" t="s">
        <v>3484</v>
      </c>
      <c r="D187" s="824" t="s">
        <v>3300</v>
      </c>
      <c r="E187" s="824" t="s">
        <v>279</v>
      </c>
      <c r="F187" s="1117">
        <f>183/424</f>
        <v>0.4316037736</v>
      </c>
      <c r="G187" s="832">
        <v>10980.0</v>
      </c>
      <c r="H187" s="824"/>
      <c r="I187" s="824" t="s">
        <v>1247</v>
      </c>
      <c r="J187" s="1126" t="s">
        <v>3485</v>
      </c>
      <c r="K187" s="794"/>
    </row>
    <row r="188" ht="15.75" customHeight="1">
      <c r="A188" s="935">
        <v>30.0</v>
      </c>
      <c r="B188" s="1023" t="s">
        <v>3489</v>
      </c>
      <c r="C188" s="609" t="s">
        <v>3490</v>
      </c>
      <c r="D188" s="609" t="s">
        <v>3492</v>
      </c>
      <c r="E188" s="609" t="s">
        <v>3494</v>
      </c>
      <c r="F188" s="1154">
        <f>114/424</f>
        <v>0.2688679245</v>
      </c>
      <c r="G188" s="943">
        <v>5700.0</v>
      </c>
      <c r="H188" s="609"/>
      <c r="I188" s="609" t="s">
        <v>535</v>
      </c>
      <c r="J188" s="1190" t="s">
        <v>3500</v>
      </c>
      <c r="K188" s="1034" t="s">
        <v>3501</v>
      </c>
    </row>
    <row r="189" ht="15.75" customHeight="1">
      <c r="A189" s="826">
        <v>31.0</v>
      </c>
      <c r="B189" s="828" t="s">
        <v>3502</v>
      </c>
      <c r="C189" s="824" t="s">
        <v>3503</v>
      </c>
      <c r="D189" s="824" t="s">
        <v>3505</v>
      </c>
      <c r="E189" s="824" t="s">
        <v>3507</v>
      </c>
      <c r="F189" s="1117">
        <v>0.238</v>
      </c>
      <c r="G189" s="832">
        <v>3030.0</v>
      </c>
      <c r="H189" s="824"/>
      <c r="I189" s="824" t="s">
        <v>3508</v>
      </c>
      <c r="J189" s="1126" t="s">
        <v>3509</v>
      </c>
      <c r="K189" s="794"/>
    </row>
    <row r="190" ht="15.75" customHeight="1">
      <c r="A190" s="935">
        <v>32.0</v>
      </c>
      <c r="B190" s="1023" t="s">
        <v>3510</v>
      </c>
      <c r="C190" s="609" t="s">
        <v>3511</v>
      </c>
      <c r="D190" s="609" t="s">
        <v>3512</v>
      </c>
      <c r="E190" s="609" t="s">
        <v>1536</v>
      </c>
      <c r="F190" s="1154">
        <f>34/424</f>
        <v>0.08018867925</v>
      </c>
      <c r="G190" s="943">
        <v>820.0</v>
      </c>
      <c r="H190" s="609"/>
      <c r="I190" s="609" t="s">
        <v>535</v>
      </c>
      <c r="J190" s="1190" t="s">
        <v>3519</v>
      </c>
      <c r="K190" s="1034" t="s">
        <v>3521</v>
      </c>
    </row>
    <row r="191" ht="15.75" customHeight="1">
      <c r="A191" s="826">
        <v>33.0</v>
      </c>
      <c r="B191" s="828" t="s">
        <v>2279</v>
      </c>
      <c r="C191" s="824" t="s">
        <v>3523</v>
      </c>
      <c r="D191" s="824" t="s">
        <v>3512</v>
      </c>
      <c r="E191" s="824" t="s">
        <v>3526</v>
      </c>
      <c r="F191" s="1117">
        <f>180/424</f>
        <v>0.4245283019</v>
      </c>
      <c r="G191" s="832">
        <v>6300.0</v>
      </c>
      <c r="H191" s="824"/>
      <c r="I191" s="824" t="s">
        <v>535</v>
      </c>
      <c r="J191" s="1126" t="s">
        <v>3536</v>
      </c>
      <c r="K191" s="794"/>
    </row>
    <row r="192" ht="15.75" customHeight="1">
      <c r="A192" s="935">
        <v>34.0</v>
      </c>
      <c r="B192" s="1023" t="s">
        <v>3539</v>
      </c>
      <c r="C192" s="609" t="s">
        <v>3541</v>
      </c>
      <c r="D192" s="609" t="s">
        <v>1780</v>
      </c>
      <c r="E192" s="609" t="s">
        <v>3542</v>
      </c>
      <c r="F192" s="1154">
        <v>0.283</v>
      </c>
      <c r="G192" s="943">
        <v>4800.0</v>
      </c>
      <c r="H192" s="609"/>
      <c r="I192" s="609" t="s">
        <v>1780</v>
      </c>
      <c r="J192" s="1190" t="s">
        <v>3544</v>
      </c>
      <c r="K192" s="1034" t="s">
        <v>3545</v>
      </c>
    </row>
    <row r="193" ht="15.75" customHeight="1">
      <c r="A193" s="826">
        <v>35.0</v>
      </c>
      <c r="B193" s="828" t="s">
        <v>3539</v>
      </c>
      <c r="C193" s="824" t="s">
        <v>3549</v>
      </c>
      <c r="D193" s="824" t="s">
        <v>1232</v>
      </c>
      <c r="E193" s="824" t="s">
        <v>3550</v>
      </c>
      <c r="F193" s="1117">
        <v>0.115</v>
      </c>
      <c r="G193" s="832">
        <v>2940.0</v>
      </c>
      <c r="H193" s="824"/>
      <c r="I193" s="824" t="s">
        <v>2256</v>
      </c>
      <c r="J193" s="1126" t="s">
        <v>3552</v>
      </c>
      <c r="K193" s="794"/>
    </row>
    <row r="194" ht="15.75" customHeight="1">
      <c r="A194" s="826">
        <v>36.0</v>
      </c>
      <c r="B194" s="828" t="s">
        <v>3555</v>
      </c>
      <c r="C194" s="824" t="s">
        <v>3175</v>
      </c>
      <c r="D194" s="824" t="s">
        <v>3557</v>
      </c>
      <c r="E194" s="824" t="s">
        <v>3558</v>
      </c>
      <c r="F194" s="1117">
        <f>526/424</f>
        <v>1.240566038</v>
      </c>
      <c r="G194" s="832">
        <v>21040.0</v>
      </c>
      <c r="H194" s="824"/>
      <c r="I194" s="824" t="s">
        <v>1247</v>
      </c>
      <c r="J194" s="1126" t="s">
        <v>3570</v>
      </c>
      <c r="K194" s="794"/>
    </row>
    <row r="195" ht="15.75" customHeight="1">
      <c r="A195" s="935">
        <v>37.0</v>
      </c>
      <c r="B195" s="1023" t="s">
        <v>2344</v>
      </c>
      <c r="C195" s="609" t="s">
        <v>3574</v>
      </c>
      <c r="D195" s="609" t="s">
        <v>1232</v>
      </c>
      <c r="E195" s="609" t="s">
        <v>3575</v>
      </c>
      <c r="F195" s="1154">
        <v>0.379</v>
      </c>
      <c r="G195" s="943">
        <v>8260.0</v>
      </c>
      <c r="H195" s="609"/>
      <c r="I195" s="609" t="s">
        <v>2256</v>
      </c>
      <c r="J195" s="1190" t="s">
        <v>3577</v>
      </c>
      <c r="K195" s="946"/>
    </row>
    <row r="196" ht="60.0" customHeight="1">
      <c r="A196" s="935">
        <v>38.0</v>
      </c>
      <c r="B196" s="1023" t="s">
        <v>3579</v>
      </c>
      <c r="C196" s="609" t="s">
        <v>3580</v>
      </c>
      <c r="D196" s="609" t="s">
        <v>535</v>
      </c>
      <c r="E196" s="609" t="s">
        <v>3583</v>
      </c>
      <c r="F196" s="1154">
        <v>0.283</v>
      </c>
      <c r="G196" s="943">
        <v>1470.0</v>
      </c>
      <c r="H196" s="609"/>
      <c r="I196" s="609" t="s">
        <v>535</v>
      </c>
      <c r="J196" s="1190" t="s">
        <v>3586</v>
      </c>
      <c r="K196" s="1175" t="s">
        <v>3588</v>
      </c>
    </row>
    <row r="197" ht="15.75" customHeight="1">
      <c r="A197" s="935">
        <v>39.0</v>
      </c>
      <c r="B197" s="1023" t="s">
        <v>2353</v>
      </c>
      <c r="C197" s="609" t="s">
        <v>3590</v>
      </c>
      <c r="D197" s="609" t="s">
        <v>535</v>
      </c>
      <c r="E197" s="609" t="s">
        <v>3593</v>
      </c>
      <c r="F197" s="1154">
        <v>0.186</v>
      </c>
      <c r="G197" s="943">
        <v>3160.0</v>
      </c>
      <c r="H197" s="609"/>
      <c r="I197" s="609" t="s">
        <v>535</v>
      </c>
      <c r="J197" s="1190" t="s">
        <v>3595</v>
      </c>
      <c r="K197" s="1034" t="s">
        <v>3597</v>
      </c>
    </row>
    <row r="198" ht="15.75" customHeight="1">
      <c r="A198" s="893">
        <v>40.0</v>
      </c>
      <c r="B198" s="897" t="s">
        <v>3599</v>
      </c>
      <c r="C198" s="883" t="s">
        <v>3511</v>
      </c>
      <c r="D198" s="883" t="s">
        <v>535</v>
      </c>
      <c r="E198" s="883" t="s">
        <v>3602</v>
      </c>
      <c r="F198" s="1170">
        <v>0.551</v>
      </c>
      <c r="G198" s="899">
        <v>9360.0</v>
      </c>
      <c r="H198" s="883"/>
      <c r="I198" s="883" t="s">
        <v>535</v>
      </c>
      <c r="J198" s="1216" t="s">
        <v>3610</v>
      </c>
      <c r="K198" s="794"/>
    </row>
    <row r="199" ht="15.75" customHeight="1">
      <c r="A199" s="826">
        <v>41.0</v>
      </c>
      <c r="B199" s="828" t="s">
        <v>3625</v>
      </c>
      <c r="C199" s="824" t="s">
        <v>3626</v>
      </c>
      <c r="D199" s="824" t="s">
        <v>1247</v>
      </c>
      <c r="E199" s="824" t="s">
        <v>3627</v>
      </c>
      <c r="F199" s="1117">
        <v>0.518</v>
      </c>
      <c r="G199" s="832">
        <v>8800.0</v>
      </c>
      <c r="H199" s="824"/>
      <c r="I199" s="824" t="s">
        <v>1247</v>
      </c>
      <c r="J199" s="1126" t="s">
        <v>3628</v>
      </c>
      <c r="K199" s="794"/>
    </row>
    <row r="200" ht="15.75" customHeight="1">
      <c r="A200" s="826">
        <v>42.0</v>
      </c>
      <c r="B200" s="828" t="s">
        <v>2382</v>
      </c>
      <c r="C200" s="824" t="s">
        <v>3632</v>
      </c>
      <c r="D200" s="824" t="s">
        <v>1247</v>
      </c>
      <c r="E200" s="824" t="s">
        <v>3633</v>
      </c>
      <c r="F200" s="1117">
        <v>0.273</v>
      </c>
      <c r="G200" s="832">
        <v>4060.0</v>
      </c>
      <c r="H200" s="824"/>
      <c r="I200" s="824" t="s">
        <v>1247</v>
      </c>
      <c r="J200" s="1126" t="s">
        <v>3635</v>
      </c>
      <c r="K200" s="794"/>
    </row>
    <row r="201" ht="15.75" customHeight="1">
      <c r="A201" s="826">
        <v>43.0</v>
      </c>
      <c r="B201" s="828" t="s">
        <v>2382</v>
      </c>
      <c r="C201" s="824" t="s">
        <v>3632</v>
      </c>
      <c r="D201" s="824" t="s">
        <v>1247</v>
      </c>
      <c r="E201" s="824" t="s">
        <v>3636</v>
      </c>
      <c r="F201" s="1170">
        <v>0.191</v>
      </c>
      <c r="G201" s="832">
        <v>2835.0</v>
      </c>
      <c r="H201" s="824"/>
      <c r="I201" s="824" t="s">
        <v>3637</v>
      </c>
      <c r="J201" s="1126" t="s">
        <v>3638</v>
      </c>
      <c r="K201" s="794"/>
    </row>
    <row r="202" ht="15.75" customHeight="1">
      <c r="A202" s="826">
        <v>44.0</v>
      </c>
      <c r="B202" s="828" t="s">
        <v>3639</v>
      </c>
      <c r="C202" s="824" t="s">
        <v>3640</v>
      </c>
      <c r="D202" s="824" t="s">
        <v>3508</v>
      </c>
      <c r="E202" s="824" t="s">
        <v>3641</v>
      </c>
      <c r="F202" s="1117">
        <v>0.153</v>
      </c>
      <c r="G202" s="832">
        <v>1950.0</v>
      </c>
      <c r="H202" s="824"/>
      <c r="I202" s="824" t="s">
        <v>3508</v>
      </c>
      <c r="J202" s="1126" t="s">
        <v>3642</v>
      </c>
      <c r="K202" s="794"/>
    </row>
    <row r="203" ht="15.75" customHeight="1">
      <c r="A203" s="826">
        <v>44.0</v>
      </c>
      <c r="B203" s="828" t="s">
        <v>2428</v>
      </c>
      <c r="C203" s="824" t="s">
        <v>3643</v>
      </c>
      <c r="D203" s="824" t="s">
        <v>1247</v>
      </c>
      <c r="E203" s="824" t="s">
        <v>3644</v>
      </c>
      <c r="F203" s="1117">
        <v>0.238</v>
      </c>
      <c r="G203" s="832">
        <v>9160.0</v>
      </c>
      <c r="H203" s="824"/>
      <c r="I203" s="824" t="s">
        <v>1247</v>
      </c>
      <c r="J203" s="1126" t="s">
        <v>3645</v>
      </c>
      <c r="K203" s="794"/>
    </row>
    <row r="204" ht="15.75" customHeight="1">
      <c r="A204" s="826">
        <v>44.0</v>
      </c>
      <c r="B204" s="828" t="s">
        <v>2428</v>
      </c>
      <c r="C204" s="824" t="s">
        <v>3643</v>
      </c>
      <c r="D204" s="824" t="s">
        <v>1247</v>
      </c>
      <c r="E204" s="824" t="s">
        <v>83</v>
      </c>
      <c r="F204" s="1117">
        <v>0.66</v>
      </c>
      <c r="G204" s="832">
        <v>6500.0</v>
      </c>
      <c r="H204" s="824"/>
      <c r="I204" s="824" t="s">
        <v>1247</v>
      </c>
      <c r="J204" s="1126" t="s">
        <v>3646</v>
      </c>
      <c r="K204" s="794"/>
    </row>
    <row r="205" ht="15.75" customHeight="1">
      <c r="A205" s="826">
        <v>44.0</v>
      </c>
      <c r="B205" s="828" t="s">
        <v>3647</v>
      </c>
      <c r="C205" s="824" t="s">
        <v>3648</v>
      </c>
      <c r="D205" s="824" t="s">
        <v>3508</v>
      </c>
      <c r="E205" s="824" t="s">
        <v>3650</v>
      </c>
      <c r="F205" s="1117">
        <v>0.099</v>
      </c>
      <c r="G205" s="832">
        <v>1260.0</v>
      </c>
      <c r="H205" s="824"/>
      <c r="I205" s="824" t="s">
        <v>3508</v>
      </c>
      <c r="J205" s="1126" t="s">
        <v>3653</v>
      </c>
      <c r="K205" s="794"/>
    </row>
    <row r="206" ht="15.75" customHeight="1">
      <c r="A206" s="893">
        <v>44.0</v>
      </c>
      <c r="B206" s="897" t="s">
        <v>2571</v>
      </c>
      <c r="C206" s="883" t="s">
        <v>3655</v>
      </c>
      <c r="D206" s="883" t="s">
        <v>736</v>
      </c>
      <c r="E206" s="883" t="s">
        <v>3657</v>
      </c>
      <c r="F206" s="1170">
        <f>213/424</f>
        <v>0.5023584906</v>
      </c>
      <c r="G206" s="899">
        <v>10500.0</v>
      </c>
      <c r="H206" s="883" t="s">
        <v>1596</v>
      </c>
      <c r="I206" s="883" t="s">
        <v>2256</v>
      </c>
      <c r="J206" s="1216" t="s">
        <v>3664</v>
      </c>
      <c r="K206" s="1226" t="s">
        <v>3666</v>
      </c>
    </row>
    <row r="207" ht="15.75" customHeight="1">
      <c r="A207" s="935">
        <v>44.0</v>
      </c>
      <c r="B207" s="1023" t="s">
        <v>3667</v>
      </c>
      <c r="C207" s="609" t="s">
        <v>3668</v>
      </c>
      <c r="D207" s="609" t="s">
        <v>1247</v>
      </c>
      <c r="E207" s="609" t="s">
        <v>3669</v>
      </c>
      <c r="F207" s="1154">
        <v>0.983</v>
      </c>
      <c r="G207" s="943">
        <v>33360.0</v>
      </c>
      <c r="H207" s="609"/>
      <c r="I207" s="609" t="s">
        <v>1247</v>
      </c>
      <c r="J207" s="1190" t="s">
        <v>3670</v>
      </c>
      <c r="K207" s="1034" t="s">
        <v>3671</v>
      </c>
    </row>
    <row r="208" ht="15.75" customHeight="1">
      <c r="A208" s="826">
        <v>44.0</v>
      </c>
      <c r="B208" s="828" t="s">
        <v>2594</v>
      </c>
      <c r="C208" s="824" t="s">
        <v>3672</v>
      </c>
      <c r="D208" s="824" t="s">
        <v>1232</v>
      </c>
      <c r="E208" s="824" t="s">
        <v>3673</v>
      </c>
      <c r="F208" s="1117">
        <v>0.5</v>
      </c>
      <c r="G208" s="832">
        <v>12000.0</v>
      </c>
      <c r="H208" s="824" t="s">
        <v>1596</v>
      </c>
      <c r="I208" s="824" t="s">
        <v>2256</v>
      </c>
      <c r="J208" s="1126" t="s">
        <v>3674</v>
      </c>
      <c r="K208" s="794"/>
    </row>
    <row r="209" ht="15.75" customHeight="1">
      <c r="A209" s="826">
        <v>44.0</v>
      </c>
      <c r="B209" s="828" t="s">
        <v>3675</v>
      </c>
      <c r="C209" s="824" t="s">
        <v>3676</v>
      </c>
      <c r="D209" s="824" t="s">
        <v>1780</v>
      </c>
      <c r="E209" s="824" t="s">
        <v>3677</v>
      </c>
      <c r="F209" s="1170">
        <v>1.804</v>
      </c>
      <c r="G209" s="832">
        <v>30360.0</v>
      </c>
      <c r="H209" s="824"/>
      <c r="I209" s="824" t="s">
        <v>3637</v>
      </c>
      <c r="J209" s="1126" t="s">
        <v>3678</v>
      </c>
      <c r="K209" s="794"/>
    </row>
    <row r="210" ht="15.75" customHeight="1">
      <c r="A210" s="935">
        <v>44.0</v>
      </c>
      <c r="B210" s="1023" t="s">
        <v>3675</v>
      </c>
      <c r="C210" s="609" t="s">
        <v>3676</v>
      </c>
      <c r="D210" s="609" t="s">
        <v>1780</v>
      </c>
      <c r="E210" s="609" t="s">
        <v>3679</v>
      </c>
      <c r="F210" s="1154">
        <v>0.462</v>
      </c>
      <c r="G210" s="943">
        <v>9000.0</v>
      </c>
      <c r="H210" s="609"/>
      <c r="I210" s="609" t="s">
        <v>3637</v>
      </c>
      <c r="J210" s="1190" t="s">
        <v>3681</v>
      </c>
      <c r="K210" s="581" t="s">
        <v>3682</v>
      </c>
    </row>
    <row r="211" ht="15.75" customHeight="1">
      <c r="A211" s="935">
        <v>44.0</v>
      </c>
      <c r="B211" s="1023" t="s">
        <v>3683</v>
      </c>
      <c r="C211" s="609" t="s">
        <v>3684</v>
      </c>
      <c r="D211" s="609" t="s">
        <v>1780</v>
      </c>
      <c r="E211" s="609" t="s">
        <v>3685</v>
      </c>
      <c r="F211" s="1154">
        <v>0.372</v>
      </c>
      <c r="G211" s="943">
        <v>6320.0</v>
      </c>
      <c r="H211" s="609"/>
      <c r="I211" s="609" t="s">
        <v>3637</v>
      </c>
      <c r="J211" s="1190" t="s">
        <v>3686</v>
      </c>
      <c r="K211" s="946"/>
    </row>
    <row r="212" ht="15.75" customHeight="1">
      <c r="A212" s="826">
        <v>44.0</v>
      </c>
      <c r="B212" s="828" t="s">
        <v>2641</v>
      </c>
      <c r="C212" s="824" t="s">
        <v>3687</v>
      </c>
      <c r="D212" s="824" t="s">
        <v>535</v>
      </c>
      <c r="E212" s="824" t="s">
        <v>1755</v>
      </c>
      <c r="F212" s="1117">
        <v>0.075</v>
      </c>
      <c r="G212" s="832">
        <v>960.0</v>
      </c>
      <c r="H212" s="824"/>
      <c r="I212" s="824" t="s">
        <v>535</v>
      </c>
      <c r="J212" s="1126" t="s">
        <v>3690</v>
      </c>
      <c r="K212" s="794"/>
    </row>
    <row r="213" ht="15.75" customHeight="1">
      <c r="A213" s="826">
        <v>44.0</v>
      </c>
      <c r="B213" s="828" t="s">
        <v>2657</v>
      </c>
      <c r="C213" s="824" t="s">
        <v>3692</v>
      </c>
      <c r="D213" s="824" t="s">
        <v>1232</v>
      </c>
      <c r="E213" s="824" t="s">
        <v>3695</v>
      </c>
      <c r="F213" s="1170">
        <v>0.2264</v>
      </c>
      <c r="G213" s="832">
        <v>9600.0</v>
      </c>
      <c r="H213" s="824"/>
      <c r="I213" s="883" t="s">
        <v>3637</v>
      </c>
      <c r="J213" s="1126" t="s">
        <v>3698</v>
      </c>
      <c r="K213" s="794"/>
    </row>
    <row r="214" ht="15.75" customHeight="1">
      <c r="A214" s="893">
        <v>44.0</v>
      </c>
      <c r="B214" s="897" t="s">
        <v>3700</v>
      </c>
      <c r="C214" s="883" t="s">
        <v>3701</v>
      </c>
      <c r="D214" s="883" t="s">
        <v>1232</v>
      </c>
      <c r="E214" s="883" t="s">
        <v>3702</v>
      </c>
      <c r="F214" s="1170">
        <v>1.6689</v>
      </c>
      <c r="G214" s="899">
        <v>35400.0</v>
      </c>
      <c r="H214" s="883"/>
      <c r="I214" s="883" t="s">
        <v>1247</v>
      </c>
      <c r="J214" s="1216" t="s">
        <v>3698</v>
      </c>
      <c r="K214" s="1185"/>
    </row>
    <row r="215" ht="15.75" customHeight="1">
      <c r="A215" s="893">
        <v>44.0</v>
      </c>
      <c r="B215" s="897" t="s">
        <v>2681</v>
      </c>
      <c r="C215" s="883" t="s">
        <v>3704</v>
      </c>
      <c r="D215" s="883" t="s">
        <v>1232</v>
      </c>
      <c r="E215" s="883" t="s">
        <v>3705</v>
      </c>
      <c r="F215" s="1170">
        <v>0.32</v>
      </c>
      <c r="G215" s="899">
        <v>6800.0</v>
      </c>
      <c r="H215" s="883"/>
      <c r="I215" s="883" t="s">
        <v>3706</v>
      </c>
      <c r="J215" s="1197" t="s">
        <v>3097</v>
      </c>
      <c r="K215" s="1233"/>
    </row>
    <row r="216" ht="15.75" customHeight="1">
      <c r="A216" s="893">
        <v>44.0</v>
      </c>
      <c r="B216" s="897" t="s">
        <v>2681</v>
      </c>
      <c r="C216" s="883" t="s">
        <v>3710</v>
      </c>
      <c r="D216" s="883" t="s">
        <v>1232</v>
      </c>
      <c r="E216" s="883"/>
      <c r="F216" s="1170"/>
      <c r="G216" s="899"/>
      <c r="H216" s="1001" t="s">
        <v>3711</v>
      </c>
      <c r="I216" s="883" t="s">
        <v>3712</v>
      </c>
      <c r="J216" s="1216" t="s">
        <v>3698</v>
      </c>
      <c r="K216" s="1185"/>
    </row>
    <row r="217" ht="15.75" customHeight="1">
      <c r="A217" s="893">
        <v>44.0</v>
      </c>
      <c r="B217" s="897" t="s">
        <v>2700</v>
      </c>
      <c r="C217" s="883" t="s">
        <v>3101</v>
      </c>
      <c r="D217" s="883" t="s">
        <v>1232</v>
      </c>
      <c r="E217" s="883" t="s">
        <v>3713</v>
      </c>
      <c r="F217" s="1170">
        <v>0.785</v>
      </c>
      <c r="G217" s="899">
        <v>26640.0</v>
      </c>
      <c r="H217" s="883"/>
      <c r="I217" s="883" t="s">
        <v>3712</v>
      </c>
      <c r="J217" s="1216" t="s">
        <v>3698</v>
      </c>
      <c r="K217" s="1185"/>
    </row>
    <row r="218" ht="15.75" customHeight="1">
      <c r="A218" s="893">
        <v>44.0</v>
      </c>
      <c r="B218" s="897" t="s">
        <v>3714</v>
      </c>
      <c r="C218" s="883" t="s">
        <v>3715</v>
      </c>
      <c r="D218" s="883" t="s">
        <v>3716</v>
      </c>
      <c r="E218" s="883" t="s">
        <v>3717</v>
      </c>
      <c r="F218" s="1170">
        <v>0.142</v>
      </c>
      <c r="G218" s="899">
        <v>2280.0</v>
      </c>
      <c r="H218" s="883"/>
      <c r="I218" s="883" t="s">
        <v>3718</v>
      </c>
      <c r="J218" s="1216" t="s">
        <v>3719</v>
      </c>
      <c r="K218" s="162" t="s">
        <v>3720</v>
      </c>
    </row>
    <row r="219" ht="133.5" customHeight="1">
      <c r="A219" s="935">
        <v>44.0</v>
      </c>
      <c r="B219" s="1023" t="s">
        <v>3714</v>
      </c>
      <c r="C219" s="609" t="s">
        <v>3715</v>
      </c>
      <c r="D219" s="609" t="s">
        <v>3716</v>
      </c>
      <c r="E219" s="609" t="s">
        <v>1329</v>
      </c>
      <c r="F219" s="1154">
        <v>0.66</v>
      </c>
      <c r="G219" s="943">
        <v>10260.0</v>
      </c>
      <c r="H219" s="609"/>
      <c r="I219" s="609" t="s">
        <v>3718</v>
      </c>
      <c r="J219" s="1190" t="s">
        <v>3724</v>
      </c>
      <c r="K219" s="946"/>
    </row>
    <row r="220" ht="15.75" customHeight="1">
      <c r="A220" s="826">
        <v>44.0</v>
      </c>
      <c r="B220" s="828" t="s">
        <v>2790</v>
      </c>
      <c r="C220" s="824" t="s">
        <v>3715</v>
      </c>
      <c r="D220" s="824" t="s">
        <v>3716</v>
      </c>
      <c r="E220" s="824" t="s">
        <v>3728</v>
      </c>
      <c r="F220" s="1117">
        <v>0.292</v>
      </c>
      <c r="G220" s="832">
        <v>7380.0</v>
      </c>
      <c r="H220" s="824"/>
      <c r="I220" s="824" t="s">
        <v>2256</v>
      </c>
      <c r="J220" s="1126" t="s">
        <v>3731</v>
      </c>
      <c r="K220" s="794"/>
    </row>
    <row r="221" ht="15.75" customHeight="1">
      <c r="A221" s="826">
        <v>44.0</v>
      </c>
      <c r="B221" s="828" t="s">
        <v>3732</v>
      </c>
      <c r="C221" s="824" t="s">
        <v>3733</v>
      </c>
      <c r="D221" s="824" t="s">
        <v>3716</v>
      </c>
      <c r="E221" s="824" t="s">
        <v>3735</v>
      </c>
      <c r="F221" s="1117">
        <v>0.528</v>
      </c>
      <c r="G221" s="832">
        <v>6300.0</v>
      </c>
      <c r="H221" s="824"/>
      <c r="I221" s="824" t="s">
        <v>2256</v>
      </c>
      <c r="J221" s="1126" t="s">
        <v>3736</v>
      </c>
      <c r="K221" s="794"/>
    </row>
    <row r="222" ht="15.75" customHeight="1">
      <c r="A222" s="893">
        <v>44.0</v>
      </c>
      <c r="B222" s="897" t="s">
        <v>3737</v>
      </c>
      <c r="C222" s="883" t="s">
        <v>3739</v>
      </c>
      <c r="D222" s="883" t="s">
        <v>2256</v>
      </c>
      <c r="E222" s="883" t="s">
        <v>3740</v>
      </c>
      <c r="F222" s="1170">
        <v>0.608</v>
      </c>
      <c r="G222" s="899">
        <v>12900.0</v>
      </c>
      <c r="H222" s="883"/>
      <c r="I222" s="883" t="s">
        <v>3712</v>
      </c>
      <c r="J222" s="1216" t="s">
        <v>3741</v>
      </c>
      <c r="K222" s="162" t="s">
        <v>3743</v>
      </c>
    </row>
    <row r="223" ht="15.75" customHeight="1">
      <c r="A223" s="826">
        <v>44.0</v>
      </c>
      <c r="B223" s="828" t="s">
        <v>3737</v>
      </c>
      <c r="C223" s="824" t="s">
        <v>3739</v>
      </c>
      <c r="D223" s="824" t="s">
        <v>2256</v>
      </c>
      <c r="E223" s="824" t="s">
        <v>3748</v>
      </c>
      <c r="F223" s="1170">
        <v>0.471</v>
      </c>
      <c r="G223" s="832">
        <v>10000.0</v>
      </c>
      <c r="H223" s="883"/>
      <c r="I223" s="824" t="s">
        <v>3712</v>
      </c>
      <c r="J223" s="1126" t="s">
        <v>3741</v>
      </c>
      <c r="K223" s="794"/>
    </row>
    <row r="224" ht="15.75" customHeight="1">
      <c r="A224" s="935">
        <v>44.0</v>
      </c>
      <c r="B224" s="1023" t="s">
        <v>3749</v>
      </c>
      <c r="C224" s="609" t="s">
        <v>3750</v>
      </c>
      <c r="D224" s="609" t="s">
        <v>3751</v>
      </c>
      <c r="E224" s="609" t="s">
        <v>3752</v>
      </c>
      <c r="F224" s="1154">
        <v>0.344</v>
      </c>
      <c r="G224" s="943">
        <v>8760.0</v>
      </c>
      <c r="H224" s="609"/>
      <c r="I224" s="609" t="s">
        <v>2256</v>
      </c>
      <c r="J224" s="1190" t="s">
        <v>3753</v>
      </c>
      <c r="K224" s="1034" t="s">
        <v>3754</v>
      </c>
    </row>
    <row r="225" ht="15.75" customHeight="1">
      <c r="A225" s="826">
        <v>44.0</v>
      </c>
      <c r="B225" s="828" t="s">
        <v>3756</v>
      </c>
      <c r="C225" s="824" t="s">
        <v>3304</v>
      </c>
      <c r="D225" s="824" t="s">
        <v>3716</v>
      </c>
      <c r="E225" s="824" t="s">
        <v>3758</v>
      </c>
      <c r="F225" s="1117">
        <v>0.231</v>
      </c>
      <c r="G225" s="832">
        <v>2940.0</v>
      </c>
      <c r="H225" s="824"/>
      <c r="I225" s="824" t="s">
        <v>2256</v>
      </c>
      <c r="J225" s="1126" t="s">
        <v>3759</v>
      </c>
      <c r="K225" s="794"/>
    </row>
    <row r="226" ht="15.75" customHeight="1">
      <c r="A226" s="893">
        <v>44.0</v>
      </c>
      <c r="B226" s="897" t="s">
        <v>3756</v>
      </c>
      <c r="C226" s="883" t="s">
        <v>3760</v>
      </c>
      <c r="D226" s="883" t="s">
        <v>3761</v>
      </c>
      <c r="E226" s="883" t="s">
        <v>3762</v>
      </c>
      <c r="F226" s="1170">
        <v>0.962</v>
      </c>
      <c r="G226" s="899">
        <v>17700.0</v>
      </c>
      <c r="H226" s="883"/>
      <c r="I226" s="883" t="s">
        <v>3718</v>
      </c>
      <c r="J226" s="1216" t="s">
        <v>3763</v>
      </c>
      <c r="K226" s="1242" t="s">
        <v>3764</v>
      </c>
    </row>
    <row r="227" ht="15.75" customHeight="1">
      <c r="A227" s="893">
        <v>44.0</v>
      </c>
      <c r="B227" s="897" t="s">
        <v>3769</v>
      </c>
      <c r="C227" s="883" t="s">
        <v>3770</v>
      </c>
      <c r="D227" s="883" t="s">
        <v>3761</v>
      </c>
      <c r="E227" s="883" t="s">
        <v>3513</v>
      </c>
      <c r="F227" s="1170">
        <v>0.481</v>
      </c>
      <c r="G227" s="899">
        <v>14280.0</v>
      </c>
      <c r="H227" s="883"/>
      <c r="I227" s="883" t="s">
        <v>2256</v>
      </c>
      <c r="J227" s="1216" t="s">
        <v>3771</v>
      </c>
      <c r="K227" s="1185"/>
    </row>
    <row r="228" ht="15.75" customHeight="1">
      <c r="A228" s="826">
        <v>44.0</v>
      </c>
      <c r="B228" s="828" t="s">
        <v>3769</v>
      </c>
      <c r="C228" s="824" t="s">
        <v>3770</v>
      </c>
      <c r="D228" s="824" t="s">
        <v>3761</v>
      </c>
      <c r="E228" s="824" t="s">
        <v>2349</v>
      </c>
      <c r="F228" s="1117">
        <v>0.781</v>
      </c>
      <c r="G228" s="832">
        <v>14000.0</v>
      </c>
      <c r="H228" s="824"/>
      <c r="I228" s="824" t="s">
        <v>2256</v>
      </c>
      <c r="J228" s="1126" t="s">
        <v>3776</v>
      </c>
      <c r="K228" s="794"/>
    </row>
    <row r="229" ht="15.75" customHeight="1">
      <c r="A229" s="826">
        <v>44.0</v>
      </c>
      <c r="B229" s="828" t="s">
        <v>3769</v>
      </c>
      <c r="C229" s="824" t="s">
        <v>3770</v>
      </c>
      <c r="D229" s="824" t="s">
        <v>3761</v>
      </c>
      <c r="E229" s="824" t="s">
        <v>2349</v>
      </c>
      <c r="F229" s="1117">
        <v>0.377</v>
      </c>
      <c r="G229" s="832">
        <v>11200.0</v>
      </c>
      <c r="H229" s="824"/>
      <c r="I229" s="824" t="s">
        <v>2256</v>
      </c>
      <c r="J229" s="1126" t="s">
        <v>3779</v>
      </c>
      <c r="K229" s="794"/>
    </row>
    <row r="230" ht="15.75" customHeight="1">
      <c r="A230" s="935">
        <v>44.0</v>
      </c>
      <c r="B230" s="1023" t="s">
        <v>3781</v>
      </c>
      <c r="C230" s="609" t="s">
        <v>3782</v>
      </c>
      <c r="D230" s="609" t="s">
        <v>2256</v>
      </c>
      <c r="E230" s="609"/>
      <c r="F230" s="1154"/>
      <c r="G230" s="943"/>
      <c r="H230" s="957" t="s">
        <v>3054</v>
      </c>
      <c r="I230" s="609" t="s">
        <v>2256</v>
      </c>
      <c r="J230" s="1190" t="s">
        <v>3783</v>
      </c>
      <c r="K230" s="946"/>
    </row>
    <row r="231" ht="15.75" customHeight="1">
      <c r="A231" s="935">
        <v>44.0</v>
      </c>
      <c r="B231" s="1023" t="s">
        <v>3784</v>
      </c>
      <c r="C231" s="609" t="s">
        <v>3785</v>
      </c>
      <c r="D231" s="609" t="s">
        <v>535</v>
      </c>
      <c r="E231" s="609" t="s">
        <v>3786</v>
      </c>
      <c r="F231" s="1154">
        <v>0.198</v>
      </c>
      <c r="G231" s="943">
        <v>4920.0</v>
      </c>
      <c r="H231" s="609"/>
      <c r="I231" s="609" t="s">
        <v>3787</v>
      </c>
      <c r="J231" s="1190" t="s">
        <v>3788</v>
      </c>
      <c r="K231" s="946"/>
    </row>
    <row r="232" ht="15.75" customHeight="1">
      <c r="A232" s="826">
        <v>44.0</v>
      </c>
      <c r="B232" s="828" t="s">
        <v>3789</v>
      </c>
      <c r="C232" s="824" t="s">
        <v>3790</v>
      </c>
      <c r="D232" s="824" t="s">
        <v>3791</v>
      </c>
      <c r="E232" s="824" t="s">
        <v>3792</v>
      </c>
      <c r="F232" s="1170">
        <v>0.488</v>
      </c>
      <c r="G232" s="832">
        <v>18420.0</v>
      </c>
      <c r="H232" s="824"/>
      <c r="I232" s="824" t="s">
        <v>3712</v>
      </c>
      <c r="J232" s="1126" t="s">
        <v>3793</v>
      </c>
      <c r="K232" s="794"/>
    </row>
    <row r="233" ht="15.75" customHeight="1">
      <c r="A233" s="826">
        <v>44.0</v>
      </c>
      <c r="B233" s="828" t="s">
        <v>3794</v>
      </c>
      <c r="C233" s="824" t="s">
        <v>3795</v>
      </c>
      <c r="D233" s="824" t="s">
        <v>3791</v>
      </c>
      <c r="E233" s="824" t="s">
        <v>3798</v>
      </c>
      <c r="F233" s="1170">
        <v>0.646</v>
      </c>
      <c r="G233" s="832">
        <v>11760.0</v>
      </c>
      <c r="H233" s="824"/>
      <c r="I233" s="824" t="s">
        <v>3712</v>
      </c>
      <c r="J233" s="1126" t="s">
        <v>3800</v>
      </c>
      <c r="K233" s="794"/>
    </row>
    <row r="234" ht="58.5" customHeight="1">
      <c r="A234" s="935">
        <v>44.0</v>
      </c>
      <c r="B234" s="1023" t="s">
        <v>3801</v>
      </c>
      <c r="C234" s="609" t="s">
        <v>3803</v>
      </c>
      <c r="D234" s="609" t="s">
        <v>3791</v>
      </c>
      <c r="E234" s="609" t="s">
        <v>3804</v>
      </c>
      <c r="F234" s="1154">
        <v>0.849</v>
      </c>
      <c r="G234" s="943">
        <v>26060.0</v>
      </c>
      <c r="H234" s="609"/>
      <c r="I234" s="609" t="s">
        <v>3712</v>
      </c>
      <c r="J234" s="1190" t="s">
        <v>3806</v>
      </c>
      <c r="K234" s="1248" t="s">
        <v>3808</v>
      </c>
    </row>
    <row r="235" ht="15.75" customHeight="1">
      <c r="A235" s="826">
        <v>44.0</v>
      </c>
      <c r="B235" s="828" t="s">
        <v>3809</v>
      </c>
      <c r="C235" s="824" t="s">
        <v>3484</v>
      </c>
      <c r="D235" s="824" t="s">
        <v>2256</v>
      </c>
      <c r="E235" s="824" t="s">
        <v>3810</v>
      </c>
      <c r="F235" s="1170">
        <v>0.676</v>
      </c>
      <c r="G235" s="832">
        <v>17220.0</v>
      </c>
      <c r="H235" s="961" t="s">
        <v>3811</v>
      </c>
      <c r="I235" s="824" t="s">
        <v>3712</v>
      </c>
      <c r="J235" s="1126" t="s">
        <v>3812</v>
      </c>
      <c r="K235" s="794"/>
    </row>
    <row r="236" ht="15.75" customHeight="1">
      <c r="A236" s="826">
        <v>44.0</v>
      </c>
      <c r="B236" s="828" t="s">
        <v>2966</v>
      </c>
      <c r="C236" s="824" t="s">
        <v>3813</v>
      </c>
      <c r="D236" s="824" t="s">
        <v>3814</v>
      </c>
      <c r="E236" s="824" t="s">
        <v>3815</v>
      </c>
      <c r="F236" s="1170">
        <v>0.035</v>
      </c>
      <c r="G236" s="832">
        <v>750.0</v>
      </c>
      <c r="H236" s="883"/>
      <c r="I236" s="824" t="s">
        <v>535</v>
      </c>
      <c r="J236" s="1126" t="s">
        <v>3816</v>
      </c>
      <c r="K236" s="794"/>
    </row>
    <row r="237" ht="15.75" customHeight="1">
      <c r="A237" s="826">
        <v>44.0</v>
      </c>
      <c r="B237" s="828" t="s">
        <v>3817</v>
      </c>
      <c r="C237" s="824" t="s">
        <v>3818</v>
      </c>
      <c r="D237" s="824" t="s">
        <v>3512</v>
      </c>
      <c r="E237" s="824" t="s">
        <v>3819</v>
      </c>
      <c r="F237" s="1170">
        <v>0.195</v>
      </c>
      <c r="G237" s="832">
        <v>4150.0</v>
      </c>
      <c r="H237" s="883"/>
      <c r="I237" s="824" t="s">
        <v>535</v>
      </c>
      <c r="J237" s="1126" t="s">
        <v>3820</v>
      </c>
      <c r="K237" s="794"/>
    </row>
    <row r="238" ht="15.75" customHeight="1">
      <c r="A238" s="826">
        <v>44.0</v>
      </c>
      <c r="B238" s="828" t="s">
        <v>3821</v>
      </c>
      <c r="C238" s="824" t="s">
        <v>3822</v>
      </c>
      <c r="D238" s="824" t="s">
        <v>3814</v>
      </c>
      <c r="E238" s="824" t="s">
        <v>3823</v>
      </c>
      <c r="F238" s="1170">
        <v>0.051</v>
      </c>
      <c r="G238" s="832">
        <v>440.0</v>
      </c>
      <c r="H238" s="883"/>
      <c r="I238" s="824" t="s">
        <v>535</v>
      </c>
      <c r="J238" s="1126" t="s">
        <v>3824</v>
      </c>
      <c r="K238" s="794"/>
    </row>
    <row r="239" ht="15.75" customHeight="1">
      <c r="A239" s="1052"/>
      <c r="B239" s="1252" t="s">
        <v>200</v>
      </c>
      <c r="C239" s="28"/>
      <c r="D239" s="1057"/>
      <c r="E239" s="1057"/>
      <c r="F239" s="1255">
        <f t="shared" ref="F239:G239" si="4">SUM(F157:F238)</f>
        <v>44.33375283</v>
      </c>
      <c r="G239" s="1063">
        <f t="shared" si="4"/>
        <v>902410</v>
      </c>
      <c r="H239" s="1057"/>
      <c r="I239" s="1057"/>
      <c r="J239" s="1259"/>
      <c r="K239" s="1071"/>
      <c r="L239" s="392"/>
    </row>
    <row r="240" ht="15.75" customHeight="1">
      <c r="A240" s="1075"/>
      <c r="B240" s="1263" t="s">
        <v>312</v>
      </c>
      <c r="C240" s="27"/>
      <c r="D240" s="27"/>
      <c r="E240" s="27"/>
      <c r="F240" s="27"/>
      <c r="G240" s="27"/>
      <c r="H240" s="27"/>
      <c r="I240" s="27"/>
      <c r="J240" s="800"/>
      <c r="K240" s="1081"/>
      <c r="L240" s="392"/>
    </row>
    <row r="241" ht="15.75" customHeight="1">
      <c r="A241" s="826">
        <v>1.0</v>
      </c>
      <c r="B241" s="828" t="s">
        <v>3902</v>
      </c>
      <c r="C241" s="824" t="s">
        <v>3903</v>
      </c>
      <c r="D241" s="824" t="s">
        <v>698</v>
      </c>
      <c r="E241" s="824" t="s">
        <v>3904</v>
      </c>
      <c r="F241" s="824">
        <v>0.15</v>
      </c>
      <c r="G241" s="832">
        <v>6000.0</v>
      </c>
      <c r="H241" s="831" t="s">
        <v>3906</v>
      </c>
      <c r="I241" s="824" t="s">
        <v>346</v>
      </c>
      <c r="J241" s="1126" t="s">
        <v>682</v>
      </c>
      <c r="K241" s="1226" t="s">
        <v>3907</v>
      </c>
    </row>
    <row r="242" ht="15.75" customHeight="1">
      <c r="A242" s="935">
        <v>2.0</v>
      </c>
      <c r="B242" s="1023" t="s">
        <v>3239</v>
      </c>
      <c r="C242" s="609" t="s">
        <v>3908</v>
      </c>
      <c r="D242" s="609" t="s">
        <v>3059</v>
      </c>
      <c r="E242" s="609" t="s">
        <v>3909</v>
      </c>
      <c r="F242" s="609">
        <v>0.24</v>
      </c>
      <c r="G242" s="943">
        <v>45000.0</v>
      </c>
      <c r="H242" s="609"/>
      <c r="I242" s="609" t="s">
        <v>346</v>
      </c>
      <c r="J242" s="1190" t="s">
        <v>3911</v>
      </c>
      <c r="K242" s="946"/>
    </row>
    <row r="243" ht="38.25" customHeight="1">
      <c r="A243" s="826">
        <v>3.0</v>
      </c>
      <c r="B243" s="828" t="s">
        <v>3912</v>
      </c>
      <c r="C243" s="824" t="s">
        <v>3913</v>
      </c>
      <c r="D243" s="824" t="s">
        <v>371</v>
      </c>
      <c r="E243" s="824"/>
      <c r="F243" s="824"/>
      <c r="G243" s="832"/>
      <c r="H243" s="930" t="s">
        <v>1596</v>
      </c>
      <c r="I243" s="824" t="s">
        <v>346</v>
      </c>
      <c r="J243" s="1126" t="s">
        <v>682</v>
      </c>
      <c r="K243" s="794"/>
    </row>
    <row r="244" ht="15.75" customHeight="1">
      <c r="A244" s="826">
        <v>4.0</v>
      </c>
      <c r="B244" s="828" t="s">
        <v>3303</v>
      </c>
      <c r="C244" s="824" t="s">
        <v>3916</v>
      </c>
      <c r="D244" s="824" t="s">
        <v>3059</v>
      </c>
      <c r="E244" s="824" t="s">
        <v>3917</v>
      </c>
      <c r="F244" s="824">
        <v>1.33</v>
      </c>
      <c r="G244" s="832">
        <v>28400.0</v>
      </c>
      <c r="H244" s="824"/>
      <c r="I244" s="824" t="s">
        <v>346</v>
      </c>
      <c r="J244" s="1126" t="s">
        <v>682</v>
      </c>
      <c r="K244" s="794"/>
    </row>
    <row r="245" ht="15.75" customHeight="1">
      <c r="A245" s="826">
        <v>5.0</v>
      </c>
      <c r="B245" s="828" t="s">
        <v>3313</v>
      </c>
      <c r="C245" s="824" t="s">
        <v>3053</v>
      </c>
      <c r="D245" s="824" t="s">
        <v>3059</v>
      </c>
      <c r="E245" s="824" t="s">
        <v>3921</v>
      </c>
      <c r="F245" s="824">
        <v>0.64</v>
      </c>
      <c r="G245" s="832">
        <v>12240.0</v>
      </c>
      <c r="H245" s="910" t="s">
        <v>3923</v>
      </c>
      <c r="I245" s="824" t="s">
        <v>346</v>
      </c>
      <c r="J245" s="1126" t="s">
        <v>682</v>
      </c>
      <c r="K245" s="794"/>
    </row>
    <row r="246" ht="15.75" customHeight="1">
      <c r="A246" s="935">
        <v>6.0</v>
      </c>
      <c r="B246" s="1023" t="s">
        <v>3927</v>
      </c>
      <c r="C246" s="609" t="s">
        <v>3928</v>
      </c>
      <c r="D246" s="609" t="s">
        <v>3059</v>
      </c>
      <c r="E246" s="609" t="s">
        <v>3929</v>
      </c>
      <c r="F246" s="609">
        <v>0.33</v>
      </c>
      <c r="G246" s="943">
        <v>8640.0</v>
      </c>
      <c r="H246" s="609"/>
      <c r="I246" s="609" t="s">
        <v>346</v>
      </c>
      <c r="J246" s="1190" t="s">
        <v>682</v>
      </c>
      <c r="K246" s="1034" t="s">
        <v>3931</v>
      </c>
    </row>
    <row r="247" ht="15.75" customHeight="1">
      <c r="A247" s="826">
        <v>7.0</v>
      </c>
      <c r="B247" s="828" t="s">
        <v>2180</v>
      </c>
      <c r="C247" s="824" t="s">
        <v>3937</v>
      </c>
      <c r="D247" s="824" t="s">
        <v>3533</v>
      </c>
      <c r="E247" s="824" t="s">
        <v>3939</v>
      </c>
      <c r="F247" s="824">
        <v>0.2</v>
      </c>
      <c r="G247" s="832">
        <v>3560.0</v>
      </c>
      <c r="H247" s="840" t="s">
        <v>3942</v>
      </c>
      <c r="I247" s="824" t="s">
        <v>346</v>
      </c>
      <c r="J247" s="1126" t="s">
        <v>682</v>
      </c>
      <c r="K247" s="794"/>
    </row>
    <row r="248" ht="15.75" customHeight="1">
      <c r="A248" s="826">
        <v>8.0</v>
      </c>
      <c r="B248" s="828" t="s">
        <v>3456</v>
      </c>
      <c r="C248" s="824" t="s">
        <v>3950</v>
      </c>
      <c r="D248" s="824" t="s">
        <v>702</v>
      </c>
      <c r="E248" s="824" t="s">
        <v>3953</v>
      </c>
      <c r="F248" s="824">
        <v>0.58</v>
      </c>
      <c r="G248" s="832">
        <v>9928.0</v>
      </c>
      <c r="H248" s="824"/>
      <c r="I248" s="824" t="s">
        <v>346</v>
      </c>
      <c r="J248" s="1126" t="s">
        <v>682</v>
      </c>
      <c r="K248" s="794"/>
    </row>
    <row r="249" ht="15.75" customHeight="1">
      <c r="A249" s="826">
        <v>9.0</v>
      </c>
      <c r="B249" s="828" t="s">
        <v>3961</v>
      </c>
      <c r="C249" s="824" t="s">
        <v>3962</v>
      </c>
      <c r="D249" s="824" t="s">
        <v>3059</v>
      </c>
      <c r="E249" s="824" t="s">
        <v>3964</v>
      </c>
      <c r="F249" s="824">
        <v>0.61</v>
      </c>
      <c r="G249" s="832">
        <v>14261.5</v>
      </c>
      <c r="H249" s="824"/>
      <c r="I249" s="824" t="s">
        <v>346</v>
      </c>
      <c r="J249" s="1126" t="s">
        <v>682</v>
      </c>
      <c r="K249" s="794"/>
    </row>
    <row r="250" ht="15.75" customHeight="1">
      <c r="A250" s="935">
        <v>10.0</v>
      </c>
      <c r="B250" s="1023" t="s">
        <v>3967</v>
      </c>
      <c r="C250" s="609" t="s">
        <v>3969</v>
      </c>
      <c r="D250" s="609" t="s">
        <v>3235</v>
      </c>
      <c r="E250" s="609" t="s">
        <v>3970</v>
      </c>
      <c r="F250" s="609">
        <v>0.92</v>
      </c>
      <c r="G250" s="943">
        <v>13652.8</v>
      </c>
      <c r="H250" s="609"/>
      <c r="I250" s="609" t="s">
        <v>346</v>
      </c>
      <c r="J250" s="1190" t="s">
        <v>3971</v>
      </c>
      <c r="K250" s="946"/>
    </row>
    <row r="251" ht="15.75" customHeight="1">
      <c r="A251" s="935">
        <v>11.0</v>
      </c>
      <c r="B251" s="1023" t="s">
        <v>2368</v>
      </c>
      <c r="C251" s="609" t="s">
        <v>3975</v>
      </c>
      <c r="D251" s="609" t="s">
        <v>3235</v>
      </c>
      <c r="E251" s="609" t="s">
        <v>3976</v>
      </c>
      <c r="F251" s="609">
        <v>1.03</v>
      </c>
      <c r="G251" s="943">
        <v>37200.0</v>
      </c>
      <c r="H251" s="609"/>
      <c r="I251" s="609" t="s">
        <v>346</v>
      </c>
      <c r="J251" s="1190" t="s">
        <v>3979</v>
      </c>
      <c r="K251" s="946"/>
    </row>
    <row r="252" ht="15.75" customHeight="1">
      <c r="A252" s="826">
        <v>12.0</v>
      </c>
      <c r="B252" s="828" t="s">
        <v>2372</v>
      </c>
      <c r="C252" s="824" t="s">
        <v>3983</v>
      </c>
      <c r="D252" s="824" t="s">
        <v>354</v>
      </c>
      <c r="E252" s="824" t="s">
        <v>3984</v>
      </c>
      <c r="F252" s="824">
        <v>0.93</v>
      </c>
      <c r="G252" s="832">
        <v>19992.0</v>
      </c>
      <c r="H252" s="925" t="s">
        <v>3985</v>
      </c>
      <c r="I252" s="824" t="s">
        <v>346</v>
      </c>
      <c r="J252" s="1126" t="s">
        <v>682</v>
      </c>
      <c r="K252" s="794"/>
    </row>
    <row r="253" ht="15.75" customHeight="1">
      <c r="A253" s="826">
        <v>13.0</v>
      </c>
      <c r="B253" s="828" t="s">
        <v>3989</v>
      </c>
      <c r="C253" s="824" t="s">
        <v>3990</v>
      </c>
      <c r="D253" s="824" t="s">
        <v>3991</v>
      </c>
      <c r="E253" s="824" t="s">
        <v>3992</v>
      </c>
      <c r="F253" s="824">
        <v>1.2</v>
      </c>
      <c r="G253" s="832">
        <v>4748.0</v>
      </c>
      <c r="H253" s="840" t="s">
        <v>2624</v>
      </c>
      <c r="I253" s="824" t="s">
        <v>346</v>
      </c>
      <c r="J253" s="1126" t="s">
        <v>682</v>
      </c>
      <c r="K253" s="794"/>
    </row>
    <row r="254" ht="15.75" customHeight="1">
      <c r="A254" s="826">
        <v>14.0</v>
      </c>
      <c r="B254" s="828" t="s">
        <v>3997</v>
      </c>
      <c r="C254" s="824" t="s">
        <v>3998</v>
      </c>
      <c r="D254" s="824" t="s">
        <v>3059</v>
      </c>
      <c r="E254" s="824" t="s">
        <v>4001</v>
      </c>
      <c r="F254" s="824">
        <v>0.16</v>
      </c>
      <c r="G254" s="832">
        <v>2865.0</v>
      </c>
      <c r="H254" s="824"/>
      <c r="I254" s="824" t="s">
        <v>346</v>
      </c>
      <c r="J254" s="1126" t="s">
        <v>682</v>
      </c>
      <c r="K254" s="794"/>
    </row>
    <row r="255" ht="15.75" customHeight="1">
      <c r="A255" s="826">
        <v>15.0</v>
      </c>
      <c r="B255" s="828" t="s">
        <v>3997</v>
      </c>
      <c r="C255" s="824" t="s">
        <v>4005</v>
      </c>
      <c r="D255" s="824" t="s">
        <v>3059</v>
      </c>
      <c r="E255" s="824" t="s">
        <v>4006</v>
      </c>
      <c r="F255" s="824">
        <v>0.26</v>
      </c>
      <c r="G255" s="832">
        <v>4480.0</v>
      </c>
      <c r="H255" s="824"/>
      <c r="I255" s="824" t="s">
        <v>346</v>
      </c>
      <c r="J255" s="1126" t="s">
        <v>4007</v>
      </c>
      <c r="K255" s="794"/>
    </row>
    <row r="256" ht="15.75" customHeight="1">
      <c r="A256" s="893">
        <v>16.0</v>
      </c>
      <c r="B256" s="897" t="s">
        <v>4008</v>
      </c>
      <c r="C256" s="883" t="s">
        <v>4009</v>
      </c>
      <c r="D256" s="883" t="s">
        <v>3533</v>
      </c>
      <c r="E256" s="883" t="s">
        <v>4010</v>
      </c>
      <c r="F256" s="883">
        <v>0.69</v>
      </c>
      <c r="G256" s="899">
        <v>10335.0</v>
      </c>
      <c r="H256" s="883"/>
      <c r="I256" s="883" t="s">
        <v>346</v>
      </c>
      <c r="J256" s="1216" t="s">
        <v>4012</v>
      </c>
      <c r="K256" s="162" t="s">
        <v>4013</v>
      </c>
    </row>
    <row r="257" ht="41.25" customHeight="1">
      <c r="A257" s="826">
        <v>17.0</v>
      </c>
      <c r="B257" s="828" t="s">
        <v>4008</v>
      </c>
      <c r="C257" s="824" t="s">
        <v>4014</v>
      </c>
      <c r="D257" s="824" t="s">
        <v>354</v>
      </c>
      <c r="E257" s="824" t="s">
        <v>4015</v>
      </c>
      <c r="F257" s="824">
        <v>0.17</v>
      </c>
      <c r="G257" s="832">
        <v>1891.5</v>
      </c>
      <c r="H257" s="925" t="s">
        <v>4017</v>
      </c>
      <c r="I257" s="824" t="s">
        <v>346</v>
      </c>
      <c r="J257" s="1126" t="s">
        <v>682</v>
      </c>
      <c r="K257" s="794"/>
    </row>
    <row r="258" ht="93.75" customHeight="1">
      <c r="A258" s="935">
        <v>18.0</v>
      </c>
      <c r="B258" s="1023" t="s">
        <v>2458</v>
      </c>
      <c r="C258" s="609" t="s">
        <v>4018</v>
      </c>
      <c r="D258" s="609" t="s">
        <v>3059</v>
      </c>
      <c r="E258" s="609" t="s">
        <v>4019</v>
      </c>
      <c r="F258" s="609">
        <v>0.21</v>
      </c>
      <c r="G258" s="943">
        <v>2300.0</v>
      </c>
      <c r="H258" s="609"/>
      <c r="I258" s="609" t="s">
        <v>346</v>
      </c>
      <c r="J258" s="1190" t="s">
        <v>682</v>
      </c>
      <c r="K258" s="1034" t="s">
        <v>4020</v>
      </c>
    </row>
    <row r="259" ht="166.5" customHeight="1">
      <c r="A259" s="935"/>
      <c r="B259" s="1023" t="s">
        <v>4022</v>
      </c>
      <c r="C259" s="609" t="s">
        <v>4009</v>
      </c>
      <c r="D259" s="609" t="s">
        <v>3533</v>
      </c>
      <c r="E259" s="609" t="s">
        <v>4023</v>
      </c>
      <c r="F259" s="609">
        <v>0.4</v>
      </c>
      <c r="G259" s="943"/>
      <c r="H259" s="1282"/>
      <c r="I259" s="609"/>
      <c r="J259" s="1190" t="s">
        <v>4032</v>
      </c>
      <c r="K259" s="224" t="s">
        <v>4033</v>
      </c>
    </row>
    <row r="260" ht="15.75" customHeight="1">
      <c r="A260" s="826">
        <v>19.0</v>
      </c>
      <c r="B260" s="828" t="s">
        <v>4022</v>
      </c>
      <c r="C260" s="824" t="s">
        <v>4035</v>
      </c>
      <c r="D260" s="824" t="s">
        <v>3059</v>
      </c>
      <c r="E260" s="824" t="s">
        <v>4037</v>
      </c>
      <c r="F260" s="824">
        <v>1.22</v>
      </c>
      <c r="G260" s="832">
        <v>36937.0</v>
      </c>
      <c r="H260" s="840" t="s">
        <v>1596</v>
      </c>
      <c r="I260" s="824" t="s">
        <v>346</v>
      </c>
      <c r="J260" s="1126" t="s">
        <v>682</v>
      </c>
      <c r="K260" s="794"/>
    </row>
    <row r="261" ht="38.25" customHeight="1">
      <c r="A261" s="826">
        <v>20.0</v>
      </c>
      <c r="B261" s="828" t="s">
        <v>4038</v>
      </c>
      <c r="C261" s="824" t="s">
        <v>4039</v>
      </c>
      <c r="D261" s="824" t="s">
        <v>4040</v>
      </c>
      <c r="E261" s="824" t="s">
        <v>2672</v>
      </c>
      <c r="F261" s="824">
        <v>0.14</v>
      </c>
      <c r="G261" s="832">
        <v>2205.0</v>
      </c>
      <c r="H261" s="840" t="s">
        <v>1596</v>
      </c>
      <c r="I261" s="824" t="s">
        <v>346</v>
      </c>
      <c r="J261" s="1126" t="s">
        <v>682</v>
      </c>
      <c r="K261" s="794"/>
    </row>
    <row r="262" ht="15.75" customHeight="1">
      <c r="A262" s="826">
        <v>21.0</v>
      </c>
      <c r="B262" s="828" t="s">
        <v>4041</v>
      </c>
      <c r="C262" s="824" t="s">
        <v>4042</v>
      </c>
      <c r="D262" s="824" t="s">
        <v>4043</v>
      </c>
      <c r="E262" s="824" t="s">
        <v>4044</v>
      </c>
      <c r="F262" s="824">
        <v>0.44</v>
      </c>
      <c r="G262" s="832">
        <v>7520.0</v>
      </c>
      <c r="H262" s="840"/>
      <c r="I262" s="824" t="s">
        <v>346</v>
      </c>
      <c r="J262" s="1126" t="s">
        <v>4045</v>
      </c>
      <c r="K262" s="794"/>
    </row>
    <row r="263" ht="15.75" customHeight="1">
      <c r="A263" s="826">
        <v>22.0</v>
      </c>
      <c r="B263" s="828" t="s">
        <v>3675</v>
      </c>
      <c r="C263" s="824" t="s">
        <v>4046</v>
      </c>
      <c r="D263" s="824" t="s">
        <v>4040</v>
      </c>
      <c r="E263" s="824" t="s">
        <v>4047</v>
      </c>
      <c r="F263" s="824">
        <v>0.13</v>
      </c>
      <c r="G263" s="832">
        <v>1749.0</v>
      </c>
      <c r="H263" s="840" t="s">
        <v>1596</v>
      </c>
      <c r="I263" s="824" t="s">
        <v>346</v>
      </c>
      <c r="J263" s="1126" t="s">
        <v>4048</v>
      </c>
      <c r="K263" s="794"/>
    </row>
    <row r="264" ht="15.75" customHeight="1">
      <c r="A264" s="826">
        <v>23.0</v>
      </c>
      <c r="B264" s="828" t="s">
        <v>2610</v>
      </c>
      <c r="C264" s="824" t="s">
        <v>4049</v>
      </c>
      <c r="D264" s="824" t="s">
        <v>4040</v>
      </c>
      <c r="E264" s="824" t="s">
        <v>4050</v>
      </c>
      <c r="F264" s="824"/>
      <c r="G264" s="832">
        <v>1875.0</v>
      </c>
      <c r="H264" s="925" t="s">
        <v>2286</v>
      </c>
      <c r="I264" s="824" t="s">
        <v>346</v>
      </c>
      <c r="J264" s="1126" t="s">
        <v>682</v>
      </c>
      <c r="K264" s="794"/>
    </row>
    <row r="265" ht="15.75" customHeight="1">
      <c r="A265" s="826">
        <v>24.0</v>
      </c>
      <c r="B265" s="920">
        <v>44426.0</v>
      </c>
      <c r="C265" s="824" t="s">
        <v>4051</v>
      </c>
      <c r="D265" s="824" t="s">
        <v>4052</v>
      </c>
      <c r="E265" s="824" t="s">
        <v>2380</v>
      </c>
      <c r="F265" s="824">
        <v>0.39</v>
      </c>
      <c r="G265" s="832">
        <v>6720.0</v>
      </c>
      <c r="H265" s="824"/>
      <c r="I265" s="824" t="s">
        <v>346</v>
      </c>
      <c r="J265" s="1126" t="s">
        <v>4053</v>
      </c>
      <c r="K265" s="794"/>
    </row>
    <row r="266" ht="15.75" customHeight="1">
      <c r="A266" s="893">
        <v>25.0</v>
      </c>
      <c r="B266" s="897" t="s">
        <v>3749</v>
      </c>
      <c r="C266" s="883" t="s">
        <v>4054</v>
      </c>
      <c r="D266" s="883" t="s">
        <v>4043</v>
      </c>
      <c r="E266" s="883" t="s">
        <v>4055</v>
      </c>
      <c r="F266" s="883">
        <v>6.18</v>
      </c>
      <c r="G266" s="899">
        <v>314148.0</v>
      </c>
      <c r="H266" s="588" t="s">
        <v>4057</v>
      </c>
      <c r="I266" s="883" t="s">
        <v>346</v>
      </c>
      <c r="J266" s="1216" t="s">
        <v>4061</v>
      </c>
      <c r="K266" s="1016" t="s">
        <v>4062</v>
      </c>
    </row>
    <row r="267" ht="15.75" customHeight="1">
      <c r="A267" s="826">
        <v>26.0</v>
      </c>
      <c r="B267" s="828" t="s">
        <v>4063</v>
      </c>
      <c r="C267" s="824" t="s">
        <v>3053</v>
      </c>
      <c r="D267" s="824" t="s">
        <v>4064</v>
      </c>
      <c r="E267" s="824" t="s">
        <v>4065</v>
      </c>
      <c r="F267" s="824">
        <v>0.273</v>
      </c>
      <c r="G267" s="832">
        <v>2300.0</v>
      </c>
      <c r="H267" s="840" t="s">
        <v>4066</v>
      </c>
      <c r="I267" s="824" t="s">
        <v>346</v>
      </c>
      <c r="J267" s="1126" t="s">
        <v>4012</v>
      </c>
      <c r="K267" s="794"/>
    </row>
    <row r="268" ht="15.75" customHeight="1">
      <c r="A268" s="1052"/>
      <c r="B268" s="1252" t="s">
        <v>200</v>
      </c>
      <c r="C268" s="28"/>
      <c r="D268" s="1057"/>
      <c r="E268" s="1057"/>
      <c r="F268" s="1002">
        <f t="shared" ref="F268:G268" si="5">SUM(F241:F267)</f>
        <v>18.823</v>
      </c>
      <c r="G268" s="1063">
        <f t="shared" si="5"/>
        <v>598947.8</v>
      </c>
      <c r="H268" s="1057"/>
      <c r="I268" s="1057"/>
      <c r="J268" s="1067"/>
      <c r="K268" s="1071"/>
      <c r="L268" s="392"/>
    </row>
    <row r="269" ht="15.75" customHeight="1">
      <c r="A269" s="1075"/>
      <c r="B269" s="1292" t="s">
        <v>456</v>
      </c>
      <c r="C269" s="27"/>
      <c r="D269" s="27"/>
      <c r="E269" s="27"/>
      <c r="F269" s="27"/>
      <c r="G269" s="27"/>
      <c r="H269" s="27"/>
      <c r="I269" s="27"/>
      <c r="J269" s="800"/>
      <c r="K269" s="1081"/>
      <c r="L269" s="392"/>
    </row>
    <row r="270" ht="15.75" customHeight="1">
      <c r="A270" s="826">
        <v>1.0</v>
      </c>
      <c r="B270" s="828" t="s">
        <v>4082</v>
      </c>
      <c r="C270" s="824" t="s">
        <v>4083</v>
      </c>
      <c r="D270" s="824" t="s">
        <v>4084</v>
      </c>
      <c r="E270" s="824" t="s">
        <v>4085</v>
      </c>
      <c r="F270" s="824">
        <v>3.43</v>
      </c>
      <c r="G270" s="832">
        <v>50994.65</v>
      </c>
      <c r="H270" s="824"/>
      <c r="I270" s="824" t="s">
        <v>4087</v>
      </c>
      <c r="J270" s="836" t="s">
        <v>4088</v>
      </c>
      <c r="K270" s="794"/>
    </row>
    <row r="271" ht="15.75" customHeight="1">
      <c r="A271" s="826">
        <v>2.0</v>
      </c>
      <c r="B271" s="828" t="s">
        <v>4089</v>
      </c>
      <c r="C271" s="824" t="s">
        <v>3707</v>
      </c>
      <c r="D271" s="824" t="s">
        <v>2828</v>
      </c>
      <c r="E271" s="824" t="s">
        <v>2313</v>
      </c>
      <c r="F271" s="824">
        <v>1.18</v>
      </c>
      <c r="G271" s="832">
        <v>17605.0</v>
      </c>
      <c r="H271" s="824"/>
      <c r="I271" s="824" t="s">
        <v>4091</v>
      </c>
      <c r="J271" s="836" t="s">
        <v>4092</v>
      </c>
      <c r="K271" s="794"/>
    </row>
    <row r="272" ht="74.25" customHeight="1">
      <c r="A272" s="935">
        <v>3.0</v>
      </c>
      <c r="B272" s="1023" t="s">
        <v>4093</v>
      </c>
      <c r="C272" s="609" t="s">
        <v>4094</v>
      </c>
      <c r="D272" s="609" t="s">
        <v>1371</v>
      </c>
      <c r="E272" s="609" t="s">
        <v>4095</v>
      </c>
      <c r="F272" s="609">
        <v>0.3764</v>
      </c>
      <c r="G272" s="943">
        <v>5586.0</v>
      </c>
      <c r="H272" s="609" t="s">
        <v>4096</v>
      </c>
      <c r="I272" s="609" t="s">
        <v>1371</v>
      </c>
      <c r="J272" s="933" t="s">
        <v>4097</v>
      </c>
      <c r="K272" s="609" t="s">
        <v>4098</v>
      </c>
    </row>
    <row r="273" ht="15.75" customHeight="1">
      <c r="A273" s="826">
        <v>4.0</v>
      </c>
      <c r="B273" s="828" t="s">
        <v>3912</v>
      </c>
      <c r="C273" s="824" t="s">
        <v>4099</v>
      </c>
      <c r="D273" s="824" t="s">
        <v>3945</v>
      </c>
      <c r="E273" s="824" t="s">
        <v>4100</v>
      </c>
      <c r="F273" s="824">
        <v>0.582</v>
      </c>
      <c r="G273" s="832">
        <v>8610.0</v>
      </c>
      <c r="H273" s="824"/>
      <c r="I273" s="824" t="s">
        <v>4101</v>
      </c>
      <c r="J273" s="836" t="s">
        <v>4102</v>
      </c>
      <c r="K273" s="794"/>
    </row>
    <row r="274" ht="145.5" customHeight="1">
      <c r="A274" s="935">
        <v>5.0</v>
      </c>
      <c r="B274" s="1023" t="s">
        <v>3290</v>
      </c>
      <c r="C274" s="609" t="s">
        <v>4103</v>
      </c>
      <c r="D274" s="609" t="s">
        <v>3945</v>
      </c>
      <c r="E274" s="609" t="s">
        <v>4104</v>
      </c>
      <c r="F274" s="609">
        <v>0.375</v>
      </c>
      <c r="G274" s="943">
        <v>5575.15</v>
      </c>
      <c r="H274" s="609"/>
      <c r="I274" s="609" t="s">
        <v>4105</v>
      </c>
      <c r="J274" s="933" t="s">
        <v>4106</v>
      </c>
      <c r="K274" s="1034" t="s">
        <v>4107</v>
      </c>
    </row>
    <row r="275" ht="15.75" customHeight="1">
      <c r="A275" s="826">
        <v>6.0</v>
      </c>
      <c r="B275" s="828" t="s">
        <v>3303</v>
      </c>
      <c r="C275" s="824" t="s">
        <v>4108</v>
      </c>
      <c r="D275" s="824" t="s">
        <v>3726</v>
      </c>
      <c r="E275" s="824" t="s">
        <v>4109</v>
      </c>
      <c r="F275" s="824">
        <v>0.151</v>
      </c>
      <c r="G275" s="832">
        <v>2251.2</v>
      </c>
      <c r="H275" s="824"/>
      <c r="I275" s="824" t="s">
        <v>4110</v>
      </c>
      <c r="J275" s="836" t="s">
        <v>4111</v>
      </c>
      <c r="K275" s="794"/>
    </row>
    <row r="276" ht="15.75" customHeight="1">
      <c r="A276" s="826">
        <v>7.0</v>
      </c>
      <c r="B276" s="828" t="s">
        <v>4112</v>
      </c>
      <c r="C276" s="824" t="s">
        <v>4113</v>
      </c>
      <c r="D276" s="824" t="s">
        <v>3277</v>
      </c>
      <c r="E276" s="824" t="s">
        <v>4114</v>
      </c>
      <c r="F276" s="824">
        <v>1.43</v>
      </c>
      <c r="G276" s="832">
        <v>21280.0</v>
      </c>
      <c r="H276" s="824"/>
      <c r="I276" s="824" t="s">
        <v>3277</v>
      </c>
      <c r="J276" s="836" t="s">
        <v>4115</v>
      </c>
      <c r="K276" s="794"/>
    </row>
    <row r="277" ht="117.75" customHeight="1">
      <c r="A277" s="893">
        <v>8.0</v>
      </c>
      <c r="B277" s="897" t="s">
        <v>3327</v>
      </c>
      <c r="C277" s="883" t="s">
        <v>4116</v>
      </c>
      <c r="D277" s="883" t="s">
        <v>1371</v>
      </c>
      <c r="E277" s="883" t="s">
        <v>4117</v>
      </c>
      <c r="F277" s="883">
        <v>0.135</v>
      </c>
      <c r="G277" s="899">
        <v>2005.5</v>
      </c>
      <c r="H277" s="883"/>
      <c r="I277" s="883" t="s">
        <v>4118</v>
      </c>
      <c r="J277" s="895" t="s">
        <v>4119</v>
      </c>
      <c r="K277" s="883" t="s">
        <v>4120</v>
      </c>
    </row>
    <row r="278" ht="15.75" customHeight="1">
      <c r="A278" s="826">
        <v>9.0</v>
      </c>
      <c r="B278" s="828" t="s">
        <v>3330</v>
      </c>
      <c r="C278" s="824" t="s">
        <v>4099</v>
      </c>
      <c r="D278" s="824" t="s">
        <v>3945</v>
      </c>
      <c r="E278" s="824" t="s">
        <v>279</v>
      </c>
      <c r="F278" s="824">
        <v>0.45</v>
      </c>
      <c r="G278" s="832">
        <v>11459.4</v>
      </c>
      <c r="H278" s="824"/>
      <c r="I278" s="824" t="s">
        <v>4121</v>
      </c>
      <c r="J278" s="836" t="s">
        <v>4122</v>
      </c>
      <c r="K278" s="794"/>
    </row>
    <row r="279" ht="15.75" customHeight="1">
      <c r="A279" s="826">
        <v>10.0</v>
      </c>
      <c r="B279" s="828" t="s">
        <v>2180</v>
      </c>
      <c r="C279" s="824" t="s">
        <v>4094</v>
      </c>
      <c r="D279" s="824" t="s">
        <v>1371</v>
      </c>
      <c r="E279" s="824" t="s">
        <v>4114</v>
      </c>
      <c r="F279" s="824">
        <v>0.971</v>
      </c>
      <c r="G279" s="832">
        <v>14421.05</v>
      </c>
      <c r="H279" s="824"/>
      <c r="I279" s="824" t="s">
        <v>4123</v>
      </c>
      <c r="J279" s="836" t="s">
        <v>4124</v>
      </c>
      <c r="K279" s="794"/>
    </row>
    <row r="280" ht="15.75" customHeight="1">
      <c r="A280" s="826">
        <v>11.0</v>
      </c>
      <c r="B280" s="828" t="s">
        <v>3429</v>
      </c>
      <c r="C280" s="824" t="s">
        <v>4094</v>
      </c>
      <c r="D280" s="824" t="s">
        <v>1371</v>
      </c>
      <c r="E280" s="824" t="s">
        <v>4125</v>
      </c>
      <c r="F280" s="824">
        <v>0.207</v>
      </c>
      <c r="G280" s="832">
        <v>3080.0</v>
      </c>
      <c r="H280" s="925" t="s">
        <v>4127</v>
      </c>
      <c r="I280" s="824" t="s">
        <v>1371</v>
      </c>
      <c r="J280" s="836" t="s">
        <v>4129</v>
      </c>
      <c r="K280" s="794"/>
    </row>
    <row r="281" ht="15.75" customHeight="1">
      <c r="A281" s="893">
        <v>12.0</v>
      </c>
      <c r="B281" s="897" t="s">
        <v>3453</v>
      </c>
      <c r="C281" s="883" t="s">
        <v>4116</v>
      </c>
      <c r="D281" s="883" t="s">
        <v>4131</v>
      </c>
      <c r="E281" s="883" t="s">
        <v>4132</v>
      </c>
      <c r="F281" s="883">
        <v>13.84</v>
      </c>
      <c r="G281" s="899">
        <f>187740+30240</f>
        <v>217980</v>
      </c>
      <c r="H281" s="883"/>
      <c r="I281" s="883" t="s">
        <v>4133</v>
      </c>
      <c r="J281" s="895" t="s">
        <v>4134</v>
      </c>
      <c r="K281" s="1016" t="s">
        <v>4135</v>
      </c>
    </row>
    <row r="282" ht="15.75" customHeight="1">
      <c r="A282" s="893">
        <v>13.0</v>
      </c>
      <c r="B282" s="897" t="s">
        <v>4136</v>
      </c>
      <c r="C282" s="883" t="s">
        <v>4137</v>
      </c>
      <c r="D282" s="883" t="s">
        <v>3726</v>
      </c>
      <c r="E282" s="883" t="s">
        <v>4138</v>
      </c>
      <c r="F282" s="883">
        <v>0.071</v>
      </c>
      <c r="G282" s="899">
        <v>1055.6</v>
      </c>
      <c r="H282" s="883"/>
      <c r="I282" s="883" t="s">
        <v>4139</v>
      </c>
      <c r="J282" s="895" t="s">
        <v>4140</v>
      </c>
      <c r="K282" s="1185"/>
    </row>
    <row r="283" ht="15.75" customHeight="1">
      <c r="A283" s="893">
        <v>14.0</v>
      </c>
      <c r="B283" s="897" t="s">
        <v>2238</v>
      </c>
      <c r="C283" s="883" t="s">
        <v>4141</v>
      </c>
      <c r="D283" s="883" t="s">
        <v>820</v>
      </c>
      <c r="E283" s="883" t="s">
        <v>4142</v>
      </c>
      <c r="F283" s="883">
        <f>1113/424</f>
        <v>2.625</v>
      </c>
      <c r="G283" s="899">
        <v>38955.0</v>
      </c>
      <c r="H283" s="1304" t="s">
        <v>1596</v>
      </c>
      <c r="I283" s="883" t="s">
        <v>4151</v>
      </c>
      <c r="J283" s="895" t="s">
        <v>4152</v>
      </c>
      <c r="K283" s="1185"/>
    </row>
    <row r="284" ht="15.75" customHeight="1">
      <c r="A284" s="826">
        <v>15.0</v>
      </c>
      <c r="B284" s="828" t="s">
        <v>4153</v>
      </c>
      <c r="C284" s="824" t="s">
        <v>4094</v>
      </c>
      <c r="D284" s="824" t="s">
        <v>1371</v>
      </c>
      <c r="E284" s="824" t="s">
        <v>4154</v>
      </c>
      <c r="F284" s="824">
        <v>0.201</v>
      </c>
      <c r="G284" s="832">
        <v>2988.3</v>
      </c>
      <c r="H284" s="824"/>
      <c r="I284" s="824" t="s">
        <v>4155</v>
      </c>
      <c r="J284" s="836" t="s">
        <v>4156</v>
      </c>
      <c r="K284" s="794"/>
    </row>
    <row r="285" ht="15.75" customHeight="1">
      <c r="A285" s="826">
        <v>16.0</v>
      </c>
      <c r="B285" s="828" t="s">
        <v>3502</v>
      </c>
      <c r="C285" s="824" t="s">
        <v>4157</v>
      </c>
      <c r="D285" s="824"/>
      <c r="E285" s="824"/>
      <c r="F285" s="824">
        <v>0.369</v>
      </c>
      <c r="G285" s="832">
        <v>5483.45</v>
      </c>
      <c r="H285" s="824"/>
      <c r="I285" s="824" t="s">
        <v>4121</v>
      </c>
      <c r="J285" s="836" t="s">
        <v>4158</v>
      </c>
      <c r="K285" s="794"/>
    </row>
    <row r="286" ht="15.75" customHeight="1">
      <c r="A286" s="826">
        <v>17.0</v>
      </c>
      <c r="B286" s="828" t="s">
        <v>4159</v>
      </c>
      <c r="C286" s="824" t="s">
        <v>4160</v>
      </c>
      <c r="D286" s="824" t="s">
        <v>1371</v>
      </c>
      <c r="E286" s="824" t="s">
        <v>4161</v>
      </c>
      <c r="F286" s="824">
        <v>0.332</v>
      </c>
      <c r="G286" s="832">
        <v>4926.6</v>
      </c>
      <c r="H286" s="824"/>
      <c r="I286" s="824" t="s">
        <v>4162</v>
      </c>
      <c r="J286" s="836" t="s">
        <v>4163</v>
      </c>
      <c r="K286" s="1307" t="s">
        <v>4164</v>
      </c>
    </row>
    <row r="287" ht="15.75" customHeight="1">
      <c r="A287" s="935"/>
      <c r="B287" s="1023" t="s">
        <v>2263</v>
      </c>
      <c r="C287" s="609" t="s">
        <v>4166</v>
      </c>
      <c r="D287" s="609"/>
      <c r="E287" s="609" t="s">
        <v>4167</v>
      </c>
      <c r="F287" s="609">
        <v>0.269</v>
      </c>
      <c r="G287" s="943"/>
      <c r="H287" s="609"/>
      <c r="I287" s="609"/>
      <c r="J287" s="933" t="s">
        <v>4168</v>
      </c>
      <c r="K287" s="946"/>
    </row>
    <row r="288" ht="15.75" customHeight="1">
      <c r="A288" s="826">
        <v>18.0</v>
      </c>
      <c r="B288" s="828" t="s">
        <v>4169</v>
      </c>
      <c r="C288" s="824" t="s">
        <v>4170</v>
      </c>
      <c r="D288" s="824" t="s">
        <v>3277</v>
      </c>
      <c r="E288" s="824" t="s">
        <v>3964</v>
      </c>
      <c r="F288" s="824">
        <v>0.61</v>
      </c>
      <c r="G288" s="832">
        <v>8995.0</v>
      </c>
      <c r="H288" s="824"/>
      <c r="I288" s="824" t="s">
        <v>4171</v>
      </c>
      <c r="J288" s="836" t="s">
        <v>4172</v>
      </c>
      <c r="K288" s="794"/>
    </row>
    <row r="289" ht="15.75" customHeight="1">
      <c r="A289" s="826">
        <v>19.0</v>
      </c>
      <c r="B289" s="828" t="s">
        <v>4173</v>
      </c>
      <c r="C289" s="824" t="s">
        <v>4103</v>
      </c>
      <c r="D289" s="824" t="s">
        <v>3945</v>
      </c>
      <c r="E289" s="824" t="s">
        <v>4174</v>
      </c>
      <c r="F289" s="824">
        <v>0.286</v>
      </c>
      <c r="G289" s="832">
        <v>7290.0</v>
      </c>
      <c r="H289" s="824"/>
      <c r="I289" s="824" t="s">
        <v>4175</v>
      </c>
      <c r="J289" s="836" t="s">
        <v>4176</v>
      </c>
      <c r="K289" s="794"/>
    </row>
    <row r="290" ht="15.75" customHeight="1">
      <c r="A290" s="826">
        <v>20.0</v>
      </c>
      <c r="B290" s="828" t="s">
        <v>2283</v>
      </c>
      <c r="C290" s="824" t="s">
        <v>4177</v>
      </c>
      <c r="D290" s="824" t="s">
        <v>2828</v>
      </c>
      <c r="E290" s="824" t="s">
        <v>4178</v>
      </c>
      <c r="F290" s="824">
        <v>0.943</v>
      </c>
      <c r="G290" s="832">
        <v>14000.35</v>
      </c>
      <c r="H290" s="925" t="s">
        <v>4179</v>
      </c>
      <c r="I290" s="824" t="s">
        <v>4180</v>
      </c>
      <c r="J290" s="836" t="s">
        <v>4181</v>
      </c>
      <c r="K290" s="794"/>
    </row>
    <row r="291" ht="15.75" customHeight="1">
      <c r="A291" s="826">
        <v>21.0</v>
      </c>
      <c r="B291" s="828" t="s">
        <v>3579</v>
      </c>
      <c r="C291" s="824" t="s">
        <v>4182</v>
      </c>
      <c r="D291" s="824"/>
      <c r="E291" s="824" t="s">
        <v>4183</v>
      </c>
      <c r="F291" s="824">
        <v>0.49</v>
      </c>
      <c r="G291" s="832">
        <v>7285.6</v>
      </c>
      <c r="H291" s="824"/>
      <c r="I291" s="824" t="s">
        <v>4121</v>
      </c>
      <c r="J291" s="836" t="s">
        <v>4184</v>
      </c>
      <c r="K291" s="794"/>
    </row>
    <row r="292" ht="15.75" customHeight="1">
      <c r="A292" s="826">
        <v>22.0</v>
      </c>
      <c r="B292" s="828" t="s">
        <v>4185</v>
      </c>
      <c r="C292" s="824" t="s">
        <v>4186</v>
      </c>
      <c r="D292" s="824"/>
      <c r="E292" s="824" t="s">
        <v>4187</v>
      </c>
      <c r="F292" s="824">
        <v>4.55</v>
      </c>
      <c r="G292" s="832">
        <v>67550.0</v>
      </c>
      <c r="H292" s="824"/>
      <c r="I292" s="824" t="s">
        <v>4188</v>
      </c>
      <c r="J292" s="836" t="s">
        <v>4189</v>
      </c>
      <c r="K292" s="794"/>
    </row>
    <row r="293" ht="15.75" customHeight="1">
      <c r="A293" s="826">
        <v>23.0</v>
      </c>
      <c r="B293" s="828" t="s">
        <v>2353</v>
      </c>
      <c r="C293" s="824" t="s">
        <v>4191</v>
      </c>
      <c r="D293" s="824" t="s">
        <v>4192</v>
      </c>
      <c r="E293" s="824" t="s">
        <v>4193</v>
      </c>
      <c r="F293" s="824">
        <v>2.246</v>
      </c>
      <c r="G293" s="832">
        <v>33331.2</v>
      </c>
      <c r="H293" s="925" t="s">
        <v>4195</v>
      </c>
      <c r="I293" s="824" t="s">
        <v>4197</v>
      </c>
      <c r="J293" s="836" t="s">
        <v>557</v>
      </c>
      <c r="K293" s="794"/>
    </row>
    <row r="294" ht="15.75" customHeight="1">
      <c r="A294" s="826">
        <v>24.0</v>
      </c>
      <c r="B294" s="828" t="s">
        <v>2368</v>
      </c>
      <c r="C294" s="824" t="s">
        <v>4160</v>
      </c>
      <c r="D294" s="824"/>
      <c r="E294" s="824" t="s">
        <v>3964</v>
      </c>
      <c r="F294" s="824">
        <v>0.248</v>
      </c>
      <c r="G294" s="832">
        <v>3693.55</v>
      </c>
      <c r="H294" s="925" t="s">
        <v>4198</v>
      </c>
      <c r="I294" s="824" t="s">
        <v>4199</v>
      </c>
      <c r="J294" s="836" t="s">
        <v>4200</v>
      </c>
      <c r="K294" s="794"/>
    </row>
    <row r="295" ht="15.75" customHeight="1">
      <c r="A295" s="826">
        <v>25.0</v>
      </c>
      <c r="B295" s="828" t="s">
        <v>4201</v>
      </c>
      <c r="C295" s="824" t="s">
        <v>4202</v>
      </c>
      <c r="D295" s="824"/>
      <c r="E295" s="824" t="s">
        <v>4203</v>
      </c>
      <c r="F295" s="824">
        <v>0.16</v>
      </c>
      <c r="G295" s="832">
        <v>2432.5</v>
      </c>
      <c r="H295" s="824"/>
      <c r="I295" s="824" t="s">
        <v>4204</v>
      </c>
      <c r="J295" s="836" t="s">
        <v>4205</v>
      </c>
      <c r="K295" s="794"/>
    </row>
    <row r="296" ht="126.0" customHeight="1">
      <c r="A296" s="935">
        <v>26.0</v>
      </c>
      <c r="B296" s="1023" t="s">
        <v>2458</v>
      </c>
      <c r="C296" s="609" t="s">
        <v>4206</v>
      </c>
      <c r="D296" s="609" t="s">
        <v>1232</v>
      </c>
      <c r="E296" s="609" t="s">
        <v>1038</v>
      </c>
      <c r="F296" s="609">
        <v>2.98</v>
      </c>
      <c r="G296" s="943">
        <v>44310.0</v>
      </c>
      <c r="H296" s="609"/>
      <c r="I296" s="609" t="s">
        <v>4207</v>
      </c>
      <c r="J296" s="933" t="s">
        <v>4189</v>
      </c>
      <c r="K296" s="224" t="s">
        <v>4208</v>
      </c>
    </row>
    <row r="297" ht="15.75" customHeight="1">
      <c r="A297" s="826">
        <v>27.0</v>
      </c>
      <c r="B297" s="828" t="s">
        <v>2538</v>
      </c>
      <c r="C297" s="824" t="s">
        <v>4211</v>
      </c>
      <c r="D297" s="824" t="s">
        <v>3726</v>
      </c>
      <c r="E297" s="824" t="s">
        <v>4213</v>
      </c>
      <c r="F297" s="824">
        <v>0.858</v>
      </c>
      <c r="G297" s="832">
        <v>12739.65</v>
      </c>
      <c r="H297" s="824"/>
      <c r="I297" s="824" t="s">
        <v>4215</v>
      </c>
      <c r="J297" s="836" t="s">
        <v>4216</v>
      </c>
      <c r="K297" s="794"/>
    </row>
    <row r="298" ht="15.75" customHeight="1">
      <c r="A298" s="826">
        <v>28.0</v>
      </c>
      <c r="B298" s="828" t="s">
        <v>2538</v>
      </c>
      <c r="C298" s="824" t="s">
        <v>4217</v>
      </c>
      <c r="D298" s="824"/>
      <c r="E298" s="824" t="s">
        <v>4218</v>
      </c>
      <c r="F298" s="824">
        <f>562.224/424</f>
        <v>1.326</v>
      </c>
      <c r="G298" s="832">
        <v>19677.84</v>
      </c>
      <c r="H298" s="824"/>
      <c r="I298" s="824" t="s">
        <v>3726</v>
      </c>
      <c r="J298" s="836" t="s">
        <v>4223</v>
      </c>
      <c r="K298" s="794"/>
    </row>
    <row r="299" ht="15.75" customHeight="1">
      <c r="A299" s="826">
        <v>29.0</v>
      </c>
      <c r="B299" s="828" t="s">
        <v>3675</v>
      </c>
      <c r="C299" s="824" t="s">
        <v>4224</v>
      </c>
      <c r="D299" s="824"/>
      <c r="E299" s="824" t="s">
        <v>4225</v>
      </c>
      <c r="F299" s="824">
        <v>0.13</v>
      </c>
      <c r="G299" s="832">
        <v>1960.0</v>
      </c>
      <c r="H299" s="925" t="s">
        <v>4226</v>
      </c>
      <c r="I299" s="824" t="s">
        <v>1371</v>
      </c>
      <c r="J299" s="836" t="s">
        <v>4227</v>
      </c>
      <c r="K299" s="824" t="s">
        <v>4228</v>
      </c>
    </row>
    <row r="300" ht="15.75" customHeight="1">
      <c r="A300" s="826">
        <v>30.0</v>
      </c>
      <c r="B300" s="828" t="s">
        <v>4229</v>
      </c>
      <c r="C300" s="824" t="s">
        <v>4230</v>
      </c>
      <c r="D300" s="824" t="s">
        <v>2828</v>
      </c>
      <c r="E300" s="824" t="s">
        <v>4231</v>
      </c>
      <c r="F300" s="824">
        <v>1.349</v>
      </c>
      <c r="G300" s="832">
        <v>20020.0</v>
      </c>
      <c r="H300" s="824"/>
      <c r="I300" s="824" t="s">
        <v>4232</v>
      </c>
      <c r="J300" s="836" t="s">
        <v>557</v>
      </c>
      <c r="K300" s="794"/>
    </row>
    <row r="301" ht="15.75" customHeight="1">
      <c r="A301" s="826">
        <v>31.0</v>
      </c>
      <c r="B301" s="828" t="s">
        <v>2610</v>
      </c>
      <c r="C301" s="824" t="s">
        <v>4233</v>
      </c>
      <c r="D301" s="824"/>
      <c r="E301" s="824" t="s">
        <v>4235</v>
      </c>
      <c r="F301" s="824">
        <v>0.863</v>
      </c>
      <c r="G301" s="832"/>
      <c r="H301" s="824"/>
      <c r="I301" s="824" t="s">
        <v>3945</v>
      </c>
      <c r="J301" s="836" t="s">
        <v>4237</v>
      </c>
      <c r="K301" s="794"/>
    </row>
    <row r="302" ht="15.75" customHeight="1">
      <c r="A302" s="935">
        <v>32.0</v>
      </c>
      <c r="B302" s="1023" t="s">
        <v>4239</v>
      </c>
      <c r="C302" s="609" t="s">
        <v>4240</v>
      </c>
      <c r="D302" s="609" t="s">
        <v>1371</v>
      </c>
      <c r="E302" s="609" t="s">
        <v>4241</v>
      </c>
      <c r="F302" s="609">
        <v>0.287</v>
      </c>
      <c r="G302" s="943">
        <v>4272.8</v>
      </c>
      <c r="H302" s="609"/>
      <c r="I302" s="609" t="s">
        <v>4199</v>
      </c>
      <c r="J302" s="1316" t="s">
        <v>4243</v>
      </c>
      <c r="K302" s="946"/>
    </row>
    <row r="303" ht="15.75" customHeight="1">
      <c r="A303" s="826">
        <v>33.0</v>
      </c>
      <c r="B303" s="828" t="s">
        <v>4246</v>
      </c>
      <c r="C303" s="824" t="s">
        <v>4247</v>
      </c>
      <c r="D303" s="824"/>
      <c r="E303" s="824" t="s">
        <v>4249</v>
      </c>
      <c r="F303" s="824">
        <v>0.566</v>
      </c>
      <c r="G303" s="832">
        <v>8260.0</v>
      </c>
      <c r="H303" s="925" t="s">
        <v>4250</v>
      </c>
      <c r="I303" s="824" t="s">
        <v>3277</v>
      </c>
      <c r="J303" s="836" t="s">
        <v>4251</v>
      </c>
      <c r="K303" s="794"/>
    </row>
    <row r="304" ht="15.75" customHeight="1">
      <c r="A304" s="935">
        <v>34.0</v>
      </c>
      <c r="B304" s="1023" t="s">
        <v>2646</v>
      </c>
      <c r="C304" s="609" t="s">
        <v>4255</v>
      </c>
      <c r="D304" s="609"/>
      <c r="E304" s="609" t="s">
        <v>4256</v>
      </c>
      <c r="F304" s="609">
        <v>0.36</v>
      </c>
      <c r="G304" s="943">
        <v>5460.0</v>
      </c>
      <c r="H304" s="609"/>
      <c r="I304" s="609" t="s">
        <v>611</v>
      </c>
      <c r="J304" s="933" t="s">
        <v>4189</v>
      </c>
      <c r="K304" s="224" t="s">
        <v>4257</v>
      </c>
    </row>
    <row r="305" ht="88.5" customHeight="1">
      <c r="A305" s="935">
        <v>35.0</v>
      </c>
      <c r="B305" s="1023" t="s">
        <v>2657</v>
      </c>
      <c r="C305" s="609" t="s">
        <v>4258</v>
      </c>
      <c r="D305" s="609"/>
      <c r="E305" s="609" t="s">
        <v>4259</v>
      </c>
      <c r="F305" s="609">
        <v>1.825</v>
      </c>
      <c r="G305" s="943">
        <v>27090.0</v>
      </c>
      <c r="H305" s="609"/>
      <c r="I305" s="609"/>
      <c r="J305" s="933" t="s">
        <v>4261</v>
      </c>
      <c r="K305" s="1034" t="s">
        <v>4262</v>
      </c>
    </row>
    <row r="306" ht="15.75" customHeight="1">
      <c r="A306" s="826">
        <v>36.0</v>
      </c>
      <c r="B306" s="828" t="s">
        <v>3700</v>
      </c>
      <c r="C306" s="824" t="s">
        <v>4265</v>
      </c>
      <c r="D306" s="824"/>
      <c r="E306" s="824" t="s">
        <v>4268</v>
      </c>
      <c r="F306" s="824">
        <v>0.471</v>
      </c>
      <c r="G306" s="832">
        <v>7000.0</v>
      </c>
      <c r="H306" s="824"/>
      <c r="I306" s="824" t="s">
        <v>4270</v>
      </c>
      <c r="J306" s="836" t="s">
        <v>4271</v>
      </c>
      <c r="K306" s="794"/>
    </row>
    <row r="307" ht="15.75" customHeight="1">
      <c r="A307" s="826">
        <v>37.0</v>
      </c>
      <c r="B307" s="828" t="s">
        <v>2693</v>
      </c>
      <c r="C307" s="824" t="s">
        <v>4273</v>
      </c>
      <c r="D307" s="824"/>
      <c r="E307" s="824" t="s">
        <v>4274</v>
      </c>
      <c r="F307" s="824">
        <v>0.863</v>
      </c>
      <c r="G307" s="832">
        <v>12809.65</v>
      </c>
      <c r="H307" s="824"/>
      <c r="I307" s="824" t="s">
        <v>4275</v>
      </c>
      <c r="J307" s="836" t="s">
        <v>4276</v>
      </c>
      <c r="K307" s="794"/>
    </row>
    <row r="308" ht="15.75" customHeight="1">
      <c r="A308" s="826">
        <v>38.0</v>
      </c>
      <c r="B308" s="828" t="s">
        <v>2743</v>
      </c>
      <c r="C308" s="824" t="s">
        <v>4258</v>
      </c>
      <c r="D308" s="824"/>
      <c r="E308" s="824" t="s">
        <v>4277</v>
      </c>
      <c r="F308" s="824">
        <v>2.51</v>
      </c>
      <c r="G308" s="832">
        <v>37216.55</v>
      </c>
      <c r="H308" s="824"/>
      <c r="I308" s="824" t="s">
        <v>611</v>
      </c>
      <c r="J308" s="836" t="s">
        <v>4278</v>
      </c>
      <c r="K308" s="794"/>
    </row>
    <row r="309" ht="15.75" customHeight="1">
      <c r="A309" s="826">
        <v>39.0</v>
      </c>
      <c r="B309" s="828" t="s">
        <v>2758</v>
      </c>
      <c r="C309" s="824" t="s">
        <v>4279</v>
      </c>
      <c r="D309" s="824"/>
      <c r="E309" s="824" t="s">
        <v>4280</v>
      </c>
      <c r="F309" s="824">
        <v>1.05</v>
      </c>
      <c r="G309" s="832">
        <v>15676.5</v>
      </c>
      <c r="H309" s="925" t="s">
        <v>4281</v>
      </c>
      <c r="I309" s="824" t="s">
        <v>1371</v>
      </c>
      <c r="J309" s="836" t="s">
        <v>4282</v>
      </c>
      <c r="K309" s="794"/>
    </row>
    <row r="310" ht="15.75" customHeight="1">
      <c r="A310" s="935">
        <v>40.0</v>
      </c>
      <c r="B310" s="1023" t="s">
        <v>4283</v>
      </c>
      <c r="C310" s="609" t="s">
        <v>4284</v>
      </c>
      <c r="D310" s="609"/>
      <c r="E310" s="609" t="s">
        <v>4285</v>
      </c>
      <c r="F310" s="609">
        <v>4.22</v>
      </c>
      <c r="G310" s="943">
        <v>62642.3</v>
      </c>
      <c r="H310" s="609"/>
      <c r="I310" s="609" t="s">
        <v>611</v>
      </c>
      <c r="J310" s="933" t="s">
        <v>4286</v>
      </c>
      <c r="K310" s="946"/>
    </row>
    <row r="311" ht="15.75" customHeight="1">
      <c r="A311" s="935">
        <v>41.0</v>
      </c>
      <c r="B311" s="1023" t="s">
        <v>3732</v>
      </c>
      <c r="C311" s="609" t="s">
        <v>4206</v>
      </c>
      <c r="D311" s="609"/>
      <c r="E311" s="609" t="s">
        <v>4287</v>
      </c>
      <c r="F311" s="609">
        <v>0.33</v>
      </c>
      <c r="G311" s="943">
        <v>4935.0</v>
      </c>
      <c r="H311" s="609"/>
      <c r="I311" s="609" t="s">
        <v>611</v>
      </c>
      <c r="J311" s="933" t="s">
        <v>4288</v>
      </c>
      <c r="K311" s="946"/>
    </row>
    <row r="312" ht="72.75" customHeight="1">
      <c r="A312" s="935">
        <v>42.0</v>
      </c>
      <c r="B312" s="1023" t="s">
        <v>3732</v>
      </c>
      <c r="C312" s="609" t="s">
        <v>4289</v>
      </c>
      <c r="D312" s="609"/>
      <c r="E312" s="609" t="s">
        <v>4290</v>
      </c>
      <c r="F312" s="609">
        <v>2.66</v>
      </c>
      <c r="G312" s="943">
        <v>39445.0</v>
      </c>
      <c r="H312" s="609"/>
      <c r="I312" s="609" t="s">
        <v>611</v>
      </c>
      <c r="J312" s="933" t="s">
        <v>4291</v>
      </c>
      <c r="K312" s="946"/>
    </row>
    <row r="313" ht="15.75" customHeight="1">
      <c r="A313" s="826">
        <v>43.0</v>
      </c>
      <c r="B313" s="828" t="s">
        <v>4292</v>
      </c>
      <c r="C313" s="824" t="s">
        <v>4293</v>
      </c>
      <c r="D313" s="824"/>
      <c r="E313" s="824" t="s">
        <v>4295</v>
      </c>
      <c r="F313" s="824">
        <v>1.112</v>
      </c>
      <c r="G313" s="832">
        <v>16485.0</v>
      </c>
      <c r="H313" s="824"/>
      <c r="I313" s="824" t="s">
        <v>4296</v>
      </c>
      <c r="J313" s="836" t="s">
        <v>4297</v>
      </c>
      <c r="K313" s="883" t="s">
        <v>4298</v>
      </c>
    </row>
    <row r="314" ht="132.0" customHeight="1">
      <c r="A314" s="893">
        <v>44.0</v>
      </c>
      <c r="B314" s="897" t="s">
        <v>4299</v>
      </c>
      <c r="C314" s="883" t="s">
        <v>4300</v>
      </c>
      <c r="D314" s="883"/>
      <c r="E314" s="883" t="s">
        <v>4301</v>
      </c>
      <c r="F314" s="883">
        <v>0.212</v>
      </c>
      <c r="G314" s="899">
        <v>3150.0</v>
      </c>
      <c r="H314" s="883" t="s">
        <v>4302</v>
      </c>
      <c r="I314" s="883" t="s">
        <v>4303</v>
      </c>
      <c r="J314" s="895" t="s">
        <v>4304</v>
      </c>
      <c r="K314" s="883" t="s">
        <v>4305</v>
      </c>
    </row>
    <row r="315" ht="15.75" customHeight="1">
      <c r="A315" s="893">
        <v>45.0</v>
      </c>
      <c r="B315" s="897" t="s">
        <v>4299</v>
      </c>
      <c r="C315" s="883" t="s">
        <v>4306</v>
      </c>
      <c r="D315" s="883"/>
      <c r="E315" s="883" t="s">
        <v>4307</v>
      </c>
      <c r="F315" s="883">
        <v>2.43</v>
      </c>
      <c r="G315" s="899">
        <v>36085.0</v>
      </c>
      <c r="H315" s="883"/>
      <c r="I315" s="883" t="s">
        <v>611</v>
      </c>
      <c r="J315" s="895" t="s">
        <v>4308</v>
      </c>
      <c r="K315" s="1016" t="s">
        <v>4309</v>
      </c>
    </row>
    <row r="316" ht="15.75" customHeight="1">
      <c r="A316" s="935">
        <v>46.0</v>
      </c>
      <c r="B316" s="1023" t="s">
        <v>3769</v>
      </c>
      <c r="C316" s="609" t="s">
        <v>4310</v>
      </c>
      <c r="D316" s="609"/>
      <c r="E316" s="609" t="s">
        <v>4307</v>
      </c>
      <c r="F316" s="609">
        <v>3.481</v>
      </c>
      <c r="G316" s="943">
        <v>51660.0</v>
      </c>
      <c r="H316" s="609"/>
      <c r="I316" s="609"/>
      <c r="J316" s="933" t="s">
        <v>4311</v>
      </c>
      <c r="K316" s="946"/>
    </row>
    <row r="317" ht="15.75" customHeight="1">
      <c r="A317" s="935">
        <v>47.0</v>
      </c>
      <c r="B317" s="1023" t="s">
        <v>4312</v>
      </c>
      <c r="C317" s="609" t="s">
        <v>4300</v>
      </c>
      <c r="D317" s="609"/>
      <c r="E317" s="609" t="s">
        <v>4313</v>
      </c>
      <c r="F317" s="609">
        <v>0.42</v>
      </c>
      <c r="G317" s="943">
        <v>6160.0</v>
      </c>
      <c r="H317" s="609"/>
      <c r="I317" s="609" t="s">
        <v>4314</v>
      </c>
      <c r="J317" s="933" t="s">
        <v>4315</v>
      </c>
      <c r="K317" s="1034" t="s">
        <v>4316</v>
      </c>
    </row>
    <row r="318" ht="15.75" customHeight="1">
      <c r="A318" s="893">
        <v>48.0</v>
      </c>
      <c r="B318" s="897" t="s">
        <v>2929</v>
      </c>
      <c r="C318" s="883" t="s">
        <v>4317</v>
      </c>
      <c r="D318" s="883"/>
      <c r="E318" s="883" t="s">
        <v>4318</v>
      </c>
      <c r="F318" s="883">
        <v>4.16</v>
      </c>
      <c r="G318" s="899">
        <v>61722.15</v>
      </c>
      <c r="H318" s="883"/>
      <c r="I318" s="883" t="s">
        <v>611</v>
      </c>
      <c r="J318" s="895" t="s">
        <v>4319</v>
      </c>
      <c r="K318" s="1016" t="s">
        <v>4320</v>
      </c>
    </row>
    <row r="319" ht="15.75" customHeight="1">
      <c r="A319" s="826">
        <v>49.0</v>
      </c>
      <c r="B319" s="828" t="s">
        <v>4063</v>
      </c>
      <c r="C319" s="824" t="s">
        <v>4157</v>
      </c>
      <c r="D319" s="824"/>
      <c r="E319" s="824" t="s">
        <v>4321</v>
      </c>
      <c r="F319" s="824">
        <v>0.146</v>
      </c>
      <c r="G319" s="832">
        <v>2170.0</v>
      </c>
      <c r="H319" s="824" t="s">
        <v>4322</v>
      </c>
      <c r="I319" s="824" t="s">
        <v>4314</v>
      </c>
      <c r="J319" s="836" t="s">
        <v>4323</v>
      </c>
      <c r="K319" s="794"/>
    </row>
    <row r="320" ht="15.75" customHeight="1">
      <c r="A320" s="826">
        <v>50.0</v>
      </c>
      <c r="B320" s="828" t="s">
        <v>4324</v>
      </c>
      <c r="C320" s="824" t="s">
        <v>4325</v>
      </c>
      <c r="D320" s="824"/>
      <c r="E320" s="824" t="s">
        <v>4326</v>
      </c>
      <c r="F320" s="824">
        <v>2.69</v>
      </c>
      <c r="G320" s="832">
        <v>39916.6</v>
      </c>
      <c r="H320" s="824" t="s">
        <v>4327</v>
      </c>
      <c r="I320" s="824" t="s">
        <v>4328</v>
      </c>
      <c r="J320" s="836" t="s">
        <v>4329</v>
      </c>
      <c r="K320" s="794"/>
    </row>
    <row r="321" ht="15.75" customHeight="1">
      <c r="A321" s="935">
        <v>51.0</v>
      </c>
      <c r="B321" s="1023" t="s">
        <v>2934</v>
      </c>
      <c r="C321" s="609" t="s">
        <v>4330</v>
      </c>
      <c r="D321" s="609"/>
      <c r="E321" s="609" t="s">
        <v>4331</v>
      </c>
      <c r="F321" s="609">
        <v>1.808</v>
      </c>
      <c r="G321" s="943">
        <v>26845.0</v>
      </c>
      <c r="H321" s="609"/>
      <c r="I321" s="609" t="s">
        <v>611</v>
      </c>
      <c r="J321" s="933" t="s">
        <v>4332</v>
      </c>
      <c r="K321" s="946"/>
    </row>
    <row r="322" ht="15.75" customHeight="1">
      <c r="A322" s="826">
        <v>52.0</v>
      </c>
      <c r="B322" s="828" t="s">
        <v>4333</v>
      </c>
      <c r="C322" s="824" t="s">
        <v>4334</v>
      </c>
      <c r="D322" s="824"/>
      <c r="E322" s="824" t="s">
        <v>4335</v>
      </c>
      <c r="F322" s="824">
        <v>0.504</v>
      </c>
      <c r="G322" s="832">
        <v>7490.0</v>
      </c>
      <c r="H322" s="824" t="s">
        <v>4322</v>
      </c>
      <c r="I322" s="824" t="s">
        <v>4336</v>
      </c>
      <c r="J322" s="836" t="s">
        <v>4337</v>
      </c>
      <c r="K322" s="794"/>
    </row>
    <row r="323" ht="15.75" customHeight="1">
      <c r="A323" s="826">
        <v>53.0</v>
      </c>
      <c r="B323" s="828" t="s">
        <v>4338</v>
      </c>
      <c r="C323" s="824" t="s">
        <v>4339</v>
      </c>
      <c r="D323" s="824"/>
      <c r="E323" s="824" t="s">
        <v>4340</v>
      </c>
      <c r="F323" s="824">
        <v>1.71</v>
      </c>
      <c r="G323" s="832">
        <v>25375.0</v>
      </c>
      <c r="H323" s="824"/>
      <c r="I323" s="824" t="s">
        <v>4341</v>
      </c>
      <c r="J323" s="836" t="s">
        <v>4342</v>
      </c>
      <c r="K323" s="794"/>
    </row>
    <row r="324" ht="15.75" customHeight="1">
      <c r="A324" s="826">
        <v>54.0</v>
      </c>
      <c r="B324" s="828" t="s">
        <v>4343</v>
      </c>
      <c r="C324" s="824" t="s">
        <v>4344</v>
      </c>
      <c r="D324" s="824"/>
      <c r="E324" s="824" t="s">
        <v>4249</v>
      </c>
      <c r="F324" s="824">
        <v>0.811</v>
      </c>
      <c r="G324" s="832">
        <v>12047.0</v>
      </c>
      <c r="H324" s="824"/>
      <c r="I324" s="824" t="s">
        <v>611</v>
      </c>
      <c r="J324" s="836" t="s">
        <v>4345</v>
      </c>
      <c r="K324" s="794"/>
    </row>
    <row r="325" ht="15.75" customHeight="1">
      <c r="A325" s="935">
        <v>55.0</v>
      </c>
      <c r="B325" s="1023" t="s">
        <v>3821</v>
      </c>
      <c r="C325" s="609" t="s">
        <v>4346</v>
      </c>
      <c r="D325" s="609"/>
      <c r="E325" s="609" t="s">
        <v>4347</v>
      </c>
      <c r="F325" s="609">
        <v>0.764</v>
      </c>
      <c r="G325" s="943">
        <v>11344.9</v>
      </c>
      <c r="H325" s="609"/>
      <c r="I325" s="609" t="s">
        <v>611</v>
      </c>
      <c r="J325" s="933" t="s">
        <v>4348</v>
      </c>
      <c r="K325" s="946"/>
    </row>
    <row r="326" ht="15.75" customHeight="1">
      <c r="A326" s="935">
        <v>56.0</v>
      </c>
      <c r="B326" s="1023" t="s">
        <v>4349</v>
      </c>
      <c r="C326" s="609" t="s">
        <v>4230</v>
      </c>
      <c r="D326" s="609"/>
      <c r="E326" s="609" t="s">
        <v>4138</v>
      </c>
      <c r="F326" s="609">
        <v>0.32</v>
      </c>
      <c r="G326" s="943">
        <v>4812.5</v>
      </c>
      <c r="H326" s="609"/>
      <c r="I326" s="609" t="s">
        <v>611</v>
      </c>
      <c r="J326" s="933" t="s">
        <v>4351</v>
      </c>
      <c r="K326" s="946"/>
    </row>
    <row r="327" ht="15.75" customHeight="1">
      <c r="A327" s="826">
        <v>57.0</v>
      </c>
      <c r="B327" s="828" t="s">
        <v>2987</v>
      </c>
      <c r="C327" s="824" t="s">
        <v>4352</v>
      </c>
      <c r="D327" s="824"/>
      <c r="E327" s="824" t="s">
        <v>4353</v>
      </c>
      <c r="F327" s="824">
        <v>0.63</v>
      </c>
      <c r="G327" s="832">
        <v>9380.0</v>
      </c>
      <c r="H327" s="824"/>
      <c r="I327" s="824" t="s">
        <v>611</v>
      </c>
      <c r="J327" s="836" t="s">
        <v>4354</v>
      </c>
      <c r="K327" s="794"/>
    </row>
    <row r="328" ht="15.75" customHeight="1">
      <c r="A328" s="826">
        <v>58.0</v>
      </c>
      <c r="B328" s="920" t="s">
        <v>4355</v>
      </c>
      <c r="C328" s="824" t="s">
        <v>4346</v>
      </c>
      <c r="D328" s="824"/>
      <c r="E328" s="824" t="s">
        <v>4231</v>
      </c>
      <c r="F328" s="824">
        <v>1.22</v>
      </c>
      <c r="G328" s="832">
        <v>18235.0</v>
      </c>
      <c r="H328" s="824"/>
      <c r="I328" s="824" t="s">
        <v>611</v>
      </c>
      <c r="J328" s="836" t="s">
        <v>4358</v>
      </c>
      <c r="K328" s="794"/>
    </row>
    <row r="329" ht="15.75" customHeight="1">
      <c r="A329" s="826">
        <v>59.0</v>
      </c>
      <c r="B329" s="828" t="s">
        <v>4359</v>
      </c>
      <c r="C329" s="824" t="s">
        <v>4360</v>
      </c>
      <c r="D329" s="824"/>
      <c r="E329" s="824" t="s">
        <v>4138</v>
      </c>
      <c r="F329" s="824">
        <v>0.245</v>
      </c>
      <c r="G329" s="832">
        <v>3663.1</v>
      </c>
      <c r="H329" s="824"/>
      <c r="I329" s="824" t="s">
        <v>611</v>
      </c>
      <c r="J329" s="836" t="s">
        <v>4361</v>
      </c>
      <c r="K329" s="794"/>
    </row>
    <row r="330" ht="15.75" customHeight="1">
      <c r="A330" s="1052"/>
      <c r="B330" s="1252" t="s">
        <v>200</v>
      </c>
      <c r="C330" s="28"/>
      <c r="D330" s="1057"/>
      <c r="E330" s="1057"/>
      <c r="F330" s="1002">
        <f t="shared" ref="F330:G330" si="6">SUM(F270:F329)</f>
        <v>81.8384</v>
      </c>
      <c r="G330" s="1063">
        <f t="shared" si="6"/>
        <v>1218891.64</v>
      </c>
      <c r="H330" s="1057"/>
      <c r="I330" s="1057"/>
      <c r="J330" s="1067"/>
      <c r="K330" s="1071"/>
      <c r="L330" s="392"/>
    </row>
    <row r="331" ht="15.75" customHeight="1">
      <c r="A331" s="1329"/>
      <c r="B331" s="1331" t="s">
        <v>3427</v>
      </c>
      <c r="C331" s="27"/>
      <c r="D331" s="27"/>
      <c r="E331" s="27"/>
      <c r="F331" s="27"/>
      <c r="G331" s="27"/>
      <c r="H331" s="27"/>
      <c r="I331" s="27"/>
      <c r="J331" s="800"/>
      <c r="K331" s="1334"/>
    </row>
    <row r="332" ht="15.75" customHeight="1">
      <c r="A332" s="978">
        <v>1.0</v>
      </c>
      <c r="B332" s="920" t="s">
        <v>4402</v>
      </c>
      <c r="C332" s="1338" t="s">
        <v>4403</v>
      </c>
      <c r="D332" s="1338" t="s">
        <v>681</v>
      </c>
      <c r="E332" s="1338" t="s">
        <v>4407</v>
      </c>
      <c r="F332" s="1319">
        <v>4.5</v>
      </c>
      <c r="G332" s="832">
        <v>66887.8</v>
      </c>
      <c r="H332" s="1338"/>
      <c r="I332" s="1338" t="s">
        <v>4408</v>
      </c>
      <c r="J332" s="1126" t="s">
        <v>4409</v>
      </c>
      <c r="K332" s="794"/>
    </row>
    <row r="333" ht="15.75" customHeight="1">
      <c r="A333" s="978">
        <v>2.0</v>
      </c>
      <c r="B333" s="920" t="s">
        <v>4410</v>
      </c>
      <c r="C333" s="1338" t="s">
        <v>4411</v>
      </c>
      <c r="D333" s="1338" t="s">
        <v>4412</v>
      </c>
      <c r="E333" s="1338" t="s">
        <v>4413</v>
      </c>
      <c r="F333" s="1319">
        <v>1.92</v>
      </c>
      <c r="G333" s="832">
        <v>42239.2</v>
      </c>
      <c r="H333" s="1338"/>
      <c r="I333" s="1338" t="s">
        <v>4414</v>
      </c>
      <c r="J333" s="1126" t="s">
        <v>4415</v>
      </c>
      <c r="K333" s="794"/>
    </row>
    <row r="334" ht="15.75" customHeight="1">
      <c r="A334" s="978">
        <v>3.0</v>
      </c>
      <c r="B334" s="920" t="s">
        <v>4416</v>
      </c>
      <c r="C334" s="1338" t="s">
        <v>4417</v>
      </c>
      <c r="D334" s="1338" t="s">
        <v>4418</v>
      </c>
      <c r="E334" s="1338" t="s">
        <v>4419</v>
      </c>
      <c r="F334" s="1319">
        <f>304/424</f>
        <v>0.7169811321</v>
      </c>
      <c r="G334" s="832">
        <v>13040.0</v>
      </c>
      <c r="H334" s="1338" t="s">
        <v>4421</v>
      </c>
      <c r="I334" s="1338" t="s">
        <v>681</v>
      </c>
      <c r="J334" s="1126" t="s">
        <v>4422</v>
      </c>
      <c r="K334" s="794"/>
    </row>
    <row r="335" ht="88.5" customHeight="1">
      <c r="A335" s="1345">
        <v>4.0</v>
      </c>
      <c r="B335" s="968" t="s">
        <v>4112</v>
      </c>
      <c r="C335" s="1242" t="s">
        <v>4427</v>
      </c>
      <c r="D335" s="1242" t="s">
        <v>1693</v>
      </c>
      <c r="E335" s="1242" t="s">
        <v>4428</v>
      </c>
      <c r="F335" s="1173">
        <v>3.13</v>
      </c>
      <c r="G335" s="899">
        <v>1330.8</v>
      </c>
      <c r="H335" s="1242" t="s">
        <v>4429</v>
      </c>
      <c r="I335" s="1242" t="s">
        <v>4430</v>
      </c>
      <c r="J335" s="1216" t="s">
        <v>4431</v>
      </c>
      <c r="K335" s="1185"/>
    </row>
    <row r="336" ht="15.75" customHeight="1">
      <c r="A336" s="1150"/>
      <c r="B336" s="939" t="s">
        <v>4432</v>
      </c>
      <c r="C336" s="1248" t="s">
        <v>4433</v>
      </c>
      <c r="D336" s="1248" t="s">
        <v>4434</v>
      </c>
      <c r="E336" s="1248" t="s">
        <v>4435</v>
      </c>
      <c r="F336" s="1162">
        <f>501.97/424</f>
        <v>1.183891509</v>
      </c>
      <c r="G336" s="943">
        <v>38038.4</v>
      </c>
      <c r="H336" s="1248"/>
      <c r="I336" s="1248" t="s">
        <v>681</v>
      </c>
      <c r="J336" s="1190" t="s">
        <v>4437</v>
      </c>
      <c r="K336" s="224" t="s">
        <v>4438</v>
      </c>
    </row>
    <row r="337" ht="15.75" customHeight="1">
      <c r="A337" s="978">
        <v>5.0</v>
      </c>
      <c r="B337" s="920" t="s">
        <v>2186</v>
      </c>
      <c r="C337" s="1338" t="s">
        <v>4439</v>
      </c>
      <c r="D337" s="1338" t="s">
        <v>4440</v>
      </c>
      <c r="E337" s="1338" t="s">
        <v>4441</v>
      </c>
      <c r="F337" s="1319">
        <f>94/424</f>
        <v>0.2216981132</v>
      </c>
      <c r="G337" s="832">
        <v>4700.0</v>
      </c>
      <c r="H337" s="1338" t="s">
        <v>4443</v>
      </c>
      <c r="I337" s="1355"/>
      <c r="J337" s="1359" t="s">
        <v>4447</v>
      </c>
      <c r="K337" s="794"/>
    </row>
    <row r="338" ht="15.75" customHeight="1">
      <c r="A338" s="978">
        <v>6.0</v>
      </c>
      <c r="B338" s="920" t="s">
        <v>4455</v>
      </c>
      <c r="C338" s="1338" t="s">
        <v>4456</v>
      </c>
      <c r="D338" s="1338" t="s">
        <v>4457</v>
      </c>
      <c r="E338" s="1338" t="s">
        <v>4458</v>
      </c>
      <c r="F338" s="1319">
        <v>2.8</v>
      </c>
      <c r="G338" s="832">
        <v>1188.99</v>
      </c>
      <c r="H338" s="1338"/>
      <c r="I338" s="1338" t="s">
        <v>4459</v>
      </c>
      <c r="J338" s="1126" t="s">
        <v>4460</v>
      </c>
      <c r="K338" s="794"/>
    </row>
    <row r="339" ht="15.75" customHeight="1">
      <c r="A339" s="978">
        <v>7.0</v>
      </c>
      <c r="B339" s="920" t="s">
        <v>3502</v>
      </c>
      <c r="C339" s="1338" t="s">
        <v>4461</v>
      </c>
      <c r="D339" s="1338" t="s">
        <v>4462</v>
      </c>
      <c r="E339" s="1338" t="s">
        <v>4463</v>
      </c>
      <c r="F339" s="1319">
        <f>1216.46/424</f>
        <v>2.869009434</v>
      </c>
      <c r="G339" s="832">
        <v>60823.0</v>
      </c>
      <c r="H339" s="1338"/>
      <c r="I339" s="1338" t="s">
        <v>4465</v>
      </c>
      <c r="J339" s="1126" t="s">
        <v>4466</v>
      </c>
      <c r="K339" s="794"/>
    </row>
    <row r="340" ht="15.75" customHeight="1">
      <c r="A340" s="978">
        <v>8.0</v>
      </c>
      <c r="B340" s="920" t="s">
        <v>4467</v>
      </c>
      <c r="C340" s="1338" t="s">
        <v>4468</v>
      </c>
      <c r="D340" s="1338" t="s">
        <v>681</v>
      </c>
      <c r="E340" s="1338" t="s">
        <v>4469</v>
      </c>
      <c r="F340" s="1319">
        <v>3.71</v>
      </c>
      <c r="G340" s="832">
        <v>78816.5</v>
      </c>
      <c r="H340" s="1338"/>
      <c r="I340" s="1338" t="s">
        <v>4459</v>
      </c>
      <c r="J340" s="1126" t="s">
        <v>4470</v>
      </c>
      <c r="K340" s="794"/>
    </row>
    <row r="341" ht="15.75" customHeight="1">
      <c r="A341" s="978">
        <v>9.0</v>
      </c>
      <c r="B341" s="920" t="s">
        <v>2361</v>
      </c>
      <c r="C341" s="1338" t="s">
        <v>4472</v>
      </c>
      <c r="D341" s="1338" t="s">
        <v>681</v>
      </c>
      <c r="E341" s="1338" t="s">
        <v>4473</v>
      </c>
      <c r="F341" s="1319">
        <v>0.284</v>
      </c>
      <c r="G341" s="832">
        <v>6033.0</v>
      </c>
      <c r="H341" s="1338"/>
      <c r="I341" s="1338" t="s">
        <v>4475</v>
      </c>
      <c r="J341" s="1126" t="s">
        <v>4476</v>
      </c>
      <c r="K341" s="794"/>
    </row>
    <row r="342" ht="96.0" customHeight="1">
      <c r="A342" s="978">
        <v>10.0</v>
      </c>
      <c r="B342" s="920" t="s">
        <v>2123</v>
      </c>
      <c r="C342" s="1338" t="s">
        <v>4478</v>
      </c>
      <c r="D342" s="1338" t="s">
        <v>4479</v>
      </c>
      <c r="E342" s="1338" t="s">
        <v>4481</v>
      </c>
      <c r="F342" s="1319">
        <v>2.0</v>
      </c>
      <c r="G342" s="832">
        <v>86799.75</v>
      </c>
      <c r="H342" s="1338" t="s">
        <v>4482</v>
      </c>
      <c r="I342" s="1338" t="s">
        <v>4475</v>
      </c>
      <c r="J342" s="1126" t="s">
        <v>4483</v>
      </c>
      <c r="K342" s="794"/>
    </row>
    <row r="343" ht="15.75" customHeight="1">
      <c r="A343" s="978">
        <v>11.0</v>
      </c>
      <c r="B343" s="920" t="s">
        <v>2657</v>
      </c>
      <c r="C343" s="1338" t="s">
        <v>4484</v>
      </c>
      <c r="D343" s="1338" t="s">
        <v>4485</v>
      </c>
      <c r="E343" s="1338" t="s">
        <v>4486</v>
      </c>
      <c r="F343" s="1319">
        <v>0.627</v>
      </c>
      <c r="G343" s="832">
        <v>13300.0</v>
      </c>
      <c r="H343" s="1338"/>
      <c r="I343" s="1338" t="s">
        <v>4487</v>
      </c>
      <c r="J343" s="1126" t="s">
        <v>4488</v>
      </c>
      <c r="K343" s="794"/>
    </row>
    <row r="344" ht="15.75" customHeight="1">
      <c r="A344" s="978">
        <v>12.0</v>
      </c>
      <c r="B344" s="920" t="s">
        <v>4489</v>
      </c>
      <c r="C344" s="1338" t="s">
        <v>4490</v>
      </c>
      <c r="D344" s="1338" t="s">
        <v>4491</v>
      </c>
      <c r="E344" s="1338" t="s">
        <v>4492</v>
      </c>
      <c r="F344" s="1319">
        <v>0.537</v>
      </c>
      <c r="G344" s="832">
        <v>11400.0</v>
      </c>
      <c r="H344" s="1338"/>
      <c r="I344" s="1338" t="s">
        <v>4493</v>
      </c>
      <c r="J344" s="1126" t="s">
        <v>4488</v>
      </c>
      <c r="K344" s="794"/>
    </row>
    <row r="345" ht="15.75" customHeight="1">
      <c r="A345" s="978">
        <v>13.0</v>
      </c>
      <c r="B345" s="920" t="s">
        <v>2847</v>
      </c>
      <c r="C345" s="1338" t="s">
        <v>4494</v>
      </c>
      <c r="D345" s="1338" t="s">
        <v>4495</v>
      </c>
      <c r="E345" s="1338" t="s">
        <v>4496</v>
      </c>
      <c r="F345" s="1319">
        <v>0.83</v>
      </c>
      <c r="G345" s="832">
        <v>43000.0</v>
      </c>
      <c r="H345" s="1338" t="s">
        <v>4497</v>
      </c>
      <c r="I345" s="1338" t="s">
        <v>4498</v>
      </c>
      <c r="J345" s="1126" t="s">
        <v>4499</v>
      </c>
      <c r="K345" s="794"/>
    </row>
    <row r="346" ht="15.75" customHeight="1">
      <c r="A346" s="978">
        <v>14.0</v>
      </c>
      <c r="B346" s="920" t="s">
        <v>4500</v>
      </c>
      <c r="C346" s="1338" t="s">
        <v>4501</v>
      </c>
      <c r="D346" s="1338" t="s">
        <v>4502</v>
      </c>
      <c r="E346" s="1338" t="s">
        <v>4503</v>
      </c>
      <c r="F346" s="1319">
        <v>0.6</v>
      </c>
      <c r="G346" s="832">
        <v>16051.0</v>
      </c>
      <c r="H346" s="1338"/>
      <c r="I346" s="1338" t="s">
        <v>4504</v>
      </c>
      <c r="J346" s="1126" t="s">
        <v>4488</v>
      </c>
      <c r="K346" s="794"/>
    </row>
    <row r="347" ht="45.0" customHeight="1">
      <c r="A347" s="978">
        <v>15.0</v>
      </c>
      <c r="B347" s="920" t="s">
        <v>2924</v>
      </c>
      <c r="C347" s="1338" t="s">
        <v>4506</v>
      </c>
      <c r="D347" s="1338" t="s">
        <v>4507</v>
      </c>
      <c r="E347" s="1338" t="s">
        <v>4508</v>
      </c>
      <c r="F347" s="1319">
        <v>1.3</v>
      </c>
      <c r="G347" s="832">
        <v>30000.0</v>
      </c>
      <c r="H347" s="1338"/>
      <c r="I347" s="1338" t="s">
        <v>681</v>
      </c>
      <c r="J347" s="1126" t="s">
        <v>4509</v>
      </c>
      <c r="K347" s="794"/>
    </row>
    <row r="348" ht="96.0" customHeight="1">
      <c r="A348" s="1150">
        <v>16.0</v>
      </c>
      <c r="B348" s="1367" t="s">
        <v>4324</v>
      </c>
      <c r="C348" s="1369" t="s">
        <v>4515</v>
      </c>
      <c r="D348" s="1369" t="s">
        <v>4516</v>
      </c>
      <c r="E348" s="1369" t="s">
        <v>4517</v>
      </c>
      <c r="F348" s="1373">
        <v>0.301</v>
      </c>
      <c r="G348" s="1077">
        <v>3840.0</v>
      </c>
      <c r="H348" s="1369"/>
      <c r="I348" s="1369" t="s">
        <v>681</v>
      </c>
      <c r="J348" s="1376" t="s">
        <v>4521</v>
      </c>
      <c r="K348" s="1379"/>
    </row>
    <row r="349" ht="15.75" customHeight="1">
      <c r="A349" s="1344"/>
      <c r="B349" s="1383" t="s">
        <v>200</v>
      </c>
      <c r="C349" s="28"/>
      <c r="D349" s="1057"/>
      <c r="E349" s="1057"/>
      <c r="F349" s="1002">
        <f t="shared" ref="F349:G349" si="7">SUM(F332:F348)</f>
        <v>27.53058019</v>
      </c>
      <c r="G349" s="1063">
        <f t="shared" si="7"/>
        <v>517488.44</v>
      </c>
      <c r="H349" s="1057"/>
      <c r="I349" s="1057"/>
      <c r="J349" s="1009"/>
      <c r="K349" s="1071"/>
    </row>
    <row r="350" ht="15.75" customHeight="1">
      <c r="A350" s="1387"/>
      <c r="B350" s="1391" t="s">
        <v>518</v>
      </c>
      <c r="C350" s="28"/>
      <c r="D350" s="1057"/>
      <c r="E350" s="1057"/>
      <c r="F350" s="1002">
        <f t="shared" ref="F350:G350" si="8">F349+F330+F268+F239+F155+F152+F19</f>
        <v>314.7655443</v>
      </c>
      <c r="G350" s="1006">
        <f t="shared" si="8"/>
        <v>6768381.28</v>
      </c>
      <c r="H350" s="1057"/>
      <c r="I350" s="1057"/>
      <c r="J350" s="1395"/>
      <c r="K350" s="1397"/>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D5:D6"/>
    <mergeCell ref="E5:G5"/>
    <mergeCell ref="H5:H6"/>
    <mergeCell ref="I5:I6"/>
    <mergeCell ref="K5:K6"/>
    <mergeCell ref="B1:J1"/>
    <mergeCell ref="B2:J2"/>
    <mergeCell ref="B3:J3"/>
    <mergeCell ref="B4:J4"/>
    <mergeCell ref="A5:A6"/>
    <mergeCell ref="B5:B6"/>
    <mergeCell ref="C5:C6"/>
    <mergeCell ref="B239:C239"/>
    <mergeCell ref="B268:C268"/>
    <mergeCell ref="B269:J269"/>
    <mergeCell ref="B330:C330"/>
    <mergeCell ref="B331:J331"/>
    <mergeCell ref="B349:C349"/>
    <mergeCell ref="B350:C350"/>
    <mergeCell ref="J5:J6"/>
    <mergeCell ref="A7:J7"/>
    <mergeCell ref="A8:J8"/>
    <mergeCell ref="A20:J20"/>
    <mergeCell ref="B153:J153"/>
    <mergeCell ref="B156:J156"/>
    <mergeCell ref="B240:J24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9.25"/>
    <col customWidth="1" min="2" max="2" width="21.38"/>
    <col customWidth="1" min="3" max="3" width="18.0"/>
    <col customWidth="1" min="4" max="4" width="17.13"/>
    <col customWidth="1" min="5" max="5" width="16.25"/>
    <col customWidth="1" min="6" max="7" width="13.88"/>
    <col customWidth="1" min="8" max="8" width="23.13"/>
    <col customWidth="1" min="9" max="9" width="16.75"/>
    <col customWidth="1" min="10" max="10" width="18.38"/>
    <col customWidth="1" min="11" max="11" width="17.63"/>
    <col customWidth="1" min="12" max="12" width="28.25"/>
    <col customWidth="1" min="13" max="13" width="26.88"/>
    <col customWidth="1" min="14" max="14" width="24.25"/>
  </cols>
  <sheetData>
    <row r="1">
      <c r="A1" s="596" t="s">
        <v>1825</v>
      </c>
    </row>
    <row r="2">
      <c r="A2" s="596" t="s">
        <v>3</v>
      </c>
    </row>
    <row r="3">
      <c r="A3" s="599" t="s">
        <v>1832</v>
      </c>
    </row>
    <row r="4">
      <c r="A4" s="769" t="s">
        <v>15</v>
      </c>
      <c r="B4" s="770"/>
      <c r="C4" s="770"/>
      <c r="D4" s="770"/>
      <c r="E4" s="770"/>
      <c r="F4" s="770"/>
      <c r="G4" s="770"/>
      <c r="H4" s="770"/>
      <c r="I4" s="770"/>
      <c r="J4" s="770"/>
      <c r="K4" s="770"/>
      <c r="L4" s="770"/>
      <c r="M4" s="770"/>
      <c r="N4" s="770"/>
    </row>
    <row r="5" ht="15.0" customHeight="1">
      <c r="A5" s="781" t="s">
        <v>28</v>
      </c>
      <c r="B5" s="608" t="s">
        <v>950</v>
      </c>
      <c r="C5" s="785" t="s">
        <v>954</v>
      </c>
      <c r="D5" s="785" t="s">
        <v>962</v>
      </c>
      <c r="E5" s="789" t="s">
        <v>965</v>
      </c>
      <c r="F5" s="5"/>
      <c r="G5" s="5"/>
      <c r="H5" s="792"/>
      <c r="I5" s="785" t="s">
        <v>1841</v>
      </c>
      <c r="J5" s="785" t="s">
        <v>1885</v>
      </c>
      <c r="K5" s="795" t="s">
        <v>973</v>
      </c>
      <c r="L5" s="798" t="s">
        <v>22</v>
      </c>
      <c r="M5" s="803" t="s">
        <v>1914</v>
      </c>
      <c r="N5" s="803"/>
    </row>
    <row r="6">
      <c r="A6" s="432"/>
      <c r="B6" s="616"/>
      <c r="C6" s="397"/>
      <c r="D6" s="397"/>
      <c r="E6" s="619" t="s">
        <v>1268</v>
      </c>
      <c r="F6" s="619" t="s">
        <v>8</v>
      </c>
      <c r="G6" s="619"/>
      <c r="H6" s="805" t="s">
        <v>986</v>
      </c>
      <c r="I6" s="397"/>
      <c r="J6" s="397"/>
      <c r="K6" s="787"/>
      <c r="L6" s="627"/>
      <c r="M6" s="779"/>
      <c r="N6" s="779"/>
    </row>
    <row r="7" ht="17.25" customHeight="1">
      <c r="A7" s="809" t="s">
        <v>27</v>
      </c>
      <c r="B7" s="425"/>
      <c r="C7" s="425"/>
      <c r="D7" s="425"/>
      <c r="E7" s="425"/>
      <c r="F7" s="425"/>
      <c r="G7" s="425"/>
      <c r="H7" s="425"/>
      <c r="I7" s="425"/>
      <c r="J7" s="425"/>
      <c r="K7" s="425"/>
      <c r="L7" s="439"/>
      <c r="M7" s="811"/>
      <c r="N7" s="814"/>
    </row>
    <row r="8" ht="15.0" customHeight="1">
      <c r="A8" s="818" t="s">
        <v>1942</v>
      </c>
      <c r="B8" s="27"/>
      <c r="C8" s="27"/>
      <c r="D8" s="27"/>
      <c r="E8" s="27"/>
      <c r="F8" s="27"/>
      <c r="G8" s="27"/>
      <c r="H8" s="27"/>
      <c r="I8" s="27"/>
      <c r="J8" s="27"/>
      <c r="K8" s="27"/>
      <c r="L8" s="687"/>
      <c r="M8" s="820"/>
      <c r="N8" s="823"/>
    </row>
    <row r="9">
      <c r="A9" s="824"/>
      <c r="B9" s="824" t="s">
        <v>1952</v>
      </c>
      <c r="C9" s="824" t="s">
        <v>1953</v>
      </c>
      <c r="D9" s="824" t="s">
        <v>1954</v>
      </c>
      <c r="E9" s="824" t="s">
        <v>1956</v>
      </c>
      <c r="F9" s="824">
        <v>4.84</v>
      </c>
      <c r="G9" s="824"/>
      <c r="H9" s="827">
        <v>92385.0</v>
      </c>
      <c r="I9" s="831" t="s">
        <v>1967</v>
      </c>
      <c r="J9" s="827">
        <v>700000.0</v>
      </c>
      <c r="K9" s="824" t="s">
        <v>1033</v>
      </c>
      <c r="L9" s="824" t="s">
        <v>1973</v>
      </c>
      <c r="M9" s="835"/>
      <c r="N9" s="835"/>
    </row>
    <row r="10">
      <c r="A10" s="839"/>
      <c r="B10" s="843" t="s">
        <v>200</v>
      </c>
      <c r="C10" s="849"/>
      <c r="D10" s="849"/>
      <c r="E10" s="849"/>
      <c r="F10" s="853">
        <f>SUM(F9)</f>
        <v>4.84</v>
      </c>
      <c r="G10" s="853"/>
      <c r="H10" s="857">
        <f>SUM(H9)</f>
        <v>92385</v>
      </c>
      <c r="I10" s="853"/>
      <c r="J10" s="857">
        <f>SUM(J9)</f>
        <v>700000</v>
      </c>
      <c r="K10" s="859"/>
      <c r="L10" s="849"/>
      <c r="M10" s="867"/>
      <c r="N10" s="871"/>
    </row>
    <row r="11">
      <c r="A11" s="875">
        <v>2022.0</v>
      </c>
      <c r="B11" s="5"/>
      <c r="C11" s="5"/>
      <c r="D11" s="5"/>
      <c r="E11" s="5"/>
      <c r="F11" s="5"/>
      <c r="G11" s="5"/>
      <c r="H11" s="5"/>
      <c r="I11" s="5"/>
      <c r="J11" s="5"/>
      <c r="K11" s="5"/>
      <c r="L11" s="5"/>
      <c r="M11" s="5"/>
      <c r="N11" s="792"/>
    </row>
    <row r="12">
      <c r="A12" s="879">
        <v>1.0</v>
      </c>
      <c r="B12" s="883" t="s">
        <v>2041</v>
      </c>
      <c r="C12" s="883" t="s">
        <v>2044</v>
      </c>
      <c r="D12" s="883" t="s">
        <v>2045</v>
      </c>
      <c r="E12" s="883" t="s">
        <v>2046</v>
      </c>
      <c r="F12" s="887">
        <v>0.53</v>
      </c>
      <c r="G12" s="887"/>
      <c r="H12" s="887">
        <v>6716.16</v>
      </c>
      <c r="I12" s="891"/>
      <c r="J12" s="883"/>
      <c r="K12" s="895" t="s">
        <v>2083</v>
      </c>
      <c r="L12" s="883" t="s">
        <v>2098</v>
      </c>
      <c r="M12" s="898"/>
      <c r="N12" s="835"/>
    </row>
    <row r="13">
      <c r="A13" s="904">
        <v>2.0</v>
      </c>
      <c r="B13" s="824" t="s">
        <v>2137</v>
      </c>
      <c r="C13" s="824" t="s">
        <v>2139</v>
      </c>
      <c r="D13" s="824" t="s">
        <v>2141</v>
      </c>
      <c r="E13" s="824" t="s">
        <v>2142</v>
      </c>
      <c r="F13" s="827">
        <v>0.41</v>
      </c>
      <c r="G13" s="827"/>
      <c r="H13" s="827">
        <v>7779.15</v>
      </c>
      <c r="I13" s="831" t="s">
        <v>2147</v>
      </c>
      <c r="J13" s="824"/>
      <c r="K13" s="836" t="s">
        <v>346</v>
      </c>
      <c r="L13" s="824" t="s">
        <v>2151</v>
      </c>
      <c r="M13" s="907">
        <v>1.0</v>
      </c>
      <c r="N13" s="911"/>
    </row>
    <row r="14">
      <c r="A14" s="904">
        <v>3.0</v>
      </c>
      <c r="B14" s="824" t="s">
        <v>2162</v>
      </c>
      <c r="C14" s="824" t="s">
        <v>2163</v>
      </c>
      <c r="D14" s="824" t="s">
        <v>503</v>
      </c>
      <c r="E14" s="824" t="s">
        <v>2164</v>
      </c>
      <c r="F14" s="916">
        <f>84/424</f>
        <v>0.1981132075</v>
      </c>
      <c r="G14" s="916"/>
      <c r="H14" s="827">
        <v>5040.0</v>
      </c>
      <c r="I14" s="831"/>
      <c r="J14" s="824"/>
      <c r="K14" s="836" t="s">
        <v>503</v>
      </c>
      <c r="L14" s="824" t="s">
        <v>2200</v>
      </c>
      <c r="M14" s="907">
        <v>2.0</v>
      </c>
      <c r="N14" s="911"/>
    </row>
    <row r="15">
      <c r="A15" s="918">
        <v>4.0</v>
      </c>
      <c r="B15" s="609" t="s">
        <v>2162</v>
      </c>
      <c r="C15" s="609" t="s">
        <v>1023</v>
      </c>
      <c r="D15" s="609" t="s">
        <v>1033</v>
      </c>
      <c r="E15" s="609" t="s">
        <v>2207</v>
      </c>
      <c r="F15" s="922">
        <v>0.27</v>
      </c>
      <c r="G15" s="922"/>
      <c r="H15" s="926">
        <v>4094.65</v>
      </c>
      <c r="I15" s="929"/>
      <c r="J15" s="609"/>
      <c r="K15" s="933" t="s">
        <v>1033</v>
      </c>
      <c r="L15" s="609" t="s">
        <v>2293</v>
      </c>
      <c r="M15" s="936">
        <v>3.0</v>
      </c>
      <c r="N15" s="940">
        <v>1.0</v>
      </c>
    </row>
    <row r="16">
      <c r="A16" s="904">
        <v>5.0</v>
      </c>
      <c r="B16" s="824" t="s">
        <v>2317</v>
      </c>
      <c r="C16" s="824" t="s">
        <v>2318</v>
      </c>
      <c r="D16" s="824" t="s">
        <v>228</v>
      </c>
      <c r="E16" s="824" t="s">
        <v>2319</v>
      </c>
      <c r="F16" s="916">
        <v>0.11</v>
      </c>
      <c r="G16" s="916"/>
      <c r="H16" s="827">
        <v>1680.0</v>
      </c>
      <c r="I16" s="831" t="s">
        <v>1596</v>
      </c>
      <c r="J16" s="824"/>
      <c r="K16" s="836" t="s">
        <v>2320</v>
      </c>
      <c r="L16" s="824" t="s">
        <v>2321</v>
      </c>
      <c r="M16" s="907">
        <v>4.0</v>
      </c>
      <c r="N16" s="911"/>
    </row>
    <row r="17">
      <c r="A17" s="918">
        <v>6.0</v>
      </c>
      <c r="B17" s="609" t="s">
        <v>2322</v>
      </c>
      <c r="C17" s="609" t="s">
        <v>2323</v>
      </c>
      <c r="D17" s="609" t="s">
        <v>481</v>
      </c>
      <c r="E17" s="609" t="s">
        <v>826</v>
      </c>
      <c r="F17" s="922">
        <v>0.48</v>
      </c>
      <c r="G17" s="922"/>
      <c r="H17" s="926">
        <v>8240.0</v>
      </c>
      <c r="I17" s="929"/>
      <c r="J17" s="609"/>
      <c r="K17" s="933" t="s">
        <v>481</v>
      </c>
      <c r="L17" s="609" t="s">
        <v>2325</v>
      </c>
      <c r="M17" s="936">
        <v>5.0</v>
      </c>
      <c r="N17" s="940"/>
    </row>
    <row r="18">
      <c r="A18" s="918">
        <v>7.0</v>
      </c>
      <c r="B18" s="609" t="s">
        <v>2326</v>
      </c>
      <c r="C18" s="609" t="s">
        <v>2067</v>
      </c>
      <c r="D18" s="609" t="s">
        <v>1033</v>
      </c>
      <c r="E18" s="609" t="s">
        <v>2327</v>
      </c>
      <c r="F18" s="922">
        <v>0.67</v>
      </c>
      <c r="G18" s="922"/>
      <c r="H18" s="926">
        <v>8525.4</v>
      </c>
      <c r="I18" s="929"/>
      <c r="J18" s="609"/>
      <c r="K18" s="933" t="s">
        <v>1033</v>
      </c>
      <c r="L18" s="609" t="s">
        <v>2328</v>
      </c>
      <c r="M18" s="936">
        <v>6.0</v>
      </c>
      <c r="N18" s="940"/>
    </row>
    <row r="19">
      <c r="A19" s="918">
        <v>8.0</v>
      </c>
      <c r="B19" s="609" t="s">
        <v>2326</v>
      </c>
      <c r="C19" s="609" t="s">
        <v>2067</v>
      </c>
      <c r="D19" s="609" t="s">
        <v>1033</v>
      </c>
      <c r="E19" s="609" t="s">
        <v>2329</v>
      </c>
      <c r="F19" s="922">
        <v>0.31</v>
      </c>
      <c r="G19" s="922"/>
      <c r="H19" s="926">
        <v>3990.0</v>
      </c>
      <c r="I19" s="929"/>
      <c r="J19" s="609"/>
      <c r="K19" s="933" t="s">
        <v>1033</v>
      </c>
      <c r="L19" s="609" t="s">
        <v>2330</v>
      </c>
      <c r="M19" s="936"/>
      <c r="N19" s="940"/>
    </row>
    <row r="20">
      <c r="A20" s="918">
        <v>9.0</v>
      </c>
      <c r="B20" s="609" t="s">
        <v>2331</v>
      </c>
      <c r="C20" s="609" t="s">
        <v>2063</v>
      </c>
      <c r="D20" s="609" t="s">
        <v>481</v>
      </c>
      <c r="E20" s="609" t="s">
        <v>386</v>
      </c>
      <c r="F20" s="922">
        <v>0.49</v>
      </c>
      <c r="G20" s="922"/>
      <c r="H20" s="926">
        <v>8400.0</v>
      </c>
      <c r="I20" s="929" t="s">
        <v>2332</v>
      </c>
      <c r="J20" s="609"/>
      <c r="K20" s="933" t="s">
        <v>481</v>
      </c>
      <c r="L20" s="609" t="s">
        <v>2333</v>
      </c>
      <c r="M20" s="936">
        <v>7.0</v>
      </c>
      <c r="N20" s="940"/>
    </row>
    <row r="21" ht="15.75" customHeight="1">
      <c r="A21" s="918">
        <v>10.0</v>
      </c>
      <c r="B21" s="609" t="s">
        <v>2334</v>
      </c>
      <c r="C21" s="609" t="s">
        <v>2335</v>
      </c>
      <c r="D21" s="609" t="s">
        <v>228</v>
      </c>
      <c r="E21" s="609" t="s">
        <v>2336</v>
      </c>
      <c r="F21" s="922">
        <v>0.15</v>
      </c>
      <c r="G21" s="922"/>
      <c r="H21" s="926">
        <v>6500.0</v>
      </c>
      <c r="I21" s="929" t="s">
        <v>1596</v>
      </c>
      <c r="J21" s="609"/>
      <c r="K21" s="933" t="s">
        <v>346</v>
      </c>
      <c r="L21" s="609" t="s">
        <v>2337</v>
      </c>
      <c r="M21" s="936">
        <v>8.0</v>
      </c>
      <c r="N21" s="940"/>
    </row>
    <row r="22" ht="15.75" customHeight="1">
      <c r="A22" s="918">
        <v>11.0</v>
      </c>
      <c r="B22" s="609" t="s">
        <v>2339</v>
      </c>
      <c r="C22" s="609" t="s">
        <v>2340</v>
      </c>
      <c r="D22" s="609" t="s">
        <v>1033</v>
      </c>
      <c r="E22" s="609" t="s">
        <v>2341</v>
      </c>
      <c r="F22" s="922">
        <f>267.1/424</f>
        <v>0.6299528302</v>
      </c>
      <c r="G22" s="922"/>
      <c r="H22" s="926">
        <v>10684.0</v>
      </c>
      <c r="I22" s="929"/>
      <c r="J22" s="609"/>
      <c r="K22" s="933" t="s">
        <v>1033</v>
      </c>
      <c r="L22" s="609" t="s">
        <v>2343</v>
      </c>
      <c r="M22" s="936"/>
      <c r="N22" s="940"/>
    </row>
    <row r="23" ht="15.75" customHeight="1">
      <c r="A23" s="904">
        <v>12.0</v>
      </c>
      <c r="B23" s="824" t="s">
        <v>2346</v>
      </c>
      <c r="C23" s="824" t="s">
        <v>2347</v>
      </c>
      <c r="D23" s="824" t="s">
        <v>134</v>
      </c>
      <c r="E23" s="824" t="s">
        <v>2349</v>
      </c>
      <c r="F23" s="916">
        <v>0.15</v>
      </c>
      <c r="G23" s="916"/>
      <c r="H23" s="827">
        <v>2925.0</v>
      </c>
      <c r="I23" s="831"/>
      <c r="J23" s="824"/>
      <c r="K23" s="836" t="s">
        <v>346</v>
      </c>
      <c r="L23" s="824" t="s">
        <v>2352</v>
      </c>
      <c r="M23" s="907"/>
      <c r="N23" s="911"/>
    </row>
    <row r="24" ht="15.75" customHeight="1">
      <c r="A24" s="904">
        <v>13.0</v>
      </c>
      <c r="B24" s="949" t="s">
        <v>2355</v>
      </c>
      <c r="C24" s="824" t="s">
        <v>2182</v>
      </c>
      <c r="D24" s="824" t="s">
        <v>2214</v>
      </c>
      <c r="E24" s="824" t="s">
        <v>2054</v>
      </c>
      <c r="F24" s="952">
        <v>0.27</v>
      </c>
      <c r="G24" s="952"/>
      <c r="H24" s="827">
        <v>5175.0</v>
      </c>
      <c r="I24" s="831"/>
      <c r="J24" s="824"/>
      <c r="K24" s="836" t="s">
        <v>2416</v>
      </c>
      <c r="L24" s="824" t="s">
        <v>2417</v>
      </c>
      <c r="M24" s="907"/>
      <c r="N24" s="911"/>
    </row>
    <row r="25" ht="15.75" customHeight="1">
      <c r="A25" s="879">
        <v>14.0</v>
      </c>
      <c r="B25" s="953" t="s">
        <v>2422</v>
      </c>
      <c r="C25" s="883" t="s">
        <v>2434</v>
      </c>
      <c r="D25" s="883" t="s">
        <v>2214</v>
      </c>
      <c r="E25" s="883" t="s">
        <v>1024</v>
      </c>
      <c r="F25" s="955">
        <v>0.25</v>
      </c>
      <c r="G25" s="955"/>
      <c r="H25" s="887">
        <v>4770.0</v>
      </c>
      <c r="I25" s="891"/>
      <c r="J25" s="883"/>
      <c r="K25" s="895" t="s">
        <v>2461</v>
      </c>
      <c r="L25" s="883" t="s">
        <v>2462</v>
      </c>
      <c r="M25" s="959" t="s">
        <v>2463</v>
      </c>
      <c r="N25" s="911"/>
    </row>
    <row r="26" ht="15.75" customHeight="1">
      <c r="A26" s="904">
        <v>15.0</v>
      </c>
      <c r="B26" s="949" t="s">
        <v>2470</v>
      </c>
      <c r="C26" s="824" t="s">
        <v>2471</v>
      </c>
      <c r="D26" s="824" t="s">
        <v>1954</v>
      </c>
      <c r="E26" s="824" t="s">
        <v>2472</v>
      </c>
      <c r="F26" s="952">
        <v>0.37</v>
      </c>
      <c r="G26" s="952"/>
      <c r="H26" s="827">
        <v>8317.65</v>
      </c>
      <c r="I26" s="831"/>
      <c r="J26" s="824"/>
      <c r="K26" s="836" t="s">
        <v>2473</v>
      </c>
      <c r="L26" s="824" t="s">
        <v>2474</v>
      </c>
      <c r="M26" s="907"/>
      <c r="N26" s="911"/>
    </row>
    <row r="27" ht="15.75" customHeight="1">
      <c r="A27" s="904">
        <v>16.0</v>
      </c>
      <c r="B27" s="949" t="s">
        <v>2475</v>
      </c>
      <c r="C27" s="824" t="s">
        <v>2379</v>
      </c>
      <c r="D27" s="824" t="s">
        <v>481</v>
      </c>
      <c r="E27" s="824" t="s">
        <v>386</v>
      </c>
      <c r="F27" s="952">
        <v>0.28</v>
      </c>
      <c r="G27" s="952"/>
      <c r="H27" s="827">
        <v>5400.0</v>
      </c>
      <c r="I27" s="831"/>
      <c r="J27" s="824"/>
      <c r="K27" s="836" t="s">
        <v>2476</v>
      </c>
      <c r="L27" s="824" t="s">
        <v>2477</v>
      </c>
      <c r="M27" s="907">
        <v>9.0</v>
      </c>
      <c r="N27" s="911"/>
    </row>
    <row r="28" ht="15.75" customHeight="1">
      <c r="A28" s="904">
        <v>17.0</v>
      </c>
      <c r="B28" s="949" t="s">
        <v>2478</v>
      </c>
      <c r="C28" s="824" t="s">
        <v>2479</v>
      </c>
      <c r="D28" s="824" t="s">
        <v>1969</v>
      </c>
      <c r="E28" s="824" t="s">
        <v>427</v>
      </c>
      <c r="F28" s="952">
        <v>0.22</v>
      </c>
      <c r="G28" s="952"/>
      <c r="H28" s="827">
        <v>4365.0</v>
      </c>
      <c r="I28" s="831" t="s">
        <v>2480</v>
      </c>
      <c r="J28" s="824"/>
      <c r="K28" s="836" t="s">
        <v>2473</v>
      </c>
      <c r="L28" s="824" t="s">
        <v>2482</v>
      </c>
      <c r="M28" s="907">
        <v>10.0</v>
      </c>
      <c r="N28" s="911"/>
    </row>
    <row r="29" ht="15.75" customHeight="1">
      <c r="A29" s="904">
        <v>18.0</v>
      </c>
      <c r="B29" s="949" t="s">
        <v>2483</v>
      </c>
      <c r="C29" s="824" t="s">
        <v>2484</v>
      </c>
      <c r="D29" s="824" t="s">
        <v>481</v>
      </c>
      <c r="E29" s="824" t="s">
        <v>2486</v>
      </c>
      <c r="F29" s="952">
        <v>0.62</v>
      </c>
      <c r="G29" s="952"/>
      <c r="H29" s="827">
        <v>11880.0</v>
      </c>
      <c r="I29" s="831" t="s">
        <v>2488</v>
      </c>
      <c r="J29" s="824"/>
      <c r="K29" s="836" t="s">
        <v>481</v>
      </c>
      <c r="L29" s="824" t="s">
        <v>2490</v>
      </c>
      <c r="M29" s="907">
        <v>11.0</v>
      </c>
      <c r="N29" s="911"/>
    </row>
    <row r="30" ht="15.75" customHeight="1">
      <c r="A30" s="904">
        <v>19.0</v>
      </c>
      <c r="B30" s="949" t="s">
        <v>2483</v>
      </c>
      <c r="C30" s="824" t="s">
        <v>2491</v>
      </c>
      <c r="D30" s="824" t="s">
        <v>606</v>
      </c>
      <c r="E30" s="824" t="s">
        <v>758</v>
      </c>
      <c r="F30" s="952"/>
      <c r="G30" s="952"/>
      <c r="H30" s="827">
        <v>7500.0</v>
      </c>
      <c r="I30" s="831" t="s">
        <v>2492</v>
      </c>
      <c r="J30" s="824"/>
      <c r="K30" s="836" t="s">
        <v>606</v>
      </c>
      <c r="L30" s="824" t="s">
        <v>2493</v>
      </c>
      <c r="M30" s="907">
        <v>12.0</v>
      </c>
      <c r="N30" s="911"/>
    </row>
    <row r="31" ht="15.75" customHeight="1">
      <c r="A31" s="904">
        <v>20.0</v>
      </c>
      <c r="B31" s="949" t="s">
        <v>2494</v>
      </c>
      <c r="C31" s="824" t="s">
        <v>2495</v>
      </c>
      <c r="D31" s="824" t="s">
        <v>1033</v>
      </c>
      <c r="E31" s="824" t="s">
        <v>2496</v>
      </c>
      <c r="F31" s="952">
        <v>0.69</v>
      </c>
      <c r="G31" s="952"/>
      <c r="H31" s="827">
        <v>8776.8</v>
      </c>
      <c r="I31" s="831"/>
      <c r="J31" s="824"/>
      <c r="K31" s="836" t="s">
        <v>1033</v>
      </c>
      <c r="L31" s="824" t="s">
        <v>2497</v>
      </c>
      <c r="M31" s="907">
        <v>13.0</v>
      </c>
      <c r="N31" s="911"/>
    </row>
    <row r="32" ht="15.75" customHeight="1">
      <c r="A32" s="904">
        <v>21.0</v>
      </c>
      <c r="B32" s="949" t="s">
        <v>2498</v>
      </c>
      <c r="C32" s="824" t="s">
        <v>2499</v>
      </c>
      <c r="D32" s="824" t="s">
        <v>481</v>
      </c>
      <c r="E32" s="824" t="s">
        <v>2500</v>
      </c>
      <c r="F32" s="952">
        <v>4.82</v>
      </c>
      <c r="G32" s="952"/>
      <c r="H32" s="827">
        <v>91949.85</v>
      </c>
      <c r="I32" s="831" t="s">
        <v>1488</v>
      </c>
      <c r="J32" s="824"/>
      <c r="K32" s="836" t="s">
        <v>481</v>
      </c>
      <c r="L32" s="824" t="s">
        <v>2501</v>
      </c>
      <c r="M32" s="907">
        <v>14.0</v>
      </c>
      <c r="N32" s="911"/>
    </row>
    <row r="33" ht="15.75" customHeight="1">
      <c r="A33" s="904">
        <v>22.0</v>
      </c>
      <c r="B33" s="949" t="s">
        <v>2498</v>
      </c>
      <c r="C33" s="824" t="s">
        <v>1622</v>
      </c>
      <c r="D33" s="824" t="s">
        <v>481</v>
      </c>
      <c r="E33" s="824" t="s">
        <v>791</v>
      </c>
      <c r="F33" s="952">
        <v>0.24</v>
      </c>
      <c r="G33" s="952"/>
      <c r="H33" s="827">
        <v>3561.6</v>
      </c>
      <c r="I33" s="831" t="s">
        <v>2502</v>
      </c>
      <c r="J33" s="824"/>
      <c r="K33" s="836" t="s">
        <v>481</v>
      </c>
      <c r="L33" s="824" t="s">
        <v>2503</v>
      </c>
      <c r="M33" s="907">
        <v>15.0</v>
      </c>
      <c r="N33" s="911"/>
    </row>
    <row r="34" ht="15.75" customHeight="1">
      <c r="A34" s="904">
        <v>23.0</v>
      </c>
      <c r="B34" s="949" t="s">
        <v>2504</v>
      </c>
      <c r="C34" s="824" t="s">
        <v>1459</v>
      </c>
      <c r="D34" s="824" t="s">
        <v>1969</v>
      </c>
      <c r="E34" s="824" t="s">
        <v>2506</v>
      </c>
      <c r="F34" s="952">
        <v>0.8</v>
      </c>
      <c r="G34" s="952"/>
      <c r="H34" s="827">
        <v>15329.7</v>
      </c>
      <c r="I34" s="831" t="s">
        <v>2508</v>
      </c>
      <c r="J34" s="824"/>
      <c r="K34" s="836" t="s">
        <v>1969</v>
      </c>
      <c r="L34" s="824" t="s">
        <v>2509</v>
      </c>
      <c r="M34" s="907">
        <v>16.0</v>
      </c>
      <c r="N34" s="911"/>
    </row>
    <row r="35" ht="15.75" customHeight="1">
      <c r="A35" s="904">
        <v>24.0</v>
      </c>
      <c r="B35" s="949" t="s">
        <v>2510</v>
      </c>
      <c r="C35" s="824" t="s">
        <v>2511</v>
      </c>
      <c r="D35" s="824" t="s">
        <v>481</v>
      </c>
      <c r="E35" s="824" t="s">
        <v>2512</v>
      </c>
      <c r="F35" s="952">
        <v>0.31</v>
      </c>
      <c r="G35" s="952"/>
      <c r="H35" s="827">
        <v>3960.0</v>
      </c>
      <c r="I35" s="831" t="s">
        <v>2513</v>
      </c>
      <c r="J35" s="824"/>
      <c r="K35" s="836" t="s">
        <v>346</v>
      </c>
      <c r="L35" s="824" t="s">
        <v>2515</v>
      </c>
      <c r="M35" s="907">
        <v>17.0</v>
      </c>
      <c r="N35" s="911"/>
    </row>
    <row r="36" ht="15.75" customHeight="1">
      <c r="A36" s="904">
        <v>25.0</v>
      </c>
      <c r="B36" s="949" t="s">
        <v>2510</v>
      </c>
      <c r="C36" s="824" t="s">
        <v>2511</v>
      </c>
      <c r="D36" s="824" t="s">
        <v>481</v>
      </c>
      <c r="E36" s="824" t="s">
        <v>2517</v>
      </c>
      <c r="F36" s="952">
        <v>0.31</v>
      </c>
      <c r="G36" s="952"/>
      <c r="H36" s="827">
        <v>3960.0</v>
      </c>
      <c r="I36" s="831" t="s">
        <v>2519</v>
      </c>
      <c r="J36" s="824"/>
      <c r="K36" s="836" t="s">
        <v>346</v>
      </c>
      <c r="L36" s="824" t="s">
        <v>2520</v>
      </c>
      <c r="M36" s="907">
        <v>18.0</v>
      </c>
      <c r="N36" s="911"/>
    </row>
    <row r="37" ht="15.75" customHeight="1">
      <c r="A37" s="904">
        <v>26.0</v>
      </c>
      <c r="B37" s="949" t="s">
        <v>2521</v>
      </c>
      <c r="C37" s="824" t="s">
        <v>2182</v>
      </c>
      <c r="D37" s="824" t="s">
        <v>481</v>
      </c>
      <c r="E37" s="824" t="s">
        <v>2077</v>
      </c>
      <c r="F37" s="952">
        <v>0.57</v>
      </c>
      <c r="G37" s="952"/>
      <c r="H37" s="827">
        <v>10890.0</v>
      </c>
      <c r="I37" s="831"/>
      <c r="J37" s="824"/>
      <c r="K37" s="836" t="s">
        <v>481</v>
      </c>
      <c r="L37" s="824" t="s">
        <v>2523</v>
      </c>
      <c r="M37" s="907"/>
      <c r="N37" s="911"/>
    </row>
    <row r="38" ht="15.75" customHeight="1">
      <c r="A38" s="904">
        <v>27.0</v>
      </c>
      <c r="B38" s="949" t="s">
        <v>2525</v>
      </c>
      <c r="C38" s="824" t="s">
        <v>2182</v>
      </c>
      <c r="D38" s="824" t="s">
        <v>134</v>
      </c>
      <c r="E38" s="824" t="s">
        <v>2526</v>
      </c>
      <c r="F38" s="952">
        <v>0.7</v>
      </c>
      <c r="G38" s="952"/>
      <c r="H38" s="827">
        <v>13356.0</v>
      </c>
      <c r="I38" s="831" t="s">
        <v>2529</v>
      </c>
      <c r="J38" s="824"/>
      <c r="K38" s="836" t="s">
        <v>481</v>
      </c>
      <c r="L38" s="883"/>
      <c r="M38" s="907"/>
      <c r="N38" s="911"/>
    </row>
    <row r="39" ht="15.75" customHeight="1">
      <c r="A39" s="904">
        <v>28.0</v>
      </c>
      <c r="B39" s="949" t="s">
        <v>2531</v>
      </c>
      <c r="C39" s="824" t="s">
        <v>2533</v>
      </c>
      <c r="D39" s="824" t="s">
        <v>503</v>
      </c>
      <c r="E39" s="824" t="s">
        <v>944</v>
      </c>
      <c r="F39" s="952">
        <v>0.26</v>
      </c>
      <c r="G39" s="952"/>
      <c r="H39" s="827">
        <v>6666.0</v>
      </c>
      <c r="I39" s="831" t="s">
        <v>2536</v>
      </c>
      <c r="J39" s="824"/>
      <c r="K39" s="836" t="s">
        <v>503</v>
      </c>
      <c r="L39" s="824" t="s">
        <v>2537</v>
      </c>
      <c r="M39" s="907"/>
      <c r="N39" s="911"/>
    </row>
    <row r="40" ht="15.75" customHeight="1">
      <c r="A40" s="904">
        <v>29.0</v>
      </c>
      <c r="B40" s="949" t="s">
        <v>2539</v>
      </c>
      <c r="C40" s="824" t="s">
        <v>2540</v>
      </c>
      <c r="D40" s="824" t="s">
        <v>134</v>
      </c>
      <c r="E40" s="824" t="s">
        <v>2542</v>
      </c>
      <c r="F40" s="952">
        <v>0.33</v>
      </c>
      <c r="G40" s="952"/>
      <c r="H40" s="827">
        <v>12537.0</v>
      </c>
      <c r="I40" s="831" t="s">
        <v>2543</v>
      </c>
      <c r="J40" s="824"/>
      <c r="K40" s="836" t="s">
        <v>503</v>
      </c>
      <c r="L40" s="824" t="s">
        <v>2537</v>
      </c>
      <c r="M40" s="907"/>
      <c r="N40" s="911"/>
    </row>
    <row r="41" ht="15.75" customHeight="1">
      <c r="A41" s="904">
        <v>30.0</v>
      </c>
      <c r="B41" s="949" t="s">
        <v>2546</v>
      </c>
      <c r="C41" s="824" t="s">
        <v>2547</v>
      </c>
      <c r="D41" s="824" t="s">
        <v>503</v>
      </c>
      <c r="E41" s="824" t="s">
        <v>2550</v>
      </c>
      <c r="F41" s="952">
        <v>1.48</v>
      </c>
      <c r="G41" s="952"/>
      <c r="H41" s="827">
        <v>28350.0</v>
      </c>
      <c r="I41" s="831"/>
      <c r="J41" s="824"/>
      <c r="K41" s="836" t="s">
        <v>503</v>
      </c>
      <c r="L41" s="824" t="s">
        <v>2537</v>
      </c>
      <c r="M41" s="907"/>
      <c r="N41" s="911"/>
    </row>
    <row r="42" ht="15.75" customHeight="1">
      <c r="A42" s="918">
        <v>31.0</v>
      </c>
      <c r="B42" s="965" t="s">
        <v>2558</v>
      </c>
      <c r="C42" s="609" t="s">
        <v>2569</v>
      </c>
      <c r="D42" s="609" t="s">
        <v>481</v>
      </c>
      <c r="E42" s="609" t="s">
        <v>957</v>
      </c>
      <c r="F42" s="967">
        <f>356/424</f>
        <v>0.8396226415</v>
      </c>
      <c r="G42" s="967"/>
      <c r="H42" s="926">
        <v>16020.0</v>
      </c>
      <c r="I42" s="929"/>
      <c r="J42" s="609"/>
      <c r="K42" s="933"/>
      <c r="L42" s="609" t="s">
        <v>2575</v>
      </c>
      <c r="M42" s="971" t="s">
        <v>2576</v>
      </c>
      <c r="N42" s="971" t="s">
        <v>2598</v>
      </c>
    </row>
    <row r="43" ht="15.75" customHeight="1">
      <c r="A43" s="879">
        <v>32.0</v>
      </c>
      <c r="B43" s="974" t="s">
        <v>2558</v>
      </c>
      <c r="C43" s="976" t="s">
        <v>2379</v>
      </c>
      <c r="D43" s="976" t="s">
        <v>481</v>
      </c>
      <c r="E43" s="976" t="s">
        <v>2702</v>
      </c>
      <c r="F43" s="980">
        <f>288.32/424</f>
        <v>0.68</v>
      </c>
      <c r="G43" s="980"/>
      <c r="H43" s="984">
        <v>11532.8</v>
      </c>
      <c r="I43" s="988"/>
      <c r="J43" s="976"/>
      <c r="K43" s="991"/>
      <c r="L43" s="883" t="s">
        <v>2575</v>
      </c>
      <c r="M43" s="907"/>
      <c r="N43" s="911"/>
    </row>
    <row r="44" ht="15.75" customHeight="1">
      <c r="A44" s="918">
        <v>33.0</v>
      </c>
      <c r="B44" s="965" t="s">
        <v>2802</v>
      </c>
      <c r="C44" s="609" t="s">
        <v>2804</v>
      </c>
      <c r="D44" s="609" t="s">
        <v>481</v>
      </c>
      <c r="E44" s="609" t="s">
        <v>2805</v>
      </c>
      <c r="F44" s="967">
        <f>797.12/424</f>
        <v>1.88</v>
      </c>
      <c r="G44" s="967"/>
      <c r="H44" s="926">
        <v>31884.8</v>
      </c>
      <c r="I44" s="929"/>
      <c r="J44" s="609"/>
      <c r="K44" s="609"/>
      <c r="L44" s="609" t="s">
        <v>2575</v>
      </c>
      <c r="M44" s="971" t="s">
        <v>2808</v>
      </c>
      <c r="N44" s="940"/>
    </row>
    <row r="45" ht="15.75" customHeight="1">
      <c r="A45" s="904">
        <v>34.0</v>
      </c>
      <c r="B45" s="949" t="s">
        <v>2809</v>
      </c>
      <c r="C45" s="824" t="s">
        <v>2810</v>
      </c>
      <c r="D45" s="824" t="s">
        <v>481</v>
      </c>
      <c r="E45" s="824" t="s">
        <v>2811</v>
      </c>
      <c r="F45" s="952">
        <v>0.29</v>
      </c>
      <c r="G45" s="952"/>
      <c r="H45" s="827">
        <v>5670.0</v>
      </c>
      <c r="I45" s="831"/>
      <c r="J45" s="824"/>
      <c r="K45" s="824"/>
      <c r="L45" s="824" t="s">
        <v>2812</v>
      </c>
      <c r="M45" s="907"/>
      <c r="N45" s="911"/>
    </row>
    <row r="46" ht="15.75" customHeight="1">
      <c r="A46" s="904">
        <v>35.0</v>
      </c>
      <c r="B46" s="949" t="s">
        <v>2813</v>
      </c>
      <c r="C46" s="824" t="s">
        <v>1622</v>
      </c>
      <c r="D46" s="824" t="s">
        <v>481</v>
      </c>
      <c r="E46" s="824" t="s">
        <v>2684</v>
      </c>
      <c r="F46" s="952">
        <v>0.48</v>
      </c>
      <c r="G46" s="952"/>
      <c r="H46" s="827">
        <v>9239.85</v>
      </c>
      <c r="I46" s="831" t="s">
        <v>2502</v>
      </c>
      <c r="J46" s="824"/>
      <c r="K46" s="824"/>
      <c r="L46" s="824" t="s">
        <v>2814</v>
      </c>
      <c r="M46" s="907">
        <v>19.0</v>
      </c>
      <c r="N46" s="911"/>
    </row>
    <row r="47" ht="15.75" customHeight="1">
      <c r="A47" s="996">
        <f>COUNTA(B12:B46)</f>
        <v>35</v>
      </c>
      <c r="B47" s="997" t="s">
        <v>200</v>
      </c>
      <c r="C47" s="1000"/>
      <c r="D47" s="1000"/>
      <c r="E47" s="1000"/>
      <c r="F47" s="1002">
        <f>SUM(F12:F46)</f>
        <v>21.08768868</v>
      </c>
      <c r="G47" s="1002"/>
      <c r="H47" s="1006">
        <f>SUM(H12:H46)</f>
        <v>395666.41</v>
      </c>
      <c r="I47" s="1000"/>
      <c r="J47" s="1000"/>
      <c r="K47" s="1000"/>
      <c r="L47" s="1009"/>
      <c r="M47" s="1010">
        <v>19.0</v>
      </c>
      <c r="N47" s="1011"/>
    </row>
    <row r="48" ht="15.75" customHeight="1">
      <c r="A48" s="1015"/>
      <c r="B48" s="1020" t="s">
        <v>390</v>
      </c>
      <c r="C48" s="27"/>
      <c r="D48" s="27"/>
      <c r="E48" s="27"/>
      <c r="F48" s="27"/>
      <c r="G48" s="27"/>
      <c r="H48" s="27"/>
      <c r="I48" s="27"/>
      <c r="J48" s="27"/>
      <c r="K48" s="27"/>
      <c r="L48" s="28"/>
      <c r="M48" s="1022"/>
      <c r="N48" s="1026"/>
    </row>
    <row r="49" ht="15.75" customHeight="1">
      <c r="A49" s="1030">
        <v>1.0</v>
      </c>
      <c r="B49" s="1033" t="s">
        <v>2962</v>
      </c>
      <c r="C49" s="1033" t="s">
        <v>2965</v>
      </c>
      <c r="D49" s="1033" t="s">
        <v>535</v>
      </c>
      <c r="E49" s="1033" t="s">
        <v>2583</v>
      </c>
      <c r="F49" s="1035">
        <v>0.181</v>
      </c>
      <c r="G49" s="1035"/>
      <c r="H49" s="1039">
        <v>3092.0</v>
      </c>
      <c r="I49" s="1042"/>
      <c r="J49" s="1044"/>
      <c r="K49" s="1047" t="s">
        <v>535</v>
      </c>
      <c r="L49" s="1033" t="s">
        <v>2992</v>
      </c>
      <c r="M49" s="907">
        <v>1.0</v>
      </c>
      <c r="N49" s="911"/>
    </row>
    <row r="50" ht="15.75" customHeight="1">
      <c r="A50" s="1049">
        <v>2.0</v>
      </c>
      <c r="B50" s="1051" t="s">
        <v>3009</v>
      </c>
      <c r="C50" s="1051" t="s">
        <v>3020</v>
      </c>
      <c r="D50" s="1051" t="s">
        <v>1560</v>
      </c>
      <c r="E50" s="1051" t="s">
        <v>3021</v>
      </c>
      <c r="F50" s="967">
        <f>2099/424</f>
        <v>4.950471698</v>
      </c>
      <c r="G50" s="967"/>
      <c r="H50" s="943">
        <v>125940.0</v>
      </c>
      <c r="I50" s="1055"/>
      <c r="J50" s="1058"/>
      <c r="K50" s="1060" t="s">
        <v>3023</v>
      </c>
      <c r="L50" s="1051" t="s">
        <v>3028</v>
      </c>
      <c r="M50" s="936">
        <v>2.0</v>
      </c>
      <c r="N50" s="1064" t="s">
        <v>3029</v>
      </c>
    </row>
    <row r="51" ht="15.75" customHeight="1">
      <c r="A51" s="1049">
        <v>3.0</v>
      </c>
      <c r="B51" s="1068" t="s">
        <v>2326</v>
      </c>
      <c r="C51" s="1068" t="s">
        <v>3035</v>
      </c>
      <c r="D51" s="1068" t="s">
        <v>1560</v>
      </c>
      <c r="E51" s="1068" t="s">
        <v>3036</v>
      </c>
      <c r="F51" s="1073">
        <f>100/424</f>
        <v>0.2358490566</v>
      </c>
      <c r="G51" s="1073"/>
      <c r="H51" s="1077">
        <v>5000.0</v>
      </c>
      <c r="I51" s="1082"/>
      <c r="J51" s="1087"/>
      <c r="K51" s="1092" t="s">
        <v>3048</v>
      </c>
      <c r="L51" s="1068" t="s">
        <v>3052</v>
      </c>
      <c r="M51" s="1096"/>
      <c r="N51" s="1034" t="s">
        <v>3055</v>
      </c>
    </row>
    <row r="52" ht="15.75" customHeight="1">
      <c r="A52" s="1049">
        <v>4.0</v>
      </c>
      <c r="B52" s="1051" t="s">
        <v>3056</v>
      </c>
      <c r="C52" s="1051" t="s">
        <v>3057</v>
      </c>
      <c r="D52" s="1051" t="s">
        <v>3058</v>
      </c>
      <c r="E52" s="1051" t="s">
        <v>791</v>
      </c>
      <c r="F52" s="967">
        <f>604/424</f>
        <v>1.424528302</v>
      </c>
      <c r="G52" s="967"/>
      <c r="H52" s="943">
        <v>21140.0</v>
      </c>
      <c r="I52" s="1055"/>
      <c r="J52" s="1058"/>
      <c r="K52" s="1058" t="s">
        <v>3062</v>
      </c>
      <c r="L52" s="1051" t="s">
        <v>3063</v>
      </c>
      <c r="M52" s="940">
        <v>3.0</v>
      </c>
      <c r="N52" s="1102"/>
    </row>
    <row r="53" ht="15.75" customHeight="1">
      <c r="A53" s="1106">
        <v>5.0</v>
      </c>
      <c r="B53" s="331" t="s">
        <v>3071</v>
      </c>
      <c r="C53" s="331" t="s">
        <v>3072</v>
      </c>
      <c r="D53" s="331" t="s">
        <v>2256</v>
      </c>
      <c r="E53" s="331" t="s">
        <v>3073</v>
      </c>
      <c r="F53" s="955">
        <v>1.66</v>
      </c>
      <c r="G53" s="955"/>
      <c r="H53" s="899">
        <v>35250.0</v>
      </c>
      <c r="I53" s="1112"/>
      <c r="J53" s="330"/>
      <c r="K53" s="331" t="s">
        <v>2256</v>
      </c>
      <c r="L53" s="331" t="s">
        <v>3097</v>
      </c>
      <c r="M53" s="911"/>
      <c r="N53" s="907"/>
    </row>
    <row r="54" ht="111.0" customHeight="1">
      <c r="A54" s="1049">
        <v>6.0</v>
      </c>
      <c r="B54" s="1115" t="s">
        <v>3100</v>
      </c>
      <c r="C54" s="1051" t="s">
        <v>3102</v>
      </c>
      <c r="D54" s="1051" t="s">
        <v>3103</v>
      </c>
      <c r="E54" s="1051" t="s">
        <v>427</v>
      </c>
      <c r="F54" s="967">
        <f>180/424</f>
        <v>0.4245283019</v>
      </c>
      <c r="G54" s="967"/>
      <c r="H54" s="943">
        <v>10800.0</v>
      </c>
      <c r="I54" s="1055"/>
      <c r="J54" s="1058"/>
      <c r="K54" s="1058" t="s">
        <v>2256</v>
      </c>
      <c r="L54" s="1058" t="s">
        <v>3104</v>
      </c>
      <c r="M54" s="940">
        <v>4.0</v>
      </c>
      <c r="N54" s="936"/>
    </row>
    <row r="55" ht="78.0" customHeight="1">
      <c r="A55" s="1030">
        <v>7.0</v>
      </c>
      <c r="B55" s="1120" t="s">
        <v>3100</v>
      </c>
      <c r="C55" s="1123" t="s">
        <v>3120</v>
      </c>
      <c r="D55" s="1123" t="s">
        <v>1780</v>
      </c>
      <c r="E55" s="1123" t="s">
        <v>3125</v>
      </c>
      <c r="F55" s="952">
        <f>172/424</f>
        <v>0.4056603774</v>
      </c>
      <c r="G55" s="952"/>
      <c r="H55" s="832">
        <v>10320.0</v>
      </c>
      <c r="I55" s="1128"/>
      <c r="J55" s="1131"/>
      <c r="K55" s="1131" t="s">
        <v>2256</v>
      </c>
      <c r="L55" s="1131" t="s">
        <v>3142</v>
      </c>
      <c r="M55" s="911">
        <v>5.0</v>
      </c>
      <c r="N55" s="907"/>
    </row>
    <row r="56" ht="15.75" customHeight="1">
      <c r="A56" s="1030">
        <v>8.0</v>
      </c>
      <c r="B56" s="1120" t="s">
        <v>3143</v>
      </c>
      <c r="C56" s="1123" t="s">
        <v>3120</v>
      </c>
      <c r="D56" s="1123" t="s">
        <v>736</v>
      </c>
      <c r="E56" s="1123" t="s">
        <v>3144</v>
      </c>
      <c r="F56" s="952">
        <f>359/424</f>
        <v>0.8466981132</v>
      </c>
      <c r="G56" s="952"/>
      <c r="H56" s="832">
        <v>18640.0</v>
      </c>
      <c r="I56" s="1137" t="s">
        <v>3165</v>
      </c>
      <c r="J56" s="1123"/>
      <c r="K56" s="1123" t="s">
        <v>2256</v>
      </c>
      <c r="L56" s="1131" t="s">
        <v>3173</v>
      </c>
      <c r="M56" s="911">
        <v>6.0</v>
      </c>
      <c r="N56" s="907"/>
    </row>
    <row r="57" ht="15.75" customHeight="1">
      <c r="A57" s="1049">
        <v>9.0</v>
      </c>
      <c r="B57" s="1115" t="s">
        <v>3174</v>
      </c>
      <c r="C57" s="1051" t="s">
        <v>3175</v>
      </c>
      <c r="D57" s="1051"/>
      <c r="E57" s="1051" t="s">
        <v>3176</v>
      </c>
      <c r="F57" s="967">
        <v>5.9</v>
      </c>
      <c r="G57" s="967"/>
      <c r="H57" s="943"/>
      <c r="I57" s="1141"/>
      <c r="J57" s="1051"/>
      <c r="K57" s="1051" t="s">
        <v>299</v>
      </c>
      <c r="L57" s="1051" t="s">
        <v>3200</v>
      </c>
      <c r="M57" s="571" t="s">
        <v>3204</v>
      </c>
      <c r="N57" s="936"/>
    </row>
    <row r="58" ht="15.75" customHeight="1">
      <c r="A58" s="1106">
        <v>10.0</v>
      </c>
      <c r="B58" s="1145" t="s">
        <v>3216</v>
      </c>
      <c r="C58" s="331" t="s">
        <v>3223</v>
      </c>
      <c r="D58" s="331" t="s">
        <v>1232</v>
      </c>
      <c r="E58" s="331" t="s">
        <v>3224</v>
      </c>
      <c r="F58" s="955">
        <f>1237/424</f>
        <v>2.91745283</v>
      </c>
      <c r="G58" s="955"/>
      <c r="H58" s="899">
        <v>61850.0</v>
      </c>
      <c r="I58" s="1151"/>
      <c r="J58" s="331"/>
      <c r="K58" s="331" t="s">
        <v>1447</v>
      </c>
      <c r="L58" s="331" t="s">
        <v>3242</v>
      </c>
      <c r="M58" s="1155" t="s">
        <v>3243</v>
      </c>
      <c r="N58" s="907"/>
    </row>
    <row r="59" ht="15.75" customHeight="1">
      <c r="A59" s="1030">
        <v>11.0</v>
      </c>
      <c r="B59" s="1120" t="s">
        <v>3250</v>
      </c>
      <c r="C59" s="1123" t="s">
        <v>3223</v>
      </c>
      <c r="D59" s="1123"/>
      <c r="E59" s="1123" t="s">
        <v>3251</v>
      </c>
      <c r="F59" s="952">
        <v>0.26</v>
      </c>
      <c r="G59" s="952"/>
      <c r="H59" s="832">
        <v>3420.0</v>
      </c>
      <c r="I59" s="1137"/>
      <c r="J59" s="1123"/>
      <c r="K59" s="1123"/>
      <c r="L59" s="1123" t="s">
        <v>3252</v>
      </c>
      <c r="M59" s="911"/>
      <c r="N59" s="907"/>
    </row>
    <row r="60" ht="15.75" customHeight="1">
      <c r="A60" s="1030">
        <v>12.0</v>
      </c>
      <c r="B60" s="1120" t="s">
        <v>3253</v>
      </c>
      <c r="C60" s="1123" t="s">
        <v>3254</v>
      </c>
      <c r="D60" s="1123" t="s">
        <v>1780</v>
      </c>
      <c r="E60" s="1123" t="s">
        <v>3255</v>
      </c>
      <c r="F60" s="952">
        <f>260/424</f>
        <v>0.6132075472</v>
      </c>
      <c r="G60" s="952"/>
      <c r="H60" s="832">
        <v>9100.0</v>
      </c>
      <c r="I60" s="1137" t="s">
        <v>3257</v>
      </c>
      <c r="J60" s="1123"/>
      <c r="K60" s="1123" t="s">
        <v>1780</v>
      </c>
      <c r="L60" s="1123" t="s">
        <v>3258</v>
      </c>
      <c r="M60" s="911">
        <v>7.0</v>
      </c>
      <c r="N60" s="907"/>
    </row>
    <row r="61" ht="15.75" customHeight="1">
      <c r="A61" s="1049">
        <v>13.0</v>
      </c>
      <c r="B61" s="1115" t="s">
        <v>3259</v>
      </c>
      <c r="C61" s="1051" t="s">
        <v>3261</v>
      </c>
      <c r="D61" s="1051" t="s">
        <v>1232</v>
      </c>
      <c r="E61" s="1051" t="s">
        <v>3262</v>
      </c>
      <c r="F61" s="967">
        <f>569/424</f>
        <v>1.341981132</v>
      </c>
      <c r="G61" s="967"/>
      <c r="H61" s="943">
        <v>34140.0</v>
      </c>
      <c r="I61" s="1141"/>
      <c r="J61" s="1051"/>
      <c r="K61" s="1051" t="s">
        <v>3023</v>
      </c>
      <c r="L61" s="1051" t="s">
        <v>3264</v>
      </c>
      <c r="M61" s="571" t="s">
        <v>3265</v>
      </c>
      <c r="N61" s="936"/>
    </row>
    <row r="62" ht="15.75" customHeight="1">
      <c r="A62" s="1049">
        <v>14.0</v>
      </c>
      <c r="B62" s="1115" t="s">
        <v>3266</v>
      </c>
      <c r="C62" s="1115" t="s">
        <v>3267</v>
      </c>
      <c r="D62" s="1115" t="s">
        <v>3268</v>
      </c>
      <c r="E62" s="1115" t="s">
        <v>3269</v>
      </c>
      <c r="F62" s="1162">
        <f>536/424</f>
        <v>1.264150943</v>
      </c>
      <c r="G62" s="1162"/>
      <c r="H62" s="943">
        <v>26800.0</v>
      </c>
      <c r="I62" s="1165"/>
      <c r="J62" s="1169"/>
      <c r="K62" s="1115" t="s">
        <v>3292</v>
      </c>
      <c r="L62" s="1115" t="s">
        <v>3293</v>
      </c>
      <c r="M62" s="132" t="s">
        <v>3294</v>
      </c>
      <c r="N62" s="936"/>
    </row>
    <row r="63" ht="15.75" customHeight="1">
      <c r="A63" s="1030">
        <v>15.0</v>
      </c>
      <c r="B63" s="1145" t="s">
        <v>3295</v>
      </c>
      <c r="C63" s="1145" t="s">
        <v>3267</v>
      </c>
      <c r="D63" s="1145" t="s">
        <v>3268</v>
      </c>
      <c r="E63" s="1145" t="s">
        <v>3296</v>
      </c>
      <c r="F63" s="1173">
        <f>1040/424</f>
        <v>2.452830189</v>
      </c>
      <c r="G63" s="1173">
        <v>1040.0</v>
      </c>
      <c r="H63" s="899">
        <v>52000.0</v>
      </c>
      <c r="I63" s="1177"/>
      <c r="J63" s="1180"/>
      <c r="K63" s="1145" t="s">
        <v>3292</v>
      </c>
      <c r="L63" s="1145" t="s">
        <v>3293</v>
      </c>
      <c r="M63" s="1155" t="s">
        <v>3366</v>
      </c>
      <c r="N63" s="907"/>
    </row>
    <row r="64" ht="15.75" customHeight="1">
      <c r="A64" s="1030">
        <v>16.0</v>
      </c>
      <c r="B64" s="1145" t="s">
        <v>3371</v>
      </c>
      <c r="C64" s="1145" t="s">
        <v>3267</v>
      </c>
      <c r="D64" s="1145" t="s">
        <v>3268</v>
      </c>
      <c r="E64" s="1145" t="s">
        <v>3374</v>
      </c>
      <c r="F64" s="1173">
        <f>270/424</f>
        <v>0.6367924528</v>
      </c>
      <c r="G64" s="1173"/>
      <c r="H64" s="899">
        <v>13500.0</v>
      </c>
      <c r="I64" s="1177"/>
      <c r="J64" s="1180"/>
      <c r="K64" s="1145" t="s">
        <v>3292</v>
      </c>
      <c r="L64" s="1145" t="s">
        <v>3293</v>
      </c>
      <c r="M64" s="1155" t="s">
        <v>3387</v>
      </c>
      <c r="N64" s="1183"/>
    </row>
    <row r="65" ht="15.75" customHeight="1">
      <c r="A65" s="1049">
        <v>17.0</v>
      </c>
      <c r="B65" s="1115" t="s">
        <v>3391</v>
      </c>
      <c r="C65" s="1051" t="s">
        <v>3392</v>
      </c>
      <c r="D65" s="1051" t="s">
        <v>1560</v>
      </c>
      <c r="E65" s="1051" t="s">
        <v>3393</v>
      </c>
      <c r="F65" s="967">
        <f>327/424</f>
        <v>0.7712264151</v>
      </c>
      <c r="G65" s="967"/>
      <c r="H65" s="943">
        <v>16350.0</v>
      </c>
      <c r="I65" s="1141"/>
      <c r="J65" s="1051"/>
      <c r="K65" s="1051" t="s">
        <v>3395</v>
      </c>
      <c r="L65" s="1115" t="s">
        <v>3293</v>
      </c>
      <c r="M65" s="571" t="s">
        <v>3396</v>
      </c>
      <c r="N65" s="1186"/>
    </row>
    <row r="66" ht="15.75" customHeight="1">
      <c r="A66" s="1049">
        <v>18.0</v>
      </c>
      <c r="B66" s="1145" t="s">
        <v>3401</v>
      </c>
      <c r="C66" s="331" t="s">
        <v>3392</v>
      </c>
      <c r="D66" s="331" t="s">
        <v>3403</v>
      </c>
      <c r="E66" s="331" t="s">
        <v>3404</v>
      </c>
      <c r="F66" s="955">
        <f>245/424</f>
        <v>0.5778301887</v>
      </c>
      <c r="G66" s="955"/>
      <c r="H66" s="899">
        <v>14700.0</v>
      </c>
      <c r="I66" s="1151"/>
      <c r="J66" s="331"/>
      <c r="K66" s="331" t="s">
        <v>3395</v>
      </c>
      <c r="L66" s="1145" t="s">
        <v>3293</v>
      </c>
      <c r="M66" s="1155" t="s">
        <v>3408</v>
      </c>
      <c r="N66" s="1188"/>
    </row>
    <row r="67" ht="15.75" customHeight="1">
      <c r="A67" s="1030">
        <v>19.0</v>
      </c>
      <c r="B67" s="1145" t="s">
        <v>3414</v>
      </c>
      <c r="C67" s="331" t="s">
        <v>3415</v>
      </c>
      <c r="D67" s="331" t="s">
        <v>3417</v>
      </c>
      <c r="E67" s="331" t="s">
        <v>3418</v>
      </c>
      <c r="F67" s="955">
        <v>1.89</v>
      </c>
      <c r="G67" s="955"/>
      <c r="H67" s="899">
        <v>40050.0</v>
      </c>
      <c r="I67" s="1151"/>
      <c r="J67" s="331"/>
      <c r="K67" s="331" t="s">
        <v>299</v>
      </c>
      <c r="L67" s="1145" t="s">
        <v>3419</v>
      </c>
      <c r="M67" s="1155" t="s">
        <v>3420</v>
      </c>
      <c r="N67" s="907"/>
    </row>
    <row r="68" ht="15.75" customHeight="1">
      <c r="A68" s="1030">
        <v>20.0</v>
      </c>
      <c r="B68" s="1145" t="s">
        <v>2539</v>
      </c>
      <c r="C68" s="331" t="s">
        <v>3421</v>
      </c>
      <c r="D68" s="331" t="s">
        <v>3422</v>
      </c>
      <c r="E68" s="331" t="s">
        <v>3423</v>
      </c>
      <c r="F68" s="955">
        <f>283/424</f>
        <v>0.6674528302</v>
      </c>
      <c r="G68" s="955"/>
      <c r="H68" s="899">
        <v>14150.0</v>
      </c>
      <c r="I68" s="1151"/>
      <c r="J68" s="331"/>
      <c r="K68" s="331" t="s">
        <v>1780</v>
      </c>
      <c r="L68" s="1145" t="s">
        <v>3293</v>
      </c>
      <c r="M68" s="911"/>
      <c r="N68" s="907"/>
    </row>
    <row r="69" ht="30.0" customHeight="1">
      <c r="A69" s="1049">
        <v>21.0</v>
      </c>
      <c r="B69" s="1115"/>
      <c r="C69" s="1051" t="s">
        <v>3424</v>
      </c>
      <c r="D69" s="1051" t="s">
        <v>1780</v>
      </c>
      <c r="E69" s="1051" t="s">
        <v>3425</v>
      </c>
      <c r="F69" s="967"/>
      <c r="G69" s="967">
        <v>212.0</v>
      </c>
      <c r="H69" s="943"/>
      <c r="I69" s="1141"/>
      <c r="J69" s="1051"/>
      <c r="K69" s="1051"/>
      <c r="L69" s="1115"/>
      <c r="M69" s="571" t="s">
        <v>3426</v>
      </c>
      <c r="N69" s="936"/>
    </row>
    <row r="70" ht="15.75" customHeight="1">
      <c r="A70" s="996">
        <f>COUNTA(C49:C69)</f>
        <v>21</v>
      </c>
      <c r="B70" s="1194" t="s">
        <v>200</v>
      </c>
      <c r="C70" s="28"/>
      <c r="D70" s="1000"/>
      <c r="E70" s="1000"/>
      <c r="F70" s="1002">
        <f>SUM(F49:F68)</f>
        <v>29.42166038</v>
      </c>
      <c r="G70" s="1002"/>
      <c r="H70" s="1002">
        <f>SUM(H49:H68)</f>
        <v>516242</v>
      </c>
      <c r="I70" s="1000"/>
      <c r="J70" s="1000"/>
      <c r="K70" s="1000"/>
      <c r="L70" s="1199"/>
      <c r="M70" s="1011">
        <v>7.0</v>
      </c>
      <c r="N70" s="1010"/>
    </row>
    <row r="71" ht="15.75" customHeight="1">
      <c r="A71" s="1015"/>
      <c r="B71" s="1020" t="s">
        <v>312</v>
      </c>
      <c r="C71" s="27"/>
      <c r="D71" s="27"/>
      <c r="E71" s="27"/>
      <c r="F71" s="27"/>
      <c r="G71" s="27"/>
      <c r="H71" s="27"/>
      <c r="I71" s="27"/>
      <c r="J71" s="27"/>
      <c r="K71" s="27"/>
      <c r="L71" s="28"/>
      <c r="M71" s="1026"/>
      <c r="N71" s="1022"/>
    </row>
    <row r="72" ht="15.75" customHeight="1">
      <c r="A72" s="1106">
        <v>1.0</v>
      </c>
      <c r="B72" s="1145" t="s">
        <v>3470</v>
      </c>
      <c r="C72" s="331" t="s">
        <v>3471</v>
      </c>
      <c r="D72" s="331" t="s">
        <v>354</v>
      </c>
      <c r="E72" s="331" t="s">
        <v>3472</v>
      </c>
      <c r="F72" s="883">
        <v>0.125</v>
      </c>
      <c r="G72" s="883"/>
      <c r="H72" s="899">
        <v>2120.0</v>
      </c>
      <c r="I72" s="1151" t="s">
        <v>3473</v>
      </c>
      <c r="J72" s="331"/>
      <c r="K72" s="331" t="s">
        <v>3023</v>
      </c>
      <c r="L72" s="331" t="s">
        <v>3474</v>
      </c>
      <c r="M72" s="911">
        <v>1.0</v>
      </c>
      <c r="N72" s="907"/>
    </row>
    <row r="73" ht="15.75" customHeight="1">
      <c r="A73" s="1030">
        <v>2.0</v>
      </c>
      <c r="B73" s="1205" t="s">
        <v>3475</v>
      </c>
      <c r="C73" s="1131" t="s">
        <v>3486</v>
      </c>
      <c r="D73" s="1131" t="s">
        <v>1560</v>
      </c>
      <c r="E73" s="1131" t="s">
        <v>3487</v>
      </c>
      <c r="F73" s="824">
        <v>1.99</v>
      </c>
      <c r="G73" s="824"/>
      <c r="H73" s="832">
        <v>46315.5</v>
      </c>
      <c r="I73" s="1128"/>
      <c r="J73" s="1131"/>
      <c r="K73" s="1131" t="s">
        <v>3023</v>
      </c>
      <c r="L73" s="1131" t="s">
        <v>3488</v>
      </c>
      <c r="M73" s="911"/>
      <c r="N73" s="907"/>
    </row>
    <row r="74" ht="15.75" customHeight="1">
      <c r="A74" s="1030">
        <v>3.0</v>
      </c>
      <c r="B74" s="1205" t="s">
        <v>3491</v>
      </c>
      <c r="C74" s="1131" t="s">
        <v>3493</v>
      </c>
      <c r="D74" s="1131" t="s">
        <v>354</v>
      </c>
      <c r="E74" s="1131" t="s">
        <v>3495</v>
      </c>
      <c r="F74" s="824">
        <v>0.31</v>
      </c>
      <c r="G74" s="824"/>
      <c r="H74" s="832">
        <v>5320.0</v>
      </c>
      <c r="I74" s="1128" t="s">
        <v>3257</v>
      </c>
      <c r="J74" s="1131"/>
      <c r="K74" s="1131" t="s">
        <v>3023</v>
      </c>
      <c r="L74" s="1131" t="s">
        <v>3496</v>
      </c>
      <c r="M74" s="1155" t="s">
        <v>3497</v>
      </c>
      <c r="N74" s="907"/>
    </row>
    <row r="75" ht="15.75" customHeight="1">
      <c r="A75" s="1049">
        <v>4.0</v>
      </c>
      <c r="B75" s="1208" t="s">
        <v>3498</v>
      </c>
      <c r="C75" s="1058" t="s">
        <v>3486</v>
      </c>
      <c r="D75" s="1058" t="s">
        <v>1560</v>
      </c>
      <c r="E75" s="1058" t="s">
        <v>3513</v>
      </c>
      <c r="F75" s="609">
        <v>1.98</v>
      </c>
      <c r="G75" s="609"/>
      <c r="H75" s="943">
        <v>46315.5</v>
      </c>
      <c r="I75" s="1055"/>
      <c r="J75" s="1058"/>
      <c r="K75" s="1058" t="s">
        <v>3023</v>
      </c>
      <c r="L75" s="1058" t="s">
        <v>3514</v>
      </c>
      <c r="M75" s="219" t="s">
        <v>3516</v>
      </c>
      <c r="N75" s="936"/>
    </row>
    <row r="76" ht="15.75" customHeight="1">
      <c r="A76" s="1030">
        <v>5.0</v>
      </c>
      <c r="B76" s="1205" t="s">
        <v>3520</v>
      </c>
      <c r="C76" s="1131" t="s">
        <v>3493</v>
      </c>
      <c r="D76" s="1131" t="s">
        <v>354</v>
      </c>
      <c r="E76" s="1131" t="s">
        <v>3522</v>
      </c>
      <c r="F76" s="824">
        <v>0.29</v>
      </c>
      <c r="G76" s="824"/>
      <c r="H76" s="832">
        <v>4305.0</v>
      </c>
      <c r="I76" s="1128" t="s">
        <v>3524</v>
      </c>
      <c r="J76" s="1131"/>
      <c r="K76" s="1131" t="s">
        <v>3023</v>
      </c>
      <c r="L76" s="1131" t="s">
        <v>3525</v>
      </c>
      <c r="M76" s="1155" t="s">
        <v>3527</v>
      </c>
      <c r="N76" s="907"/>
    </row>
    <row r="77" ht="46.5" customHeight="1">
      <c r="A77" s="1030">
        <v>6.0</v>
      </c>
      <c r="B77" s="1205" t="s">
        <v>3529</v>
      </c>
      <c r="C77" s="1131" t="s">
        <v>3530</v>
      </c>
      <c r="D77" s="1131" t="s">
        <v>3531</v>
      </c>
      <c r="E77" s="1131" t="s">
        <v>3532</v>
      </c>
      <c r="F77" s="824">
        <v>0.24</v>
      </c>
      <c r="G77" s="824"/>
      <c r="H77" s="832">
        <v>3692.5</v>
      </c>
      <c r="I77" s="1128"/>
      <c r="J77" s="1131"/>
      <c r="K77" s="1131" t="s">
        <v>3023</v>
      </c>
      <c r="L77" s="1131" t="s">
        <v>3525</v>
      </c>
      <c r="M77" s="911"/>
      <c r="N77" s="907"/>
    </row>
    <row r="78" ht="46.5" customHeight="1">
      <c r="A78" s="1030"/>
      <c r="B78" s="1205">
        <v>44723.0</v>
      </c>
      <c r="C78" s="1131" t="s">
        <v>3530</v>
      </c>
      <c r="D78" s="1131" t="s">
        <v>3533</v>
      </c>
      <c r="E78" s="1131" t="s">
        <v>3534</v>
      </c>
      <c r="F78" s="824"/>
      <c r="G78" s="824">
        <v>100.5</v>
      </c>
      <c r="H78" s="832"/>
      <c r="I78" s="1128"/>
      <c r="J78" s="1131"/>
      <c r="K78" s="1131" t="s">
        <v>3023</v>
      </c>
      <c r="L78" s="1131"/>
      <c r="M78" s="1155" t="s">
        <v>3535</v>
      </c>
      <c r="N78" s="907"/>
    </row>
    <row r="79" ht="15.75" customHeight="1">
      <c r="A79" s="1030">
        <v>7.0</v>
      </c>
      <c r="B79" s="1120" t="s">
        <v>3537</v>
      </c>
      <c r="C79" s="1123" t="s">
        <v>3538</v>
      </c>
      <c r="D79" s="1123" t="s">
        <v>702</v>
      </c>
      <c r="E79" s="1123" t="s">
        <v>3540</v>
      </c>
      <c r="F79" s="824">
        <v>2.11</v>
      </c>
      <c r="G79" s="824"/>
      <c r="H79" s="832">
        <v>22366.0</v>
      </c>
      <c r="I79" s="831" t="s">
        <v>3473</v>
      </c>
      <c r="J79" s="1123"/>
      <c r="K79" s="1123" t="s">
        <v>3543</v>
      </c>
      <c r="L79" s="1123" t="s">
        <v>3525</v>
      </c>
      <c r="M79" s="911"/>
      <c r="N79" s="907"/>
    </row>
    <row r="80" ht="15.75" customHeight="1">
      <c r="A80" s="1030">
        <v>8.0</v>
      </c>
      <c r="B80" s="1120" t="s">
        <v>3546</v>
      </c>
      <c r="C80" s="1123" t="s">
        <v>3547</v>
      </c>
      <c r="D80" s="1123" t="s">
        <v>3533</v>
      </c>
      <c r="E80" s="1123" t="s">
        <v>3548</v>
      </c>
      <c r="F80" s="824">
        <v>0.23</v>
      </c>
      <c r="G80" s="824"/>
      <c r="H80" s="832">
        <v>4929.5</v>
      </c>
      <c r="I80" s="831" t="s">
        <v>3473</v>
      </c>
      <c r="J80" s="1123"/>
      <c r="K80" s="1123" t="s">
        <v>3023</v>
      </c>
      <c r="L80" s="1123" t="s">
        <v>3551</v>
      </c>
      <c r="M80" s="911"/>
      <c r="N80" s="907"/>
    </row>
    <row r="81" ht="15.75" customHeight="1">
      <c r="A81" s="1030">
        <v>9.0</v>
      </c>
      <c r="B81" s="1120" t="s">
        <v>3553</v>
      </c>
      <c r="C81" s="1123" t="s">
        <v>3554</v>
      </c>
      <c r="D81" s="1123" t="s">
        <v>354</v>
      </c>
      <c r="E81" s="1123" t="s">
        <v>3556</v>
      </c>
      <c r="F81" s="824">
        <v>0.198</v>
      </c>
      <c r="G81" s="824"/>
      <c r="H81" s="832">
        <v>2515.5</v>
      </c>
      <c r="I81" s="831" t="s">
        <v>3559</v>
      </c>
      <c r="J81" s="1123"/>
      <c r="K81" s="1123" t="s">
        <v>3023</v>
      </c>
      <c r="L81" s="1123" t="s">
        <v>3525</v>
      </c>
      <c r="M81" s="911"/>
      <c r="N81" s="907"/>
    </row>
    <row r="82" ht="15.75" customHeight="1">
      <c r="A82" s="1030">
        <v>10.0</v>
      </c>
      <c r="B82" s="1120" t="s">
        <v>3560</v>
      </c>
      <c r="C82" s="1123" t="s">
        <v>3561</v>
      </c>
      <c r="D82" s="1123" t="s">
        <v>3562</v>
      </c>
      <c r="E82" s="1123" t="s">
        <v>3563</v>
      </c>
      <c r="F82" s="824">
        <v>0.1</v>
      </c>
      <c r="G82" s="824"/>
      <c r="H82" s="832">
        <v>3520.0</v>
      </c>
      <c r="I82" s="831" t="s">
        <v>3564</v>
      </c>
      <c r="J82" s="1123"/>
      <c r="K82" s="1123" t="s">
        <v>3023</v>
      </c>
      <c r="L82" s="1123" t="s">
        <v>3525</v>
      </c>
      <c r="M82" s="911"/>
      <c r="N82" s="907"/>
    </row>
    <row r="83" ht="15.75" customHeight="1">
      <c r="A83" s="1030">
        <v>11.0</v>
      </c>
      <c r="B83" s="1120" t="s">
        <v>3565</v>
      </c>
      <c r="C83" s="1123" t="s">
        <v>3566</v>
      </c>
      <c r="D83" s="1123" t="s">
        <v>3567</v>
      </c>
      <c r="E83" s="1123" t="s">
        <v>3568</v>
      </c>
      <c r="F83" s="824">
        <v>5.05</v>
      </c>
      <c r="G83" s="824"/>
      <c r="H83" s="832">
        <v>85652.8</v>
      </c>
      <c r="I83" s="1137"/>
      <c r="J83" s="1123"/>
      <c r="K83" s="1123" t="s">
        <v>3023</v>
      </c>
      <c r="L83" s="1123" t="s">
        <v>3525</v>
      </c>
      <c r="M83" s="911"/>
      <c r="N83" s="907"/>
    </row>
    <row r="84" ht="15.75" customHeight="1">
      <c r="A84" s="1106">
        <v>12.0</v>
      </c>
      <c r="B84" s="1145" t="s">
        <v>3573</v>
      </c>
      <c r="C84" s="331" t="s">
        <v>3032</v>
      </c>
      <c r="D84" s="331" t="s">
        <v>698</v>
      </c>
      <c r="E84" s="331" t="s">
        <v>3576</v>
      </c>
      <c r="F84" s="883">
        <v>0.25</v>
      </c>
      <c r="G84" s="883"/>
      <c r="H84" s="899">
        <v>6480.0</v>
      </c>
      <c r="I84" s="1151"/>
      <c r="J84" s="331"/>
      <c r="K84" s="331" t="s">
        <v>3023</v>
      </c>
      <c r="L84" s="331" t="s">
        <v>3551</v>
      </c>
      <c r="M84" s="1155" t="s">
        <v>3578</v>
      </c>
      <c r="N84" s="907"/>
    </row>
    <row r="85" ht="15.75" customHeight="1">
      <c r="A85" s="1106">
        <v>13.0</v>
      </c>
      <c r="B85" s="1145" t="s">
        <v>3581</v>
      </c>
      <c r="C85" s="331" t="s">
        <v>3582</v>
      </c>
      <c r="D85" s="331" t="s">
        <v>3533</v>
      </c>
      <c r="E85" s="331" t="s">
        <v>3584</v>
      </c>
      <c r="F85" s="883">
        <v>0.23</v>
      </c>
      <c r="G85" s="883"/>
      <c r="H85" s="899"/>
      <c r="I85" s="331" t="s">
        <v>3585</v>
      </c>
      <c r="J85" s="331"/>
      <c r="K85" s="331" t="s">
        <v>3023</v>
      </c>
      <c r="L85" s="331" t="s">
        <v>3587</v>
      </c>
      <c r="M85" s="911"/>
      <c r="N85" s="907">
        <v>1.0</v>
      </c>
    </row>
    <row r="86" ht="15.75" customHeight="1">
      <c r="A86" s="1106">
        <v>14.0</v>
      </c>
      <c r="B86" s="1145" t="s">
        <v>3589</v>
      </c>
      <c r="C86" s="331" t="s">
        <v>3591</v>
      </c>
      <c r="D86" s="331" t="s">
        <v>3533</v>
      </c>
      <c r="E86" s="331" t="s">
        <v>3592</v>
      </c>
      <c r="F86" s="883">
        <v>0.18</v>
      </c>
      <c r="G86" s="883"/>
      <c r="H86" s="899">
        <v>3900.0</v>
      </c>
      <c r="I86" s="1151" t="s">
        <v>3594</v>
      </c>
      <c r="J86" s="331"/>
      <c r="K86" s="331" t="s">
        <v>3023</v>
      </c>
      <c r="L86" s="331" t="s">
        <v>3596</v>
      </c>
      <c r="M86" s="911"/>
      <c r="N86" s="907"/>
    </row>
    <row r="87" ht="15.75" customHeight="1">
      <c r="A87" s="1106">
        <v>15.0</v>
      </c>
      <c r="B87" s="1145" t="s">
        <v>2802</v>
      </c>
      <c r="C87" s="331" t="s">
        <v>3601</v>
      </c>
      <c r="D87" s="331" t="s">
        <v>698</v>
      </c>
      <c r="E87" s="331" t="s">
        <v>3603</v>
      </c>
      <c r="F87" s="883">
        <v>0.103</v>
      </c>
      <c r="G87" s="883"/>
      <c r="H87" s="899"/>
      <c r="I87" s="1151" t="s">
        <v>3604</v>
      </c>
      <c r="J87" s="331"/>
      <c r="K87" s="331"/>
      <c r="L87" s="331" t="s">
        <v>3605</v>
      </c>
      <c r="M87" s="117" t="s">
        <v>3606</v>
      </c>
      <c r="N87" s="907"/>
    </row>
    <row r="88" ht="15.75" customHeight="1">
      <c r="A88" s="1106">
        <v>16.0</v>
      </c>
      <c r="B88" s="1145" t="s">
        <v>3607</v>
      </c>
      <c r="C88" s="331" t="s">
        <v>3608</v>
      </c>
      <c r="D88" s="331" t="s">
        <v>3533</v>
      </c>
      <c r="E88" s="331" t="s">
        <v>3609</v>
      </c>
      <c r="F88" s="883">
        <v>0.1</v>
      </c>
      <c r="G88" s="883"/>
      <c r="H88" s="899">
        <v>1272.0</v>
      </c>
      <c r="I88" s="891" t="s">
        <v>3473</v>
      </c>
      <c r="J88" s="331"/>
      <c r="K88" s="331" t="s">
        <v>3023</v>
      </c>
      <c r="L88" s="331" t="s">
        <v>3551</v>
      </c>
      <c r="M88" s="911"/>
      <c r="N88" s="907"/>
    </row>
    <row r="89" ht="15.75" customHeight="1">
      <c r="A89" s="1106">
        <v>17.0</v>
      </c>
      <c r="B89" s="1145" t="s">
        <v>3611</v>
      </c>
      <c r="C89" s="331" t="s">
        <v>3612</v>
      </c>
      <c r="D89" s="331" t="s">
        <v>3059</v>
      </c>
      <c r="E89" s="331" t="s">
        <v>2583</v>
      </c>
      <c r="F89" s="883">
        <f>74.5/424</f>
        <v>0.1757075472</v>
      </c>
      <c r="G89" s="883"/>
      <c r="H89" s="899">
        <v>2980.0</v>
      </c>
      <c r="I89" s="1151"/>
      <c r="J89" s="331"/>
      <c r="K89" s="331" t="s">
        <v>346</v>
      </c>
      <c r="L89" s="331" t="s">
        <v>3624</v>
      </c>
      <c r="M89" s="911">
        <v>3.0</v>
      </c>
      <c r="N89" s="907"/>
    </row>
    <row r="90" ht="15.75" customHeight="1">
      <c r="A90" s="996">
        <v>17.0</v>
      </c>
      <c r="B90" s="1218" t="s">
        <v>200</v>
      </c>
      <c r="C90" s="28"/>
      <c r="D90" s="1221"/>
      <c r="E90" s="1221"/>
      <c r="F90" s="1223">
        <f>SUM(F72:F89)</f>
        <v>13.66170755</v>
      </c>
      <c r="G90" s="1223"/>
      <c r="H90" s="1223">
        <f>SUM(H72:H89)</f>
        <v>241684.3</v>
      </c>
      <c r="I90" s="1221"/>
      <c r="J90" s="1221"/>
      <c r="K90" s="1221"/>
      <c r="L90" s="1227"/>
      <c r="M90" s="1011">
        <v>3.0</v>
      </c>
      <c r="N90" s="1010"/>
    </row>
    <row r="91" ht="15.75" customHeight="1">
      <c r="A91" s="1015"/>
      <c r="B91" s="1020" t="s">
        <v>456</v>
      </c>
      <c r="C91" s="27"/>
      <c r="D91" s="27"/>
      <c r="E91" s="27"/>
      <c r="F91" s="27"/>
      <c r="G91" s="27"/>
      <c r="H91" s="27"/>
      <c r="I91" s="27"/>
      <c r="J91" s="27"/>
      <c r="K91" s="27"/>
      <c r="L91" s="28"/>
      <c r="M91" s="1026"/>
      <c r="N91" s="1022"/>
    </row>
    <row r="92" ht="15.75" customHeight="1">
      <c r="A92" s="1106">
        <v>1.0</v>
      </c>
      <c r="B92" s="331" t="s">
        <v>3470</v>
      </c>
      <c r="C92" s="331" t="s">
        <v>3688</v>
      </c>
      <c r="D92" s="331" t="s">
        <v>3689</v>
      </c>
      <c r="E92" s="331" t="s">
        <v>2207</v>
      </c>
      <c r="F92" s="883">
        <v>0.433</v>
      </c>
      <c r="G92" s="883"/>
      <c r="H92" s="887">
        <v>8280.0</v>
      </c>
      <c r="I92" s="1151"/>
      <c r="J92" s="331"/>
      <c r="K92" s="331" t="s">
        <v>3693</v>
      </c>
      <c r="L92" s="331" t="s">
        <v>3696</v>
      </c>
      <c r="M92" s="911">
        <v>1.0</v>
      </c>
      <c r="N92" s="907"/>
    </row>
    <row r="93" ht="15.75" customHeight="1">
      <c r="A93" s="1106">
        <v>2.0</v>
      </c>
      <c r="B93" s="1231" t="s">
        <v>2326</v>
      </c>
      <c r="C93" s="331" t="s">
        <v>3707</v>
      </c>
      <c r="D93" s="331"/>
      <c r="E93" s="331" t="s">
        <v>3708</v>
      </c>
      <c r="F93" s="883">
        <v>0.375</v>
      </c>
      <c r="G93" s="883"/>
      <c r="H93" s="887">
        <v>7955.0</v>
      </c>
      <c r="I93" s="1235" t="s">
        <v>3709</v>
      </c>
      <c r="J93" s="331"/>
      <c r="K93" s="331" t="s">
        <v>3721</v>
      </c>
      <c r="L93" s="331" t="s">
        <v>3722</v>
      </c>
      <c r="M93" s="911"/>
      <c r="N93" s="907"/>
    </row>
    <row r="94" ht="15.75" customHeight="1">
      <c r="A94" s="1106">
        <v>3.0</v>
      </c>
      <c r="B94" s="1231" t="s">
        <v>3723</v>
      </c>
      <c r="C94" s="331" t="s">
        <v>3725</v>
      </c>
      <c r="D94" s="331" t="s">
        <v>3726</v>
      </c>
      <c r="E94" s="331" t="s">
        <v>3727</v>
      </c>
      <c r="F94" s="883">
        <v>0.527</v>
      </c>
      <c r="G94" s="883"/>
      <c r="H94" s="887">
        <v>5586.0</v>
      </c>
      <c r="I94" s="1235" t="s">
        <v>3729</v>
      </c>
      <c r="J94" s="331"/>
      <c r="K94" s="331" t="s">
        <v>3730</v>
      </c>
      <c r="L94" s="1237" t="s">
        <v>3734</v>
      </c>
      <c r="M94" s="911">
        <v>2.0</v>
      </c>
      <c r="N94" s="907"/>
    </row>
    <row r="95" ht="15.75" customHeight="1">
      <c r="A95" s="1106">
        <v>4.0</v>
      </c>
      <c r="B95" s="331" t="s">
        <v>3723</v>
      </c>
      <c r="C95" s="331" t="s">
        <v>3744</v>
      </c>
      <c r="D95" s="331" t="s">
        <v>3745</v>
      </c>
      <c r="E95" s="331" t="s">
        <v>3747</v>
      </c>
      <c r="F95" s="1241">
        <f>1545.67/424</f>
        <v>3.645448113</v>
      </c>
      <c r="G95" s="1241"/>
      <c r="H95" s="887">
        <v>77283.5</v>
      </c>
      <c r="I95" s="1151"/>
      <c r="J95" s="331"/>
      <c r="K95" s="331" t="s">
        <v>3745</v>
      </c>
      <c r="L95" s="331" t="s">
        <v>3768</v>
      </c>
      <c r="M95" s="911"/>
      <c r="N95" s="907"/>
    </row>
    <row r="96" ht="15.75" customHeight="1">
      <c r="A96" s="1049">
        <v>5.0</v>
      </c>
      <c r="B96" s="1243" t="s">
        <v>3723</v>
      </c>
      <c r="C96" s="1051" t="s">
        <v>3772</v>
      </c>
      <c r="D96" s="1051" t="s">
        <v>3773</v>
      </c>
      <c r="E96" s="1051" t="s">
        <v>3774</v>
      </c>
      <c r="F96" s="922">
        <v>0.393</v>
      </c>
      <c r="G96" s="922"/>
      <c r="H96" s="926">
        <v>13325.04</v>
      </c>
      <c r="I96" s="1141"/>
      <c r="J96" s="1051"/>
      <c r="K96" s="1051" t="s">
        <v>3775</v>
      </c>
      <c r="L96" s="1051" t="s">
        <v>3514</v>
      </c>
      <c r="M96" s="571" t="s">
        <v>3777</v>
      </c>
      <c r="N96" s="936"/>
    </row>
    <row r="97" ht="15.75" customHeight="1">
      <c r="A97" s="1106">
        <v>6.0</v>
      </c>
      <c r="B97" s="331" t="s">
        <v>3723</v>
      </c>
      <c r="C97" s="331" t="s">
        <v>3744</v>
      </c>
      <c r="D97" s="331" t="s">
        <v>3778</v>
      </c>
      <c r="E97" s="331" t="s">
        <v>3780</v>
      </c>
      <c r="F97" s="1241">
        <f>278.65/424</f>
        <v>0.6571933962</v>
      </c>
      <c r="G97" s="1241"/>
      <c r="H97" s="887">
        <v>13932.5</v>
      </c>
      <c r="I97" s="1151"/>
      <c r="J97" s="331"/>
      <c r="K97" s="331" t="s">
        <v>3796</v>
      </c>
      <c r="L97" s="331" t="s">
        <v>3797</v>
      </c>
      <c r="M97" s="911"/>
      <c r="N97" s="907"/>
    </row>
    <row r="98" ht="69.0" customHeight="1">
      <c r="A98" s="1049">
        <v>7.0</v>
      </c>
      <c r="B98" s="1243" t="s">
        <v>3799</v>
      </c>
      <c r="C98" s="1051" t="s">
        <v>3744</v>
      </c>
      <c r="D98" s="1051"/>
      <c r="E98" s="1051" t="s">
        <v>3802</v>
      </c>
      <c r="F98" s="1247">
        <v>0.932</v>
      </c>
      <c r="G98" s="1247"/>
      <c r="H98" s="1251">
        <v>19767.0</v>
      </c>
      <c r="I98" s="1141"/>
      <c r="J98" s="1051"/>
      <c r="K98" s="1051" t="s">
        <v>3721</v>
      </c>
      <c r="L98" s="1051" t="s">
        <v>3836</v>
      </c>
      <c r="M98" s="940"/>
      <c r="N98" s="936"/>
    </row>
    <row r="99" ht="104.25" customHeight="1">
      <c r="A99" s="1049">
        <v>8.0</v>
      </c>
      <c r="B99" s="1243" t="s">
        <v>3841</v>
      </c>
      <c r="C99" s="1051" t="s">
        <v>3843</v>
      </c>
      <c r="D99" s="1051" t="s">
        <v>1371</v>
      </c>
      <c r="E99" s="1051" t="s">
        <v>3845</v>
      </c>
      <c r="F99" s="1247">
        <v>0.564</v>
      </c>
      <c r="G99" s="1247"/>
      <c r="H99" s="1251">
        <v>9572.0</v>
      </c>
      <c r="I99" s="1141"/>
      <c r="J99" s="1051"/>
      <c r="K99" s="1051" t="s">
        <v>3846</v>
      </c>
      <c r="L99" s="1051" t="s">
        <v>3847</v>
      </c>
      <c r="M99" s="940">
        <v>3.0</v>
      </c>
      <c r="N99" s="936"/>
    </row>
    <row r="100" ht="15.75" customHeight="1">
      <c r="A100" s="1049">
        <v>9.0</v>
      </c>
      <c r="B100" s="1115" t="s">
        <v>3143</v>
      </c>
      <c r="C100" s="1051" t="s">
        <v>3848</v>
      </c>
      <c r="D100" s="1051" t="s">
        <v>3849</v>
      </c>
      <c r="E100" s="1051" t="s">
        <v>3850</v>
      </c>
      <c r="F100" s="609">
        <v>2.39</v>
      </c>
      <c r="G100" s="609"/>
      <c r="H100" s="926">
        <v>50682.0</v>
      </c>
      <c r="I100" s="1141"/>
      <c r="J100" s="1051"/>
      <c r="K100" s="1051" t="s">
        <v>611</v>
      </c>
      <c r="L100" s="1051" t="s">
        <v>3852</v>
      </c>
      <c r="M100" s="940"/>
      <c r="N100" s="936"/>
    </row>
    <row r="101" ht="15.75" customHeight="1">
      <c r="A101" s="1106">
        <v>10.0</v>
      </c>
      <c r="B101" s="1145" t="s">
        <v>3854</v>
      </c>
      <c r="C101" s="331" t="s">
        <v>3855</v>
      </c>
      <c r="D101" s="331" t="s">
        <v>1371</v>
      </c>
      <c r="E101" s="331" t="s">
        <v>3857</v>
      </c>
      <c r="F101" s="883">
        <v>0.69</v>
      </c>
      <c r="G101" s="883"/>
      <c r="H101" s="883"/>
      <c r="I101" s="1151"/>
      <c r="J101" s="331"/>
      <c r="K101" s="331" t="s">
        <v>3858</v>
      </c>
      <c r="L101" s="331" t="s">
        <v>3860</v>
      </c>
      <c r="M101" s="911"/>
      <c r="N101" s="907"/>
    </row>
    <row r="102" ht="15.75" customHeight="1">
      <c r="A102" s="1030">
        <v>11.0</v>
      </c>
      <c r="B102" s="1257" t="s">
        <v>3863</v>
      </c>
      <c r="C102" s="1123" t="s">
        <v>3885</v>
      </c>
      <c r="D102" s="1123" t="s">
        <v>1560</v>
      </c>
      <c r="E102" s="1123" t="s">
        <v>3886</v>
      </c>
      <c r="F102" s="1222">
        <v>0.277</v>
      </c>
      <c r="G102" s="1222"/>
      <c r="H102" s="824"/>
      <c r="I102" s="1137"/>
      <c r="J102" s="1123"/>
      <c r="K102" s="1123" t="s">
        <v>3721</v>
      </c>
      <c r="L102" s="1123" t="s">
        <v>3514</v>
      </c>
      <c r="M102" s="911"/>
      <c r="N102" s="1183"/>
    </row>
    <row r="103" ht="15.75" customHeight="1">
      <c r="A103" s="1030">
        <v>12.0</v>
      </c>
      <c r="B103" s="1120">
        <v>44789.0</v>
      </c>
      <c r="C103" s="1123" t="s">
        <v>3888</v>
      </c>
      <c r="D103" s="1123" t="s">
        <v>3277</v>
      </c>
      <c r="E103" s="1123" t="s">
        <v>3889</v>
      </c>
      <c r="F103" s="824">
        <v>5.87</v>
      </c>
      <c r="G103" s="824"/>
      <c r="H103" s="827">
        <v>2488.88</v>
      </c>
      <c r="I103" s="1137"/>
      <c r="J103" s="1123"/>
      <c r="K103" s="1123"/>
      <c r="L103" s="794"/>
      <c r="M103" s="1123" t="s">
        <v>3890</v>
      </c>
      <c r="N103" s="907"/>
    </row>
    <row r="104" ht="15.75" customHeight="1">
      <c r="A104" s="1030">
        <v>13.0</v>
      </c>
      <c r="B104" s="1120" t="s">
        <v>3891</v>
      </c>
      <c r="C104" s="1123" t="s">
        <v>3892</v>
      </c>
      <c r="D104" s="1123" t="s">
        <v>1371</v>
      </c>
      <c r="E104" s="1123" t="s">
        <v>3893</v>
      </c>
      <c r="F104" s="824">
        <v>0.59</v>
      </c>
      <c r="G104" s="824"/>
      <c r="H104" s="827">
        <v>11399.0</v>
      </c>
      <c r="I104" s="1137"/>
      <c r="J104" s="1123"/>
      <c r="K104" s="1123" t="s">
        <v>3858</v>
      </c>
      <c r="L104" s="1123" t="s">
        <v>3894</v>
      </c>
      <c r="M104" s="911"/>
      <c r="N104" s="911"/>
    </row>
    <row r="105" ht="15.75" customHeight="1">
      <c r="A105" s="1030">
        <v>14.0</v>
      </c>
      <c r="B105" s="1257" t="s">
        <v>3895</v>
      </c>
      <c r="C105" s="1123" t="s">
        <v>3896</v>
      </c>
      <c r="D105" s="1123" t="s">
        <v>1371</v>
      </c>
      <c r="E105" s="1123" t="s">
        <v>3897</v>
      </c>
      <c r="F105" s="1222">
        <v>0.76</v>
      </c>
      <c r="G105" s="1222"/>
      <c r="H105" s="1262">
        <v>14579.55</v>
      </c>
      <c r="I105" s="1266" t="s">
        <v>3901</v>
      </c>
      <c r="J105" s="1123"/>
      <c r="K105" s="1123" t="s">
        <v>3914</v>
      </c>
      <c r="L105" s="1123" t="s">
        <v>3915</v>
      </c>
      <c r="M105" s="911">
        <v>4.0</v>
      </c>
      <c r="N105" s="911"/>
    </row>
    <row r="106" ht="15.75" customHeight="1">
      <c r="A106" s="1030">
        <v>15.0</v>
      </c>
      <c r="B106" s="1257" t="s">
        <v>3918</v>
      </c>
      <c r="C106" s="1123" t="s">
        <v>3919</v>
      </c>
      <c r="D106" s="1123" t="s">
        <v>3277</v>
      </c>
      <c r="E106" s="1123" t="s">
        <v>3920</v>
      </c>
      <c r="F106" s="1222">
        <v>0.705</v>
      </c>
      <c r="G106" s="1222"/>
      <c r="H106" s="1262">
        <v>14950.0</v>
      </c>
      <c r="I106" s="1266" t="s">
        <v>3922</v>
      </c>
      <c r="J106" s="1123"/>
      <c r="K106" s="442" t="s">
        <v>3924</v>
      </c>
      <c r="L106" s="442" t="s">
        <v>3924</v>
      </c>
      <c r="M106" s="911">
        <v>5.0</v>
      </c>
      <c r="N106" s="911"/>
    </row>
    <row r="107" ht="15.75" customHeight="1">
      <c r="A107" s="1030">
        <v>16.0</v>
      </c>
      <c r="B107" s="1257" t="s">
        <v>3932</v>
      </c>
      <c r="C107" s="1123" t="s">
        <v>3320</v>
      </c>
      <c r="D107" s="1123" t="s">
        <v>1560</v>
      </c>
      <c r="E107" s="1123" t="s">
        <v>3935</v>
      </c>
      <c r="F107" s="1222">
        <v>1.94</v>
      </c>
      <c r="G107" s="1222"/>
      <c r="H107" s="1262">
        <v>41200.0</v>
      </c>
      <c r="I107" s="1266"/>
      <c r="J107" s="1123"/>
      <c r="K107" s="442" t="s">
        <v>3941</v>
      </c>
      <c r="L107" s="442" t="s">
        <v>3941</v>
      </c>
      <c r="M107" s="911"/>
      <c r="N107" s="911"/>
    </row>
    <row r="108" ht="15.75" customHeight="1">
      <c r="A108" s="1030">
        <v>17.0</v>
      </c>
      <c r="B108" s="1257" t="s">
        <v>3565</v>
      </c>
      <c r="C108" s="1123" t="s">
        <v>3944</v>
      </c>
      <c r="D108" s="1123" t="s">
        <v>3945</v>
      </c>
      <c r="E108" s="1123" t="s">
        <v>3946</v>
      </c>
      <c r="F108" s="1222">
        <v>0.169</v>
      </c>
      <c r="G108" s="1222"/>
      <c r="H108" s="1262">
        <v>2880.0</v>
      </c>
      <c r="I108" s="1266"/>
      <c r="J108" s="1123"/>
      <c r="K108" s="442" t="s">
        <v>3949</v>
      </c>
      <c r="L108" s="442" t="s">
        <v>3949</v>
      </c>
      <c r="M108" s="911"/>
      <c r="N108" s="911"/>
    </row>
    <row r="109" ht="15.75" customHeight="1">
      <c r="A109" s="1030">
        <v>18.0</v>
      </c>
      <c r="B109" s="1257" t="s">
        <v>3954</v>
      </c>
      <c r="C109" s="1123" t="s">
        <v>3956</v>
      </c>
      <c r="D109" s="1123" t="s">
        <v>3277</v>
      </c>
      <c r="E109" s="1123" t="s">
        <v>3957</v>
      </c>
      <c r="F109" s="1222">
        <v>0.23</v>
      </c>
      <c r="G109" s="1222"/>
      <c r="H109" s="1262">
        <v>4990.5</v>
      </c>
      <c r="I109" s="1266" t="s">
        <v>3959</v>
      </c>
      <c r="J109" s="1123"/>
      <c r="K109" s="1123" t="s">
        <v>3960</v>
      </c>
      <c r="L109" s="444" t="s">
        <v>3963</v>
      </c>
      <c r="M109" s="911">
        <v>6.0</v>
      </c>
      <c r="N109" s="911"/>
    </row>
    <row r="110" ht="15.75" customHeight="1">
      <c r="A110" s="1030">
        <v>19.0</v>
      </c>
      <c r="B110" s="1120" t="s">
        <v>3965</v>
      </c>
      <c r="C110" s="1123" t="s">
        <v>3966</v>
      </c>
      <c r="D110" s="1123" t="s">
        <v>1371</v>
      </c>
      <c r="E110" s="1123" t="s">
        <v>3968</v>
      </c>
      <c r="F110" s="824">
        <v>0.164</v>
      </c>
      <c r="G110" s="824"/>
      <c r="H110" s="1270">
        <v>3490.0</v>
      </c>
      <c r="I110" s="1137"/>
      <c r="J110" s="1123"/>
      <c r="K110" s="1123" t="s">
        <v>3977</v>
      </c>
      <c r="L110" s="1123" t="s">
        <v>3978</v>
      </c>
      <c r="M110" s="911"/>
      <c r="N110" s="911"/>
    </row>
    <row r="111" ht="15.75" customHeight="1">
      <c r="A111" s="1030">
        <v>20.0</v>
      </c>
      <c r="B111" s="1257" t="s">
        <v>3980</v>
      </c>
      <c r="C111" s="1123" t="s">
        <v>3981</v>
      </c>
      <c r="D111" s="1123"/>
      <c r="E111" s="1123" t="s">
        <v>3982</v>
      </c>
      <c r="F111" s="1222">
        <v>5.434</v>
      </c>
      <c r="G111" s="1222"/>
      <c r="H111" s="1262">
        <v>115195.0</v>
      </c>
      <c r="I111" s="1137"/>
      <c r="J111" s="1123"/>
      <c r="K111" s="1131" t="s">
        <v>3721</v>
      </c>
      <c r="L111" s="1123" t="s">
        <v>3514</v>
      </c>
      <c r="M111" s="911"/>
      <c r="N111" s="911"/>
    </row>
    <row r="112" ht="15.75" customHeight="1">
      <c r="A112" s="1030">
        <v>21.0</v>
      </c>
      <c r="B112" s="1120" t="s">
        <v>3986</v>
      </c>
      <c r="C112" s="1123" t="s">
        <v>3848</v>
      </c>
      <c r="D112" s="1123" t="s">
        <v>2828</v>
      </c>
      <c r="E112" s="1123" t="s">
        <v>3987</v>
      </c>
      <c r="F112" s="824">
        <v>1.87</v>
      </c>
      <c r="G112" s="824"/>
      <c r="H112" s="827">
        <v>39765.0</v>
      </c>
      <c r="I112" s="1137"/>
      <c r="J112" s="1123"/>
      <c r="K112" s="1123" t="s">
        <v>3988</v>
      </c>
      <c r="L112" s="1123" t="s">
        <v>3978</v>
      </c>
      <c r="M112" s="911"/>
      <c r="N112" s="911"/>
    </row>
    <row r="113" ht="15.75" customHeight="1">
      <c r="A113" s="1030">
        <v>22.0</v>
      </c>
      <c r="B113" s="1257" t="s">
        <v>3993</v>
      </c>
      <c r="C113" s="1123" t="s">
        <v>3994</v>
      </c>
      <c r="D113" s="1123"/>
      <c r="E113" s="1123" t="s">
        <v>3995</v>
      </c>
      <c r="F113" s="1222">
        <v>0.489</v>
      </c>
      <c r="G113" s="1222"/>
      <c r="H113" s="1262">
        <v>10374.0</v>
      </c>
      <c r="I113" s="1137" t="s">
        <v>3996</v>
      </c>
      <c r="J113" s="1123"/>
      <c r="K113" s="1123" t="s">
        <v>3999</v>
      </c>
      <c r="L113" s="1123" t="s">
        <v>4000</v>
      </c>
      <c r="M113" s="911">
        <v>7.0</v>
      </c>
      <c r="N113" s="911"/>
    </row>
    <row r="114" ht="15.75" customHeight="1">
      <c r="A114" s="1030">
        <v>23.0</v>
      </c>
      <c r="B114" s="1257" t="s">
        <v>4002</v>
      </c>
      <c r="C114" s="1123" t="s">
        <v>4003</v>
      </c>
      <c r="D114" s="1123" t="s">
        <v>4004</v>
      </c>
      <c r="E114" s="1123" t="s">
        <v>3780</v>
      </c>
      <c r="F114" s="1222">
        <v>0.506</v>
      </c>
      <c r="G114" s="1222"/>
      <c r="H114" s="1262"/>
      <c r="I114" s="1137"/>
      <c r="J114" s="1123"/>
      <c r="K114" s="1123" t="s">
        <v>346</v>
      </c>
      <c r="L114" s="1123" t="s">
        <v>557</v>
      </c>
      <c r="M114" s="911"/>
      <c r="N114" s="911"/>
    </row>
    <row r="115" ht="15.75" customHeight="1">
      <c r="A115" s="1280">
        <v>23.0</v>
      </c>
      <c r="B115" s="1284" t="s">
        <v>200</v>
      </c>
      <c r="C115" s="1284"/>
      <c r="D115" s="1000"/>
      <c r="E115" s="1000"/>
      <c r="F115" s="1002">
        <f>SUM(F92:F114)</f>
        <v>29.61064151</v>
      </c>
      <c r="G115" s="1002"/>
      <c r="H115" s="1006">
        <f>SUM(H92:H114)</f>
        <v>467694.97</v>
      </c>
      <c r="I115" s="1000"/>
      <c r="J115" s="1000"/>
      <c r="K115" s="1000"/>
      <c r="L115" s="1009"/>
      <c r="M115" s="1011">
        <v>7.0</v>
      </c>
      <c r="N115" s="1011"/>
    </row>
    <row r="116" ht="15.75" customHeight="1">
      <c r="A116" s="1015"/>
      <c r="B116" s="1288" t="s">
        <v>4060</v>
      </c>
      <c r="C116" s="28"/>
      <c r="D116" s="1291"/>
      <c r="E116" s="1291"/>
      <c r="F116" s="1295"/>
      <c r="G116" s="1295"/>
      <c r="H116" s="1298"/>
      <c r="I116" s="1291"/>
      <c r="J116" s="1291"/>
      <c r="K116" s="1291"/>
      <c r="L116" s="1300"/>
      <c r="M116" s="1026"/>
      <c r="N116" s="1026"/>
    </row>
    <row r="117" ht="15.75" customHeight="1">
      <c r="A117" s="1030">
        <v>1.0</v>
      </c>
      <c r="B117" s="1120" t="s">
        <v>4144</v>
      </c>
      <c r="C117" s="1120" t="s">
        <v>4145</v>
      </c>
      <c r="D117" s="1302" t="s">
        <v>4146</v>
      </c>
      <c r="E117" s="1302" t="s">
        <v>4149</v>
      </c>
      <c r="F117" s="916">
        <f>937/424</f>
        <v>2.20990566</v>
      </c>
      <c r="G117" s="916"/>
      <c r="H117" s="832">
        <v>37480.0</v>
      </c>
      <c r="I117" s="1306"/>
      <c r="J117" s="1302"/>
      <c r="K117" s="1302" t="s">
        <v>4146</v>
      </c>
      <c r="L117" s="1309" t="s">
        <v>4165</v>
      </c>
      <c r="M117" s="911"/>
      <c r="N117" s="911"/>
    </row>
    <row r="118" ht="15.75" customHeight="1">
      <c r="A118" s="996">
        <v>1.0</v>
      </c>
      <c r="B118" s="1194" t="s">
        <v>200</v>
      </c>
      <c r="C118" s="28"/>
      <c r="D118" s="1221"/>
      <c r="E118" s="1221"/>
      <c r="F118" s="1006">
        <f>SUM(F117)</f>
        <v>2.20990566</v>
      </c>
      <c r="G118" s="1006"/>
      <c r="H118" s="1006">
        <f>SUM(H117)</f>
        <v>37480</v>
      </c>
      <c r="I118" s="1221"/>
      <c r="J118" s="1312"/>
      <c r="K118" s="1312"/>
      <c r="L118" s="1227"/>
      <c r="M118" s="1011"/>
      <c r="N118" s="1011"/>
    </row>
    <row r="119" ht="15.75" customHeight="1">
      <c r="A119" s="1015"/>
      <c r="B119" s="1314" t="s">
        <v>3427</v>
      </c>
      <c r="C119" s="27"/>
      <c r="D119" s="27"/>
      <c r="E119" s="27"/>
      <c r="F119" s="27"/>
      <c r="G119" s="27"/>
      <c r="H119" s="27"/>
      <c r="I119" s="27"/>
      <c r="J119" s="27"/>
      <c r="K119" s="27"/>
      <c r="L119" s="28"/>
      <c r="M119" s="1026"/>
      <c r="N119" s="1026"/>
    </row>
    <row r="120" ht="85.5" customHeight="1">
      <c r="A120" s="1049">
        <v>1.0</v>
      </c>
      <c r="B120" s="1115" t="s">
        <v>4234</v>
      </c>
      <c r="C120" s="1115" t="s">
        <v>3566</v>
      </c>
      <c r="D120" s="1115" t="s">
        <v>4236</v>
      </c>
      <c r="E120" s="1115" t="s">
        <v>4238</v>
      </c>
      <c r="F120" s="1162">
        <f>6674.45/424</f>
        <v>15.74162736</v>
      </c>
      <c r="G120" s="1162"/>
      <c r="H120" s="943">
        <v>266978.0</v>
      </c>
      <c r="I120" s="1165" t="s">
        <v>118</v>
      </c>
      <c r="J120" s="1169" t="s">
        <v>118</v>
      </c>
      <c r="K120" s="1115" t="s">
        <v>3938</v>
      </c>
      <c r="L120" s="1115" t="s">
        <v>4248</v>
      </c>
      <c r="M120" s="940"/>
      <c r="N120" s="940"/>
    </row>
    <row r="121" ht="15.75" customHeight="1">
      <c r="A121" s="1049">
        <v>2.0</v>
      </c>
      <c r="B121" s="1115" t="s">
        <v>4234</v>
      </c>
      <c r="C121" s="1115" t="s">
        <v>4005</v>
      </c>
      <c r="D121" s="1115" t="s">
        <v>4252</v>
      </c>
      <c r="E121" s="1115" t="s">
        <v>4253</v>
      </c>
      <c r="F121" s="1162">
        <f>634/424</f>
        <v>1.495283019</v>
      </c>
      <c r="G121" s="1162"/>
      <c r="H121" s="943">
        <v>25360.0</v>
      </c>
      <c r="I121" s="1165" t="s">
        <v>118</v>
      </c>
      <c r="J121" s="1169" t="s">
        <v>118</v>
      </c>
      <c r="K121" s="1115" t="s">
        <v>3938</v>
      </c>
      <c r="L121" s="1115" t="s">
        <v>4260</v>
      </c>
      <c r="M121" s="940"/>
      <c r="N121" s="940"/>
    </row>
    <row r="122" ht="15.75" customHeight="1">
      <c r="A122" s="1030">
        <v>3.0</v>
      </c>
      <c r="B122" s="1120" t="s">
        <v>4263</v>
      </c>
      <c r="C122" s="1120" t="s">
        <v>4264</v>
      </c>
      <c r="D122" s="1120" t="s">
        <v>4266</v>
      </c>
      <c r="E122" s="1120" t="s">
        <v>4267</v>
      </c>
      <c r="F122" s="1319">
        <f>175/424</f>
        <v>0.4127358491</v>
      </c>
      <c r="G122" s="1319"/>
      <c r="H122" s="832">
        <v>7000.0</v>
      </c>
      <c r="I122" s="1321" t="s">
        <v>3473</v>
      </c>
      <c r="J122" s="1323">
        <v>12000.0</v>
      </c>
      <c r="K122" s="1120" t="s">
        <v>1427</v>
      </c>
      <c r="L122" s="1120" t="s">
        <v>4350</v>
      </c>
      <c r="M122" s="911">
        <v>1.0</v>
      </c>
      <c r="N122" s="911"/>
    </row>
    <row r="123" ht="15.75" customHeight="1">
      <c r="A123" s="1030">
        <v>4.0</v>
      </c>
      <c r="B123" s="1120" t="s">
        <v>4356</v>
      </c>
      <c r="C123" s="1120" t="s">
        <v>4357</v>
      </c>
      <c r="D123" s="1120" t="s">
        <v>1427</v>
      </c>
      <c r="E123" s="1120" t="s">
        <v>3548</v>
      </c>
      <c r="F123" s="1319">
        <f>57.3/424</f>
        <v>0.1351415094</v>
      </c>
      <c r="G123" s="1319"/>
      <c r="H123" s="832">
        <v>2374.4</v>
      </c>
      <c r="I123" s="1321" t="s">
        <v>3473</v>
      </c>
      <c r="J123" s="1323">
        <v>15000.0</v>
      </c>
      <c r="K123" s="1120" t="s">
        <v>1427</v>
      </c>
      <c r="L123" s="1120" t="s">
        <v>4363</v>
      </c>
      <c r="M123" s="911">
        <v>2.0</v>
      </c>
      <c r="N123" s="911"/>
    </row>
    <row r="124" ht="15.75" customHeight="1">
      <c r="A124" s="1030">
        <v>5.0</v>
      </c>
      <c r="B124" s="1120" t="s">
        <v>4364</v>
      </c>
      <c r="C124" s="1120" t="s">
        <v>3223</v>
      </c>
      <c r="D124" s="1120" t="s">
        <v>4365</v>
      </c>
      <c r="E124" s="1120" t="s">
        <v>4366</v>
      </c>
      <c r="F124" s="1319">
        <f>67.48/424</f>
        <v>0.1591509434</v>
      </c>
      <c r="G124" s="1319"/>
      <c r="H124" s="832">
        <v>67.84</v>
      </c>
      <c r="I124" s="1306" t="s">
        <v>118</v>
      </c>
      <c r="J124" s="1302" t="s">
        <v>118</v>
      </c>
      <c r="K124" s="1120" t="s">
        <v>1447</v>
      </c>
      <c r="L124" s="1120" t="s">
        <v>4367</v>
      </c>
      <c r="M124" s="911"/>
      <c r="N124" s="911"/>
    </row>
    <row r="125" ht="15.75" customHeight="1">
      <c r="A125" s="1030">
        <v>6.0</v>
      </c>
      <c r="B125" s="1120" t="s">
        <v>2339</v>
      </c>
      <c r="C125" s="1120" t="s">
        <v>4368</v>
      </c>
      <c r="D125" s="1120" t="s">
        <v>4369</v>
      </c>
      <c r="E125" s="1120" t="s">
        <v>4370</v>
      </c>
      <c r="F125" s="1319">
        <v>2.69</v>
      </c>
      <c r="G125" s="1319"/>
      <c r="H125" s="832">
        <v>91119.0</v>
      </c>
      <c r="I125" s="1306" t="s">
        <v>118</v>
      </c>
      <c r="J125" s="1302" t="s">
        <v>118</v>
      </c>
      <c r="K125" s="1120" t="s">
        <v>1447</v>
      </c>
      <c r="L125" s="1120" t="s">
        <v>4367</v>
      </c>
      <c r="M125" s="911"/>
      <c r="N125" s="911"/>
    </row>
    <row r="126" ht="15.75" customHeight="1">
      <c r="A126" s="1030">
        <v>7.0</v>
      </c>
      <c r="B126" s="1120" t="s">
        <v>3253</v>
      </c>
      <c r="C126" s="1120" t="s">
        <v>4372</v>
      </c>
      <c r="D126" s="1120" t="s">
        <v>4373</v>
      </c>
      <c r="E126" s="1120" t="s">
        <v>4374</v>
      </c>
      <c r="F126" s="1319"/>
      <c r="G126" s="1319"/>
      <c r="H126" s="832"/>
      <c r="I126" s="1306"/>
      <c r="J126" s="1302"/>
      <c r="K126" s="1120" t="s">
        <v>681</v>
      </c>
      <c r="L126" s="1120" t="s">
        <v>4375</v>
      </c>
      <c r="M126" s="911"/>
      <c r="N126" s="911"/>
    </row>
    <row r="127" ht="15.75" customHeight="1">
      <c r="A127" s="1030">
        <v>8.0</v>
      </c>
      <c r="B127" s="1120" t="s">
        <v>3891</v>
      </c>
      <c r="C127" s="1120" t="s">
        <v>4376</v>
      </c>
      <c r="D127" s="1120" t="s">
        <v>681</v>
      </c>
      <c r="E127" s="1120" t="s">
        <v>1205</v>
      </c>
      <c r="F127" s="1319">
        <f>89.33/424</f>
        <v>0.2106839623</v>
      </c>
      <c r="G127" s="1319"/>
      <c r="H127" s="832">
        <v>3560.0</v>
      </c>
      <c r="I127" s="1306"/>
      <c r="J127" s="1302"/>
      <c r="K127" s="1120" t="s">
        <v>681</v>
      </c>
      <c r="L127" s="1120" t="s">
        <v>4380</v>
      </c>
      <c r="M127" s="911">
        <v>3.0</v>
      </c>
      <c r="N127" s="911"/>
    </row>
    <row r="128" ht="15.75" customHeight="1">
      <c r="A128" s="1030">
        <v>9.0</v>
      </c>
      <c r="B128" s="1120" t="s">
        <v>4381</v>
      </c>
      <c r="C128" s="1120" t="s">
        <v>4382</v>
      </c>
      <c r="D128" s="1120" t="s">
        <v>4383</v>
      </c>
      <c r="E128" s="1120" t="s">
        <v>4384</v>
      </c>
      <c r="F128" s="1319">
        <f>311.25/424</f>
        <v>0.7340801887</v>
      </c>
      <c r="G128" s="1319"/>
      <c r="H128" s="832"/>
      <c r="I128" s="1306"/>
      <c r="J128" s="1302"/>
      <c r="K128" s="1120" t="s">
        <v>4385</v>
      </c>
      <c r="L128" s="1120" t="s">
        <v>4386</v>
      </c>
      <c r="M128" s="911"/>
      <c r="N128" s="911"/>
    </row>
    <row r="129" ht="15.75" customHeight="1">
      <c r="A129" s="1030">
        <v>10.0</v>
      </c>
      <c r="B129" s="1120" t="s">
        <v>4387</v>
      </c>
      <c r="C129" s="1120" t="s">
        <v>4388</v>
      </c>
      <c r="D129" s="1120" t="s">
        <v>4389</v>
      </c>
      <c r="E129" s="1120" t="s">
        <v>4390</v>
      </c>
      <c r="F129" s="1319">
        <f>602.65/424</f>
        <v>1.42134434</v>
      </c>
      <c r="G129" s="1319"/>
      <c r="H129" s="832">
        <v>30132.5</v>
      </c>
      <c r="I129" s="1306"/>
      <c r="J129" s="1302"/>
      <c r="K129" s="1120" t="s">
        <v>4393</v>
      </c>
      <c r="L129" s="1120" t="s">
        <v>4394</v>
      </c>
      <c r="M129" s="911"/>
      <c r="N129" s="911"/>
    </row>
    <row r="130" ht="15.75" customHeight="1">
      <c r="A130" s="1335">
        <v>11.0</v>
      </c>
      <c r="B130" s="1339" t="s">
        <v>4404</v>
      </c>
      <c r="C130" s="1339" t="s">
        <v>4372</v>
      </c>
      <c r="D130" s="1120" t="s">
        <v>681</v>
      </c>
      <c r="E130" s="1120" t="s">
        <v>4374</v>
      </c>
      <c r="F130" s="1319"/>
      <c r="G130" s="1319"/>
      <c r="H130" s="832">
        <v>1500.0</v>
      </c>
      <c r="I130" s="1306"/>
      <c r="J130" s="1302"/>
      <c r="K130" s="1120" t="s">
        <v>681</v>
      </c>
      <c r="L130" s="1120" t="s">
        <v>4420</v>
      </c>
      <c r="M130" s="911"/>
      <c r="N130" s="911"/>
    </row>
    <row r="131" ht="15.75" customHeight="1">
      <c r="A131" s="1344">
        <v>11.0</v>
      </c>
      <c r="B131" s="1348" t="s">
        <v>200</v>
      </c>
      <c r="C131" s="28"/>
      <c r="D131" s="1350"/>
      <c r="E131" s="1350"/>
      <c r="F131" s="1352">
        <f>SUM(F120:F130)</f>
        <v>23.00004717</v>
      </c>
      <c r="G131" s="1352"/>
      <c r="H131" s="1354">
        <f>SUM(H120:H130)</f>
        <v>428091.74</v>
      </c>
      <c r="I131" s="1357"/>
      <c r="J131" s="1361">
        <f>J123+J122</f>
        <v>27000</v>
      </c>
      <c r="K131" s="1357"/>
      <c r="L131" s="1364"/>
      <c r="M131" s="1011"/>
      <c r="N131" s="1011"/>
    </row>
    <row r="132" ht="15.75" customHeight="1">
      <c r="A132" s="1344"/>
      <c r="B132" s="1348" t="s">
        <v>518</v>
      </c>
      <c r="C132" s="28"/>
      <c r="D132" s="1350"/>
      <c r="E132" s="1350"/>
      <c r="F132" s="1352">
        <f>F131+F118+F115+F90+F70+F47+F10</f>
        <v>123.8316509</v>
      </c>
      <c r="G132" s="1352"/>
      <c r="H132" s="1354">
        <f>H131+H118+H115+H90+H70+H47+H10</f>
        <v>2179244.42</v>
      </c>
      <c r="I132" s="1357"/>
      <c r="J132" s="1372">
        <f>J131+J10</f>
        <v>727000</v>
      </c>
      <c r="K132" s="1357"/>
      <c r="L132" s="1364"/>
      <c r="M132" s="1354"/>
      <c r="N132" s="1354"/>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I5:I6"/>
    <mergeCell ref="J5:J6"/>
    <mergeCell ref="K5:K6"/>
    <mergeCell ref="L5:L6"/>
    <mergeCell ref="M5:M6"/>
    <mergeCell ref="N5:N6"/>
    <mergeCell ref="A7:L7"/>
    <mergeCell ref="A8:L8"/>
    <mergeCell ref="A11:N11"/>
    <mergeCell ref="A1:N1"/>
    <mergeCell ref="A2:N2"/>
    <mergeCell ref="A3:N3"/>
    <mergeCell ref="A4:N4"/>
    <mergeCell ref="A5:A6"/>
    <mergeCell ref="B5:B6"/>
    <mergeCell ref="C5:C6"/>
    <mergeCell ref="B116:C116"/>
    <mergeCell ref="B118:C118"/>
    <mergeCell ref="B119:L119"/>
    <mergeCell ref="B131:C131"/>
    <mergeCell ref="B132:C132"/>
    <mergeCell ref="D5:D6"/>
    <mergeCell ref="E5:H5"/>
    <mergeCell ref="B48:L48"/>
    <mergeCell ref="B70:C70"/>
    <mergeCell ref="B71:L71"/>
    <mergeCell ref="B90:C90"/>
    <mergeCell ref="B91:L9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sheetViews>
  <sheetFormatPr customHeight="1" defaultColWidth="12.63" defaultRowHeight="15.0"/>
  <cols>
    <col customWidth="1" min="1" max="1" width="8.63"/>
    <col customWidth="1" min="2" max="2" width="14.63"/>
    <col customWidth="1" min="3" max="3" width="20.38"/>
    <col customWidth="1" min="4" max="4" width="15.25"/>
    <col customWidth="1" min="5" max="5" width="19.38"/>
    <col customWidth="1" min="6" max="6" width="18.25"/>
    <col customWidth="1" min="7" max="7" width="14.38"/>
    <col customWidth="1" min="8" max="8" width="14.75"/>
    <col customWidth="1" min="9" max="9" width="18.38"/>
    <col customWidth="1" min="10" max="10" width="16.0"/>
    <col customWidth="1" min="11" max="11" width="17.25"/>
    <col customWidth="1" min="12" max="12" width="17.0"/>
    <col customWidth="1" min="13" max="13" width="21.38"/>
    <col customWidth="1" min="14" max="14" width="24.13"/>
    <col customWidth="1" min="15" max="15" width="16.63"/>
    <col customWidth="1" min="16" max="16" width="16.75"/>
    <col customWidth="1" min="17" max="17" width="17.38"/>
    <col customWidth="1" min="18" max="18" width="19.13"/>
    <col customWidth="1" min="19" max="19" width="14.88"/>
    <col customWidth="1" min="20" max="20" width="19.38"/>
    <col customWidth="1" min="21" max="21" width="16.88"/>
    <col customWidth="1" min="22" max="22" width="17.63"/>
    <col customWidth="1" min="23" max="23" width="15.25"/>
  </cols>
  <sheetData>
    <row r="1">
      <c r="A1" s="1061" t="s">
        <v>916</v>
      </c>
    </row>
    <row r="2">
      <c r="A2" s="1066" t="s">
        <v>3031</v>
      </c>
      <c r="B2" s="770"/>
      <c r="C2" s="770"/>
      <c r="D2" s="770"/>
      <c r="E2" s="770"/>
      <c r="F2" s="770"/>
      <c r="G2" s="770"/>
      <c r="H2" s="770"/>
      <c r="I2" s="770"/>
      <c r="J2" s="770"/>
      <c r="K2" s="770"/>
      <c r="L2" s="770"/>
      <c r="M2" s="770"/>
      <c r="N2" s="770"/>
      <c r="O2" s="770"/>
      <c r="P2" s="770"/>
      <c r="Q2" s="770"/>
      <c r="R2" s="770"/>
      <c r="S2" s="770"/>
      <c r="T2" s="770"/>
      <c r="U2" s="770"/>
      <c r="V2" s="770"/>
      <c r="W2" s="770"/>
    </row>
    <row r="3" ht="23.25" customHeight="1">
      <c r="A3" s="1070" t="s">
        <v>3034</v>
      </c>
      <c r="B3" s="1074" t="s">
        <v>3037</v>
      </c>
      <c r="C3" s="1078" t="s">
        <v>954</v>
      </c>
      <c r="D3" s="1070" t="s">
        <v>962</v>
      </c>
      <c r="E3" s="1070" t="s">
        <v>3043</v>
      </c>
      <c r="F3" s="1080" t="s">
        <v>965</v>
      </c>
      <c r="G3" s="289"/>
      <c r="H3" s="289"/>
      <c r="I3" s="636"/>
      <c r="J3" s="1084" t="s">
        <v>1841</v>
      </c>
      <c r="K3" s="1085"/>
      <c r="L3" s="1089" t="s">
        <v>3046</v>
      </c>
      <c r="M3" s="1091" t="s">
        <v>3049</v>
      </c>
      <c r="N3" s="1095" t="s">
        <v>22</v>
      </c>
      <c r="O3" s="1099" t="s">
        <v>3054</v>
      </c>
      <c r="P3" s="1099" t="s">
        <v>3065</v>
      </c>
      <c r="Q3" s="1104" t="s">
        <v>3066</v>
      </c>
      <c r="R3" s="289"/>
      <c r="S3" s="636"/>
      <c r="T3" s="1108" t="s">
        <v>3070</v>
      </c>
      <c r="U3" s="476"/>
      <c r="V3" s="1085"/>
      <c r="W3" s="1111" t="s">
        <v>3075</v>
      </c>
    </row>
    <row r="4">
      <c r="A4" s="1114"/>
      <c r="B4" s="1118"/>
      <c r="C4" s="1122"/>
      <c r="D4" s="1114"/>
      <c r="E4" s="1114"/>
      <c r="F4" s="1125" t="s">
        <v>3124</v>
      </c>
      <c r="G4" s="1129" t="s">
        <v>3126</v>
      </c>
      <c r="H4" s="1129" t="s">
        <v>3140</v>
      </c>
      <c r="I4" s="1133" t="s">
        <v>986</v>
      </c>
      <c r="J4" s="1135"/>
      <c r="K4" s="1138"/>
      <c r="L4" s="1140"/>
      <c r="M4" s="434"/>
      <c r="N4" s="437"/>
      <c r="O4" s="779"/>
      <c r="P4" s="779"/>
      <c r="Q4" s="1142" t="s">
        <v>3193</v>
      </c>
      <c r="R4" s="1143" t="s">
        <v>3213</v>
      </c>
      <c r="S4" s="1142" t="s">
        <v>3217</v>
      </c>
      <c r="T4" s="1142" t="s">
        <v>3193</v>
      </c>
      <c r="U4" s="1143" t="s">
        <v>3213</v>
      </c>
      <c r="V4" s="1142" t="s">
        <v>3217</v>
      </c>
      <c r="W4" s="779"/>
    </row>
    <row r="5">
      <c r="A5" s="1146"/>
      <c r="B5" s="1148" t="s">
        <v>27</v>
      </c>
      <c r="C5" s="1153"/>
      <c r="D5" s="1153"/>
      <c r="E5" s="1153"/>
      <c r="F5" s="1153"/>
      <c r="G5" s="1153"/>
      <c r="H5" s="1153"/>
      <c r="I5" s="1156"/>
      <c r="J5" s="1159"/>
      <c r="K5" s="1153"/>
      <c r="L5" s="1153"/>
      <c r="M5" s="1153"/>
      <c r="N5" s="1163"/>
      <c r="O5" s="1167"/>
      <c r="P5" s="1172"/>
      <c r="Q5" s="1172"/>
      <c r="R5" s="1172"/>
      <c r="S5" s="1172"/>
      <c r="T5" s="1172"/>
      <c r="U5" s="1172"/>
      <c r="V5" s="1172"/>
      <c r="W5" s="1176"/>
    </row>
    <row r="6">
      <c r="A6" s="1179">
        <v>1.0</v>
      </c>
      <c r="B6" s="1181" t="s">
        <v>3349</v>
      </c>
      <c r="C6" s="1184" t="s">
        <v>2735</v>
      </c>
      <c r="D6" s="1184" t="s">
        <v>481</v>
      </c>
      <c r="E6" s="806" t="s">
        <v>3394</v>
      </c>
      <c r="F6" s="812" t="s">
        <v>3397</v>
      </c>
      <c r="G6" s="1184">
        <v>0.26</v>
      </c>
      <c r="H6" s="1189">
        <v>110.24</v>
      </c>
      <c r="I6" s="1191">
        <v>8475.0</v>
      </c>
      <c r="J6" s="1192">
        <v>1.0</v>
      </c>
      <c r="K6" s="806" t="s">
        <v>3436</v>
      </c>
      <c r="L6" s="806"/>
      <c r="M6" s="806" t="s">
        <v>3438</v>
      </c>
      <c r="N6" s="812" t="s">
        <v>3440</v>
      </c>
      <c r="O6" s="1196"/>
      <c r="P6" s="1198"/>
      <c r="Q6" s="1198"/>
      <c r="R6" s="1198"/>
      <c r="S6" s="1198"/>
      <c r="T6" s="1198"/>
      <c r="U6" s="1198"/>
      <c r="V6" s="1198"/>
      <c r="W6" s="1201"/>
    </row>
    <row r="7">
      <c r="A7" s="1203">
        <v>1.0</v>
      </c>
      <c r="B7" s="1206" t="s">
        <v>3482</v>
      </c>
      <c r="C7" s="1209" t="s">
        <v>3499</v>
      </c>
      <c r="D7" s="1209" t="s">
        <v>1033</v>
      </c>
      <c r="E7" s="1209" t="s">
        <v>3517</v>
      </c>
      <c r="F7" s="1209" t="s">
        <v>3518</v>
      </c>
      <c r="G7" s="1209">
        <v>0.46</v>
      </c>
      <c r="H7" s="1209">
        <v>195.04</v>
      </c>
      <c r="I7" s="1211">
        <v>7779.15</v>
      </c>
      <c r="J7" s="1213"/>
      <c r="K7" s="1209" t="s">
        <v>1101</v>
      </c>
      <c r="L7" s="1209"/>
      <c r="M7" s="1045" t="s">
        <v>3598</v>
      </c>
      <c r="N7" s="1215" t="s">
        <v>3496</v>
      </c>
      <c r="O7" s="1217">
        <v>1.0</v>
      </c>
      <c r="P7" s="1213"/>
      <c r="Q7" s="1213" t="s">
        <v>3629</v>
      </c>
      <c r="R7" s="1213" t="s">
        <v>3630</v>
      </c>
      <c r="S7" s="1219">
        <v>45545.0</v>
      </c>
      <c r="T7" s="1222"/>
      <c r="U7" s="1222"/>
      <c r="V7" s="1222"/>
      <c r="W7" s="1225"/>
    </row>
    <row r="8">
      <c r="A8" s="1228">
        <v>1.0</v>
      </c>
      <c r="B8" s="1230" t="s">
        <v>3680</v>
      </c>
      <c r="C8" s="1234" t="s">
        <v>2182</v>
      </c>
      <c r="D8" s="1238" t="s">
        <v>134</v>
      </c>
      <c r="E8" s="1234" t="s">
        <v>3755</v>
      </c>
      <c r="F8" s="1238" t="s">
        <v>3757</v>
      </c>
      <c r="G8" s="1238">
        <v>0.43</v>
      </c>
      <c r="H8" s="1238">
        <v>182.32</v>
      </c>
      <c r="I8" s="1240">
        <v>8370.0</v>
      </c>
      <c r="J8" s="1245"/>
      <c r="K8" s="1238"/>
      <c r="L8" s="1238"/>
      <c r="M8" s="1234" t="s">
        <v>3805</v>
      </c>
      <c r="N8" s="1249" t="s">
        <v>3807</v>
      </c>
      <c r="O8" s="1254"/>
      <c r="P8" s="1245"/>
      <c r="Q8" s="1245" t="s">
        <v>3864</v>
      </c>
      <c r="R8" s="1245" t="s">
        <v>3865</v>
      </c>
      <c r="S8" s="1245" t="s">
        <v>3866</v>
      </c>
      <c r="T8" s="1245" t="s">
        <v>3867</v>
      </c>
      <c r="U8" s="1245" t="s">
        <v>3865</v>
      </c>
      <c r="V8" s="1245" t="s">
        <v>3866</v>
      </c>
      <c r="W8" s="1225"/>
    </row>
    <row r="9">
      <c r="A9" s="1228">
        <v>1.0</v>
      </c>
      <c r="B9" s="1230" t="s">
        <v>3868</v>
      </c>
      <c r="C9" s="1234" t="s">
        <v>3869</v>
      </c>
      <c r="D9" s="1238"/>
      <c r="E9" s="1234"/>
      <c r="F9" s="1238" t="s">
        <v>3870</v>
      </c>
      <c r="G9" s="1238"/>
      <c r="H9" s="1238">
        <v>517.49</v>
      </c>
      <c r="I9" s="1240"/>
      <c r="J9" s="1245"/>
      <c r="K9" s="1238"/>
      <c r="L9" s="1238"/>
      <c r="M9" s="1234"/>
      <c r="N9" s="1249"/>
      <c r="O9" s="1254"/>
      <c r="P9" s="1245"/>
      <c r="Q9" s="1245"/>
      <c r="R9" s="1245"/>
      <c r="S9" s="1245"/>
      <c r="T9" s="1245" t="s">
        <v>3871</v>
      </c>
      <c r="U9" s="1245" t="s">
        <v>3872</v>
      </c>
      <c r="V9" s="1245" t="s">
        <v>3873</v>
      </c>
      <c r="W9" s="1225"/>
    </row>
    <row r="10">
      <c r="A10" s="1258">
        <v>1.0</v>
      </c>
      <c r="B10" s="1261" t="s">
        <v>3887</v>
      </c>
      <c r="C10" s="914" t="s">
        <v>3900</v>
      </c>
      <c r="D10" s="1265" t="s">
        <v>1058</v>
      </c>
      <c r="E10" s="1265"/>
      <c r="F10" s="914" t="s">
        <v>3910</v>
      </c>
      <c r="G10" s="1268">
        <v>0.5</v>
      </c>
      <c r="H10" s="1269">
        <v>212.0</v>
      </c>
      <c r="I10" s="1269">
        <v>20265.0</v>
      </c>
      <c r="J10" s="1222"/>
      <c r="K10" s="1265" t="s">
        <v>1101</v>
      </c>
      <c r="L10" s="1265"/>
      <c r="M10" s="914" t="s">
        <v>3974</v>
      </c>
      <c r="N10" s="824" t="s">
        <v>3807</v>
      </c>
      <c r="O10" s="1271">
        <v>1.0</v>
      </c>
      <c r="P10" s="1222"/>
      <c r="Q10" s="1222"/>
      <c r="R10" s="1222"/>
      <c r="S10" s="1222"/>
      <c r="T10" s="1222"/>
      <c r="U10" s="1222"/>
      <c r="V10" s="1222"/>
      <c r="W10" s="1225"/>
    </row>
    <row r="11">
      <c r="A11" s="1273">
        <v>1.0</v>
      </c>
      <c r="B11" s="1274" t="s">
        <v>4011</v>
      </c>
      <c r="C11" s="1275" t="s">
        <v>4016</v>
      </c>
      <c r="D11" s="1275" t="s">
        <v>1033</v>
      </c>
      <c r="E11" s="1275"/>
      <c r="F11" s="1275" t="s">
        <v>4021</v>
      </c>
      <c r="G11" s="1275">
        <v>0.65</v>
      </c>
      <c r="H11" s="1276">
        <v>276.0</v>
      </c>
      <c r="I11" s="1277">
        <v>9660.0</v>
      </c>
      <c r="J11" s="1247"/>
      <c r="K11" s="1275"/>
      <c r="L11" s="1275"/>
      <c r="M11" s="1275" t="s">
        <v>1033</v>
      </c>
      <c r="N11" s="609" t="s">
        <v>3807</v>
      </c>
      <c r="O11" s="1278"/>
      <c r="P11" s="1247"/>
      <c r="Q11" s="1279" t="s">
        <v>4024</v>
      </c>
      <c r="R11" s="1247" t="s">
        <v>4025</v>
      </c>
      <c r="S11" s="1247" t="s">
        <v>3864</v>
      </c>
      <c r="T11" s="1247" t="s">
        <v>3867</v>
      </c>
      <c r="U11" s="1247" t="s">
        <v>4026</v>
      </c>
      <c r="V11" s="1247" t="s">
        <v>3864</v>
      </c>
      <c r="W11" s="1225"/>
    </row>
    <row r="12">
      <c r="A12" s="1258">
        <v>1.0</v>
      </c>
      <c r="B12" s="1261" t="s">
        <v>4027</v>
      </c>
      <c r="C12" s="824" t="s">
        <v>4028</v>
      </c>
      <c r="D12" s="1265" t="s">
        <v>481</v>
      </c>
      <c r="E12" s="1265" t="s">
        <v>4029</v>
      </c>
      <c r="F12" s="1265" t="s">
        <v>4030</v>
      </c>
      <c r="G12" s="1265">
        <v>0.46</v>
      </c>
      <c r="H12" s="1268">
        <v>198.0</v>
      </c>
      <c r="I12" s="1269">
        <v>9900.0</v>
      </c>
      <c r="J12" s="1222">
        <v>1.0</v>
      </c>
      <c r="K12" s="1283" t="s">
        <v>4031</v>
      </c>
      <c r="L12" s="1283"/>
      <c r="M12" s="914" t="s">
        <v>4034</v>
      </c>
      <c r="N12" s="824" t="s">
        <v>4036</v>
      </c>
      <c r="O12" s="1286"/>
      <c r="P12" s="1222"/>
      <c r="Q12" s="1222"/>
      <c r="R12" s="1222"/>
      <c r="S12" s="1222"/>
      <c r="T12" s="1222"/>
      <c r="U12" s="1222"/>
      <c r="V12" s="1222"/>
      <c r="W12" s="1225"/>
    </row>
    <row r="13">
      <c r="A13" s="1258">
        <v>1.0</v>
      </c>
      <c r="B13" s="1261" t="s">
        <v>4056</v>
      </c>
      <c r="C13" s="824" t="s">
        <v>4028</v>
      </c>
      <c r="D13" s="1265" t="s">
        <v>481</v>
      </c>
      <c r="E13" s="1265" t="s">
        <v>4058</v>
      </c>
      <c r="F13" s="1265" t="s">
        <v>4059</v>
      </c>
      <c r="G13" s="1265">
        <v>0.48</v>
      </c>
      <c r="H13" s="1268">
        <v>207.0</v>
      </c>
      <c r="I13" s="1269">
        <v>10350.0</v>
      </c>
      <c r="J13" s="1287">
        <v>1.0</v>
      </c>
      <c r="K13" s="1289" t="s">
        <v>4067</v>
      </c>
      <c r="L13" s="1289"/>
      <c r="M13" s="914" t="s">
        <v>4034</v>
      </c>
      <c r="N13" s="824" t="s">
        <v>4036</v>
      </c>
      <c r="O13" s="1286"/>
      <c r="P13" s="1222"/>
      <c r="Q13" s="1222"/>
      <c r="R13" s="1222"/>
      <c r="S13" s="1222"/>
      <c r="T13" s="1222"/>
      <c r="U13" s="1222"/>
      <c r="V13" s="1222"/>
      <c r="W13" s="1225"/>
    </row>
    <row r="14">
      <c r="A14" s="1258">
        <v>1.0</v>
      </c>
      <c r="B14" s="1261" t="s">
        <v>4068</v>
      </c>
      <c r="C14" s="1265" t="s">
        <v>4016</v>
      </c>
      <c r="D14" s="1265" t="s">
        <v>1033</v>
      </c>
      <c r="E14" s="1265" t="s">
        <v>4069</v>
      </c>
      <c r="F14" s="1265" t="s">
        <v>4070</v>
      </c>
      <c r="G14" s="1265">
        <v>0.92</v>
      </c>
      <c r="H14" s="1268">
        <v>394.0</v>
      </c>
      <c r="I14" s="1269">
        <v>13790.0</v>
      </c>
      <c r="J14" s="1287"/>
      <c r="K14" s="1265"/>
      <c r="L14" s="1265"/>
      <c r="M14" s="914" t="s">
        <v>4071</v>
      </c>
      <c r="N14" s="824" t="s">
        <v>4072</v>
      </c>
      <c r="O14" s="1286"/>
      <c r="P14" s="1222"/>
      <c r="Q14" s="1222"/>
      <c r="R14" s="1222"/>
      <c r="S14" s="1222"/>
      <c r="T14" s="1222"/>
      <c r="U14" s="1222"/>
      <c r="V14" s="1222"/>
      <c r="W14" s="1225"/>
    </row>
    <row r="15">
      <c r="A15" s="1273">
        <v>1.0</v>
      </c>
      <c r="B15" s="1274" t="s">
        <v>4073</v>
      </c>
      <c r="C15" s="609" t="s">
        <v>4074</v>
      </c>
      <c r="D15" s="1275" t="s">
        <v>481</v>
      </c>
      <c r="E15" s="1275" t="s">
        <v>557</v>
      </c>
      <c r="F15" s="1041" t="s">
        <v>4075</v>
      </c>
      <c r="G15" s="1275">
        <v>1.08</v>
      </c>
      <c r="H15" s="1277">
        <v>458.0</v>
      </c>
      <c r="I15" s="1277">
        <v>13790.0</v>
      </c>
      <c r="J15" s="1247"/>
      <c r="K15" s="1275"/>
      <c r="L15" s="1275"/>
      <c r="M15" s="1041" t="s">
        <v>4034</v>
      </c>
      <c r="N15" s="609" t="s">
        <v>4036</v>
      </c>
      <c r="O15" s="1278"/>
      <c r="P15" s="1247"/>
      <c r="Q15" s="1247"/>
      <c r="R15" s="1247"/>
      <c r="S15" s="1247"/>
      <c r="T15" s="1247" t="s">
        <v>3867</v>
      </c>
      <c r="U15" s="1247" t="s">
        <v>4076</v>
      </c>
      <c r="V15" s="1247" t="s">
        <v>3866</v>
      </c>
      <c r="W15" s="1225"/>
    </row>
    <row r="16">
      <c r="A16" s="1258">
        <v>1.0</v>
      </c>
      <c r="B16" s="1261" t="s">
        <v>4077</v>
      </c>
      <c r="C16" s="824" t="s">
        <v>1563</v>
      </c>
      <c r="D16" s="1265" t="s">
        <v>4078</v>
      </c>
      <c r="E16" s="1265" t="s">
        <v>4079</v>
      </c>
      <c r="F16" s="1265" t="s">
        <v>4080</v>
      </c>
      <c r="G16" s="1265">
        <v>0.18</v>
      </c>
      <c r="H16" s="1268">
        <v>77.0</v>
      </c>
      <c r="I16" s="1269">
        <v>5460.0</v>
      </c>
      <c r="J16" s="1222"/>
      <c r="K16" s="1265"/>
      <c r="L16" s="1265"/>
      <c r="M16" s="914" t="s">
        <v>4081</v>
      </c>
      <c r="N16" s="824" t="s">
        <v>4036</v>
      </c>
      <c r="O16" s="1286"/>
      <c r="P16" s="1222"/>
      <c r="Q16" s="1222"/>
      <c r="R16" s="1222"/>
      <c r="S16" s="1222"/>
      <c r="T16" s="1222"/>
      <c r="U16" s="1222"/>
      <c r="V16" s="1222"/>
      <c r="W16" s="1225"/>
    </row>
    <row r="17">
      <c r="A17" s="1293">
        <v>1.0</v>
      </c>
      <c r="B17" s="1274" t="s">
        <v>4086</v>
      </c>
      <c r="C17" s="609" t="s">
        <v>4028</v>
      </c>
      <c r="D17" s="1275" t="s">
        <v>460</v>
      </c>
      <c r="E17" s="1275" t="s">
        <v>557</v>
      </c>
      <c r="F17" s="1275" t="s">
        <v>4090</v>
      </c>
      <c r="G17" s="1275">
        <v>0.67</v>
      </c>
      <c r="H17" s="1276">
        <v>286.0</v>
      </c>
      <c r="I17" s="1277"/>
      <c r="J17" s="1247"/>
      <c r="K17" s="1275"/>
      <c r="L17" s="1275"/>
      <c r="M17" s="1041"/>
      <c r="N17" s="609" t="s">
        <v>4036</v>
      </c>
      <c r="O17" s="1296"/>
      <c r="P17" s="1247"/>
      <c r="Q17" s="1247" t="s">
        <v>4126</v>
      </c>
      <c r="R17" s="1247" t="s">
        <v>4128</v>
      </c>
      <c r="S17" s="1247" t="s">
        <v>4130</v>
      </c>
      <c r="T17" s="1247" t="s">
        <v>3867</v>
      </c>
      <c r="U17" s="1247" t="s">
        <v>4128</v>
      </c>
      <c r="V17" s="1247" t="s">
        <v>4130</v>
      </c>
      <c r="W17" s="1225"/>
    </row>
    <row r="18">
      <c r="A18" s="1299">
        <v>1.0</v>
      </c>
      <c r="B18" s="1301" t="s">
        <v>4143</v>
      </c>
      <c r="C18" s="855" t="s">
        <v>1551</v>
      </c>
      <c r="D18" s="914" t="s">
        <v>4147</v>
      </c>
      <c r="E18" s="1303" t="s">
        <v>4148</v>
      </c>
      <c r="F18" s="1303" t="s">
        <v>4150</v>
      </c>
      <c r="G18" s="1303">
        <v>0.55</v>
      </c>
      <c r="H18" s="1305">
        <v>234.0</v>
      </c>
      <c r="I18" s="1308">
        <v>10530.0</v>
      </c>
      <c r="J18" s="1310">
        <v>1.0</v>
      </c>
      <c r="K18" s="1134" t="s">
        <v>4190</v>
      </c>
      <c r="L18" s="1134"/>
      <c r="M18" s="914" t="s">
        <v>4194</v>
      </c>
      <c r="N18" s="824" t="s">
        <v>4196</v>
      </c>
      <c r="O18" s="1311"/>
      <c r="P18" s="1222">
        <v>1.0</v>
      </c>
      <c r="Q18" s="1222"/>
      <c r="R18" s="1222"/>
      <c r="S18" s="1222"/>
      <c r="T18" s="1222"/>
      <c r="U18" s="1222"/>
      <c r="V18" s="1222"/>
      <c r="W18" s="1225"/>
    </row>
    <row r="19">
      <c r="A19" s="1299">
        <v>1.0</v>
      </c>
      <c r="B19" s="1301" t="s">
        <v>4209</v>
      </c>
      <c r="C19" s="855" t="s">
        <v>4210</v>
      </c>
      <c r="D19" s="914" t="s">
        <v>4212</v>
      </c>
      <c r="E19" s="1303"/>
      <c r="F19" s="1303" t="s">
        <v>4214</v>
      </c>
      <c r="G19" s="1303">
        <v>0.46</v>
      </c>
      <c r="H19" s="1305">
        <v>196.66</v>
      </c>
      <c r="I19" s="1308">
        <v>7866.4</v>
      </c>
      <c r="J19" s="1310"/>
      <c r="K19" s="1313"/>
      <c r="L19" s="1313"/>
      <c r="M19" s="914" t="s">
        <v>4219</v>
      </c>
      <c r="N19" s="824" t="s">
        <v>4220</v>
      </c>
      <c r="O19" s="1311"/>
      <c r="P19" s="1222"/>
      <c r="Q19" s="1222" t="s">
        <v>4221</v>
      </c>
      <c r="R19" s="1222"/>
      <c r="S19" s="1222"/>
      <c r="T19" s="1222"/>
      <c r="U19" s="1222"/>
      <c r="V19" s="1222"/>
      <c r="W19" s="1225"/>
    </row>
    <row r="20">
      <c r="A20" s="1299">
        <v>1.0</v>
      </c>
      <c r="B20" s="1301" t="s">
        <v>4222</v>
      </c>
      <c r="C20" s="1315" t="s">
        <v>1063</v>
      </c>
      <c r="D20" s="1303" t="s">
        <v>228</v>
      </c>
      <c r="E20" s="1303" t="s">
        <v>4242</v>
      </c>
      <c r="F20" s="1134" t="s">
        <v>4244</v>
      </c>
      <c r="G20" s="1303">
        <v>1.09</v>
      </c>
      <c r="H20" s="1305">
        <v>406.58</v>
      </c>
      <c r="I20" s="1308">
        <v>21656.1</v>
      </c>
      <c r="J20" s="1310"/>
      <c r="K20" s="1313"/>
      <c r="L20" s="1313"/>
      <c r="M20" s="1134" t="s">
        <v>4245</v>
      </c>
      <c r="N20" s="855"/>
      <c r="O20" s="1311"/>
      <c r="P20" s="1222"/>
      <c r="Q20" s="1222"/>
      <c r="R20" s="1222"/>
      <c r="S20" s="1222"/>
      <c r="T20" s="1222"/>
      <c r="U20" s="1222"/>
      <c r="V20" s="1222"/>
      <c r="W20" s="1225"/>
    </row>
    <row r="21" ht="15.75" customHeight="1">
      <c r="A21" s="1293">
        <v>1.0</v>
      </c>
      <c r="B21" s="1317" t="s">
        <v>4254</v>
      </c>
      <c r="C21" s="1087" t="s">
        <v>4269</v>
      </c>
      <c r="D21" s="1318" t="s">
        <v>4272</v>
      </c>
      <c r="E21" s="1320"/>
      <c r="F21" s="1318" t="s">
        <v>4294</v>
      </c>
      <c r="G21" s="1320">
        <v>6.57</v>
      </c>
      <c r="H21" s="1322">
        <v>2786.15</v>
      </c>
      <c r="I21" s="1325">
        <v>126876.75</v>
      </c>
      <c r="J21" s="1326"/>
      <c r="K21" s="1328"/>
      <c r="L21" s="1328"/>
      <c r="M21" s="1318" t="s">
        <v>4371</v>
      </c>
      <c r="N21" s="617"/>
      <c r="O21" s="1296"/>
      <c r="P21" s="1247"/>
      <c r="Q21" s="1247" t="s">
        <v>4377</v>
      </c>
      <c r="R21" s="1247" t="s">
        <v>4378</v>
      </c>
      <c r="S21" s="1247" t="s">
        <v>4379</v>
      </c>
      <c r="T21" s="1247" t="s">
        <v>3867</v>
      </c>
      <c r="U21" s="1247" t="s">
        <v>4378</v>
      </c>
      <c r="V21" s="1247" t="s">
        <v>4379</v>
      </c>
      <c r="W21" s="1332"/>
    </row>
    <row r="22" ht="15.75" customHeight="1">
      <c r="A22" s="1299">
        <v>1.0</v>
      </c>
      <c r="B22" s="1301" t="s">
        <v>4391</v>
      </c>
      <c r="C22" s="1315" t="s">
        <v>4392</v>
      </c>
      <c r="D22" s="1303" t="s">
        <v>481</v>
      </c>
      <c r="E22" s="1303" t="s">
        <v>4395</v>
      </c>
      <c r="F22" s="1134" t="s">
        <v>4150</v>
      </c>
      <c r="G22" s="1303">
        <v>0.27</v>
      </c>
      <c r="H22" s="1305">
        <v>116.0</v>
      </c>
      <c r="I22" s="1308">
        <v>5220.0</v>
      </c>
      <c r="J22" s="1310">
        <v>1.0</v>
      </c>
      <c r="K22" s="1134" t="s">
        <v>4396</v>
      </c>
      <c r="L22" s="1134"/>
      <c r="M22" s="1134" t="s">
        <v>4397</v>
      </c>
      <c r="N22" s="855"/>
      <c r="O22" s="1311"/>
      <c r="P22" s="1222"/>
      <c r="Q22" s="1222"/>
      <c r="R22" s="1222"/>
      <c r="S22" s="1222"/>
      <c r="T22" s="1222"/>
      <c r="U22" s="1222"/>
      <c r="V22" s="1222"/>
      <c r="W22" s="1225"/>
    </row>
    <row r="23" ht="15.75" customHeight="1">
      <c r="A23" s="1299">
        <v>1.0</v>
      </c>
      <c r="B23" s="1301" t="s">
        <v>4391</v>
      </c>
      <c r="C23" s="1315" t="s">
        <v>4392</v>
      </c>
      <c r="D23" s="1303" t="s">
        <v>1033</v>
      </c>
      <c r="E23" s="1134" t="s">
        <v>4398</v>
      </c>
      <c r="F23" s="1303" t="s">
        <v>4399</v>
      </c>
      <c r="G23" s="1303">
        <v>0.31</v>
      </c>
      <c r="H23" s="1305">
        <v>132.0</v>
      </c>
      <c r="I23" s="1308">
        <v>5940.0</v>
      </c>
      <c r="J23" s="1310">
        <v>1.0</v>
      </c>
      <c r="K23" s="1134" t="s">
        <v>4400</v>
      </c>
      <c r="L23" s="1134"/>
      <c r="M23" s="1134" t="s">
        <v>4397</v>
      </c>
      <c r="N23" s="855"/>
      <c r="O23" s="1311"/>
      <c r="P23" s="1222"/>
      <c r="Q23" s="1222"/>
      <c r="R23" s="1222"/>
      <c r="S23" s="1222"/>
      <c r="T23" s="1222"/>
      <c r="U23" s="1222"/>
      <c r="V23" s="1222"/>
      <c r="W23" s="1225"/>
    </row>
    <row r="24" ht="15.75" customHeight="1">
      <c r="A24" s="1299">
        <v>1.0</v>
      </c>
      <c r="B24" s="1301" t="s">
        <v>4391</v>
      </c>
      <c r="C24" s="1315" t="s">
        <v>4392</v>
      </c>
      <c r="D24" s="1303" t="s">
        <v>1033</v>
      </c>
      <c r="E24" s="1134" t="s">
        <v>4401</v>
      </c>
      <c r="F24" s="1303" t="s">
        <v>4150</v>
      </c>
      <c r="G24" s="1303">
        <v>0.24</v>
      </c>
      <c r="H24" s="1303">
        <v>124.0</v>
      </c>
      <c r="I24" s="1337">
        <v>5580.0</v>
      </c>
      <c r="J24" s="1310">
        <v>1.0</v>
      </c>
      <c r="K24" s="1134" t="s">
        <v>4405</v>
      </c>
      <c r="L24" s="1134"/>
      <c r="M24" s="1134" t="s">
        <v>4397</v>
      </c>
      <c r="N24" s="855"/>
      <c r="O24" s="1311"/>
      <c r="P24" s="1222"/>
      <c r="Q24" s="1222"/>
      <c r="R24" s="1222"/>
      <c r="S24" s="1222"/>
      <c r="T24" s="1222"/>
      <c r="U24" s="1222"/>
      <c r="V24" s="1222"/>
      <c r="W24" s="1225"/>
    </row>
    <row r="25" ht="15.75" customHeight="1">
      <c r="A25" s="1203">
        <v>1.0</v>
      </c>
      <c r="B25" s="1341" t="s">
        <v>4406</v>
      </c>
      <c r="C25" s="330" t="s">
        <v>4423</v>
      </c>
      <c r="D25" s="1045" t="s">
        <v>4424</v>
      </c>
      <c r="E25" s="1045" t="s">
        <v>557</v>
      </c>
      <c r="F25" s="1045" t="s">
        <v>4425</v>
      </c>
      <c r="G25" s="1209">
        <v>0.463</v>
      </c>
      <c r="H25" s="1209">
        <v>196.33</v>
      </c>
      <c r="I25" s="1343">
        <v>16396.8</v>
      </c>
      <c r="J25" s="1213"/>
      <c r="K25" s="1045"/>
      <c r="L25" s="1045"/>
      <c r="M25" s="1045" t="s">
        <v>4426</v>
      </c>
      <c r="N25" s="1215" t="s">
        <v>3496</v>
      </c>
      <c r="O25" s="1217"/>
      <c r="P25" s="1213">
        <v>1.0</v>
      </c>
      <c r="Q25" s="1347">
        <v>45705.0</v>
      </c>
      <c r="R25" s="1213" t="s">
        <v>4436</v>
      </c>
      <c r="S25" s="1347">
        <v>45566.0</v>
      </c>
      <c r="T25" s="1222"/>
      <c r="U25" s="1222"/>
      <c r="V25" s="1222"/>
      <c r="W25" s="1225"/>
    </row>
    <row r="26" ht="15.75" customHeight="1">
      <c r="A26" s="1273">
        <v>1.0</v>
      </c>
      <c r="B26" s="1353" t="s">
        <v>4442</v>
      </c>
      <c r="C26" s="1058" t="s">
        <v>4444</v>
      </c>
      <c r="D26" s="1275" t="s">
        <v>84</v>
      </c>
      <c r="E26" s="1041" t="s">
        <v>4445</v>
      </c>
      <c r="F26" s="1041" t="s">
        <v>4446</v>
      </c>
      <c r="G26" s="1275">
        <v>1.11</v>
      </c>
      <c r="H26" s="1275">
        <v>473.0</v>
      </c>
      <c r="I26" s="1358">
        <v>21285.0</v>
      </c>
      <c r="J26" s="1247"/>
      <c r="K26" s="1041"/>
      <c r="L26" s="1041"/>
      <c r="M26" s="1041" t="s">
        <v>4448</v>
      </c>
      <c r="N26" s="609"/>
      <c r="O26" s="1278"/>
      <c r="P26" s="1247"/>
      <c r="Q26" s="1247" t="s">
        <v>4449</v>
      </c>
      <c r="R26" s="1247" t="s">
        <v>4450</v>
      </c>
      <c r="S26" s="1247" t="s">
        <v>4451</v>
      </c>
      <c r="T26" s="609" t="s">
        <v>4452</v>
      </c>
      <c r="U26" s="609" t="s">
        <v>4450</v>
      </c>
      <c r="V26" s="1247" t="s">
        <v>4453</v>
      </c>
      <c r="W26" s="1225"/>
    </row>
    <row r="27" ht="15.75" customHeight="1">
      <c r="A27" s="1258">
        <v>1.0</v>
      </c>
      <c r="B27" s="1362" t="s">
        <v>4454</v>
      </c>
      <c r="C27" s="1131" t="s">
        <v>4471</v>
      </c>
      <c r="D27" s="1265" t="s">
        <v>4474</v>
      </c>
      <c r="E27" s="914" t="s">
        <v>4477</v>
      </c>
      <c r="F27" s="914" t="s">
        <v>4480</v>
      </c>
      <c r="G27" s="1265">
        <v>0.42</v>
      </c>
      <c r="H27" s="1265">
        <v>180.0</v>
      </c>
      <c r="I27" s="1366">
        <v>6300.0</v>
      </c>
      <c r="J27" s="1222"/>
      <c r="K27" s="914"/>
      <c r="L27" s="914"/>
      <c r="M27" s="914" t="s">
        <v>4510</v>
      </c>
      <c r="N27" s="824"/>
      <c r="O27" s="1286"/>
      <c r="P27" s="1222"/>
      <c r="Q27" s="1222"/>
      <c r="R27" s="1222"/>
      <c r="S27" s="1222"/>
      <c r="T27" s="1222"/>
      <c r="U27" s="1222"/>
      <c r="V27" s="1222"/>
      <c r="W27" s="1225"/>
    </row>
    <row r="28" ht="15.75" customHeight="1">
      <c r="A28" s="1273">
        <v>1.0</v>
      </c>
      <c r="B28" s="1353" t="s">
        <v>4454</v>
      </c>
      <c r="C28" s="1058" t="s">
        <v>4511</v>
      </c>
      <c r="D28" s="1041" t="s">
        <v>4512</v>
      </c>
      <c r="E28" s="1041" t="s">
        <v>4513</v>
      </c>
      <c r="F28" s="1041" t="s">
        <v>4514</v>
      </c>
      <c r="G28" s="1275">
        <v>4.88</v>
      </c>
      <c r="H28" s="1370">
        <v>2070.0</v>
      </c>
      <c r="I28" s="1358">
        <v>124200.0</v>
      </c>
      <c r="J28" s="1247"/>
      <c r="K28" s="1041"/>
      <c r="L28" s="1041"/>
      <c r="M28" s="1041" t="s">
        <v>4518</v>
      </c>
      <c r="N28" s="609" t="s">
        <v>4519</v>
      </c>
      <c r="O28" s="1278"/>
      <c r="P28" s="1247"/>
      <c r="Q28" s="1247" t="s">
        <v>3864</v>
      </c>
      <c r="R28" s="1247" t="s">
        <v>4520</v>
      </c>
      <c r="S28" s="1247" t="s">
        <v>3866</v>
      </c>
      <c r="T28" s="1247" t="s">
        <v>3867</v>
      </c>
      <c r="U28" s="1247" t="s">
        <v>4520</v>
      </c>
      <c r="V28" s="1247" t="s">
        <v>3866</v>
      </c>
      <c r="W28" s="1225"/>
    </row>
    <row r="29" ht="15.75" customHeight="1">
      <c r="A29" s="1374">
        <v>1.0</v>
      </c>
      <c r="B29" s="1377" t="s">
        <v>4522</v>
      </c>
      <c r="C29" s="1044" t="s">
        <v>4523</v>
      </c>
      <c r="D29" s="1380" t="s">
        <v>4147</v>
      </c>
      <c r="E29" s="1380" t="s">
        <v>4524</v>
      </c>
      <c r="F29" s="914" t="s">
        <v>4525</v>
      </c>
      <c r="G29" s="1265">
        <v>0.64</v>
      </c>
      <c r="H29" s="1382">
        <v>272.0</v>
      </c>
      <c r="I29" s="1366">
        <v>13600.0</v>
      </c>
      <c r="J29" s="1222"/>
      <c r="K29" s="914"/>
      <c r="L29" s="914"/>
      <c r="M29" s="914" t="s">
        <v>4526</v>
      </c>
      <c r="N29" s="824" t="s">
        <v>4527</v>
      </c>
      <c r="O29" s="1286"/>
      <c r="P29" s="1222"/>
      <c r="Q29" s="1222"/>
      <c r="R29" s="1222"/>
      <c r="S29" s="1222"/>
      <c r="T29" s="1222"/>
      <c r="U29" s="1222"/>
      <c r="V29" s="1222"/>
      <c r="W29" s="1225"/>
    </row>
    <row r="30" ht="15.75" customHeight="1">
      <c r="A30" s="1258">
        <v>1.0</v>
      </c>
      <c r="B30" s="1377" t="s">
        <v>4528</v>
      </c>
      <c r="C30" s="1044" t="s">
        <v>4529</v>
      </c>
      <c r="D30" s="1380" t="s">
        <v>84</v>
      </c>
      <c r="E30" s="1380" t="s">
        <v>4530</v>
      </c>
      <c r="F30" s="914" t="s">
        <v>4531</v>
      </c>
      <c r="G30" s="1265">
        <v>0.25</v>
      </c>
      <c r="H30" s="1366">
        <v>109.82</v>
      </c>
      <c r="I30" s="1366">
        <v>3843.7</v>
      </c>
      <c r="J30" s="1222"/>
      <c r="K30" s="914" t="s">
        <v>3054</v>
      </c>
      <c r="L30" s="1390">
        <v>30000.0</v>
      </c>
      <c r="M30" s="914" t="s">
        <v>4526</v>
      </c>
      <c r="N30" s="824" t="s">
        <v>4532</v>
      </c>
      <c r="O30" s="1286">
        <v>1.0</v>
      </c>
      <c r="P30" s="1222"/>
      <c r="Q30" s="1222"/>
      <c r="R30" s="1222"/>
      <c r="S30" s="1222"/>
      <c r="T30" s="1222"/>
      <c r="U30" s="1222"/>
      <c r="V30" s="1222"/>
      <c r="W30" s="1225"/>
    </row>
    <row r="31" ht="15.75" customHeight="1">
      <c r="A31" s="1258">
        <v>1.0</v>
      </c>
      <c r="B31" s="1377" t="s">
        <v>4533</v>
      </c>
      <c r="C31" s="1044" t="s">
        <v>4534</v>
      </c>
      <c r="D31" s="1380" t="s">
        <v>4147</v>
      </c>
      <c r="E31" s="1380" t="s">
        <v>4535</v>
      </c>
      <c r="F31" s="914" t="s">
        <v>4536</v>
      </c>
      <c r="G31" s="1265">
        <v>0.18</v>
      </c>
      <c r="H31" s="1382">
        <v>80.0</v>
      </c>
      <c r="I31" s="1390">
        <v>4000.6</v>
      </c>
      <c r="J31" s="1222"/>
      <c r="K31" s="1394"/>
      <c r="L31" s="1394"/>
      <c r="M31" s="914" t="s">
        <v>4537</v>
      </c>
      <c r="N31" s="824" t="s">
        <v>4527</v>
      </c>
      <c r="O31" s="1286"/>
      <c r="P31" s="1222"/>
      <c r="Q31" s="1222"/>
      <c r="R31" s="1222"/>
      <c r="S31" s="1222"/>
      <c r="T31" s="1222"/>
      <c r="U31" s="1222"/>
      <c r="V31" s="1222"/>
      <c r="W31" s="1225"/>
    </row>
    <row r="32" ht="15.75" customHeight="1">
      <c r="A32" s="1258">
        <v>1.0</v>
      </c>
      <c r="B32" s="1377" t="s">
        <v>4538</v>
      </c>
      <c r="C32" s="1044" t="s">
        <v>1023</v>
      </c>
      <c r="D32" s="1380" t="s">
        <v>4539</v>
      </c>
      <c r="E32" s="914" t="s">
        <v>557</v>
      </c>
      <c r="F32" s="914" t="s">
        <v>4540</v>
      </c>
      <c r="G32" s="1265">
        <v>0.92</v>
      </c>
      <c r="H32" s="1366">
        <v>391.82</v>
      </c>
      <c r="I32" s="1390">
        <v>15492.8</v>
      </c>
      <c r="J32" s="1222"/>
      <c r="K32" s="1394"/>
      <c r="L32" s="1394"/>
      <c r="M32" s="914" t="s">
        <v>4541</v>
      </c>
      <c r="N32" s="824" t="s">
        <v>4527</v>
      </c>
      <c r="O32" s="1286"/>
      <c r="P32" s="1222"/>
      <c r="Q32" s="1222"/>
      <c r="R32" s="1222"/>
      <c r="S32" s="1222"/>
      <c r="T32" s="1222"/>
      <c r="U32" s="1222"/>
      <c r="V32" s="1222"/>
      <c r="W32" s="1225"/>
    </row>
    <row r="33" ht="15.75" customHeight="1">
      <c r="A33" s="1258">
        <v>1.0</v>
      </c>
      <c r="B33" s="1399" t="s">
        <v>4542</v>
      </c>
      <c r="C33" s="1044" t="s">
        <v>1829</v>
      </c>
      <c r="D33" s="1380" t="s">
        <v>4543</v>
      </c>
      <c r="E33" s="1380" t="s">
        <v>4544</v>
      </c>
      <c r="F33" s="914" t="s">
        <v>4545</v>
      </c>
      <c r="G33" s="1265">
        <v>2.46</v>
      </c>
      <c r="H33" s="1366">
        <v>1042.67</v>
      </c>
      <c r="I33" s="1390">
        <v>146920.15</v>
      </c>
      <c r="J33" s="1222"/>
      <c r="K33" s="1390"/>
      <c r="L33" s="1390"/>
      <c r="M33" s="914" t="s">
        <v>4546</v>
      </c>
      <c r="N33" s="824" t="s">
        <v>4547</v>
      </c>
      <c r="O33" s="1286"/>
      <c r="P33" s="1222"/>
      <c r="Q33" s="1222"/>
      <c r="R33" s="1222"/>
      <c r="S33" s="1222"/>
      <c r="T33" s="1222"/>
      <c r="U33" s="1222"/>
      <c r="V33" s="1222"/>
      <c r="W33" s="1225"/>
    </row>
    <row r="34" ht="15.75" customHeight="1">
      <c r="A34" s="1258">
        <v>1.0</v>
      </c>
      <c r="B34" s="1399" t="s">
        <v>4548</v>
      </c>
      <c r="C34" s="1044" t="s">
        <v>2675</v>
      </c>
      <c r="D34" s="1380" t="s">
        <v>4147</v>
      </c>
      <c r="E34" s="1380" t="s">
        <v>4549</v>
      </c>
      <c r="F34" s="914" t="s">
        <v>4550</v>
      </c>
      <c r="G34" s="1265">
        <v>0.25</v>
      </c>
      <c r="H34" s="1382">
        <v>108.0</v>
      </c>
      <c r="I34" s="1366">
        <v>4860.0</v>
      </c>
      <c r="J34" s="1222">
        <v>1.0</v>
      </c>
      <c r="K34" s="914" t="s">
        <v>4551</v>
      </c>
      <c r="L34" s="914"/>
      <c r="M34" s="914" t="s">
        <v>4552</v>
      </c>
      <c r="N34" s="824" t="s">
        <v>4547</v>
      </c>
      <c r="O34" s="1286"/>
      <c r="P34" s="1222"/>
      <c r="Q34" s="1222"/>
      <c r="R34" s="1222"/>
      <c r="S34" s="1222"/>
      <c r="T34" s="1222"/>
      <c r="U34" s="1222"/>
      <c r="V34" s="1222"/>
      <c r="W34" s="1225"/>
    </row>
    <row r="35" ht="15.75" customHeight="1">
      <c r="A35" s="1203">
        <v>1.0</v>
      </c>
      <c r="B35" s="1402" t="s">
        <v>4553</v>
      </c>
      <c r="C35" s="330" t="s">
        <v>1765</v>
      </c>
      <c r="D35" s="1045" t="s">
        <v>4554</v>
      </c>
      <c r="E35" s="1045" t="s">
        <v>4555</v>
      </c>
      <c r="F35" s="1045" t="s">
        <v>4556</v>
      </c>
      <c r="G35" s="1209">
        <v>1.12</v>
      </c>
      <c r="H35" s="1404">
        <v>478.0</v>
      </c>
      <c r="I35" s="1343">
        <v>23900.0</v>
      </c>
      <c r="J35" s="1213"/>
      <c r="K35" s="1045"/>
      <c r="L35" s="1045"/>
      <c r="M35" s="1045" t="s">
        <v>4557</v>
      </c>
      <c r="N35" s="883" t="s">
        <v>4558</v>
      </c>
      <c r="O35" s="1217"/>
      <c r="P35" s="1213"/>
      <c r="Q35" s="1213"/>
      <c r="R35" s="1213"/>
      <c r="S35" s="1213"/>
      <c r="T35" s="1213"/>
      <c r="U35" s="1213"/>
      <c r="V35" s="1213"/>
      <c r="W35" s="1406"/>
    </row>
    <row r="36" ht="15.75" customHeight="1">
      <c r="A36" s="1203">
        <v>1.0</v>
      </c>
      <c r="B36" s="1402" t="s">
        <v>4553</v>
      </c>
      <c r="C36" s="330" t="s">
        <v>1715</v>
      </c>
      <c r="D36" s="1045" t="s">
        <v>4560</v>
      </c>
      <c r="E36" s="1045" t="s">
        <v>4561</v>
      </c>
      <c r="F36" s="1045" t="s">
        <v>4562</v>
      </c>
      <c r="G36" s="1209"/>
      <c r="H36" s="1404"/>
      <c r="I36" s="1343">
        <v>3750.0</v>
      </c>
      <c r="J36" s="1213"/>
      <c r="K36" s="1045" t="s">
        <v>4563</v>
      </c>
      <c r="L36" s="1045"/>
      <c r="M36" s="1045" t="s">
        <v>4526</v>
      </c>
      <c r="N36" s="883" t="s">
        <v>4564</v>
      </c>
      <c r="O36" s="1217"/>
      <c r="P36" s="1213"/>
      <c r="Q36" s="1213"/>
      <c r="R36" s="1213"/>
      <c r="S36" s="1213"/>
      <c r="T36" s="1213"/>
      <c r="U36" s="1213"/>
      <c r="V36" s="1213"/>
      <c r="W36" s="1406"/>
    </row>
    <row r="37" ht="15.75" customHeight="1">
      <c r="A37" s="1203">
        <v>1.0</v>
      </c>
      <c r="B37" s="1402" t="s">
        <v>4565</v>
      </c>
      <c r="C37" s="330" t="s">
        <v>4566</v>
      </c>
      <c r="D37" s="1045" t="s">
        <v>494</v>
      </c>
      <c r="E37" s="1045"/>
      <c r="F37" s="1045" t="s">
        <v>4567</v>
      </c>
      <c r="G37" s="1209">
        <v>0.51</v>
      </c>
      <c r="H37" s="1343">
        <v>215.01</v>
      </c>
      <c r="I37" s="1343">
        <v>9675.45</v>
      </c>
      <c r="J37" s="1213"/>
      <c r="K37" s="1045"/>
      <c r="L37" s="1045"/>
      <c r="M37" s="1045" t="s">
        <v>4568</v>
      </c>
      <c r="N37" s="883" t="s">
        <v>4527</v>
      </c>
      <c r="O37" s="1217"/>
      <c r="P37" s="1213">
        <v>1.0</v>
      </c>
      <c r="Q37" s="1213"/>
      <c r="R37" s="1213"/>
      <c r="S37" s="1213"/>
      <c r="T37" s="1213"/>
      <c r="U37" s="1213"/>
      <c r="V37" s="1213"/>
      <c r="W37" s="1406"/>
    </row>
    <row r="38" ht="15.75" customHeight="1">
      <c r="A38" s="1203">
        <v>1.0</v>
      </c>
      <c r="B38" s="1402" t="s">
        <v>4569</v>
      </c>
      <c r="C38" s="330" t="s">
        <v>1722</v>
      </c>
      <c r="D38" s="1045" t="s">
        <v>4570</v>
      </c>
      <c r="E38" s="1045" t="s">
        <v>4571</v>
      </c>
      <c r="F38" s="1045" t="s">
        <v>4572</v>
      </c>
      <c r="G38" s="1209">
        <v>0.94</v>
      </c>
      <c r="H38" s="1408">
        <v>399.3</v>
      </c>
      <c r="I38" s="1343">
        <v>20465.0</v>
      </c>
      <c r="J38" s="1213">
        <v>1.0</v>
      </c>
      <c r="K38" s="1045" t="s">
        <v>4574</v>
      </c>
      <c r="L38" s="1410">
        <v>40000.0</v>
      </c>
      <c r="M38" s="1045" t="s">
        <v>4526</v>
      </c>
      <c r="N38" s="883" t="s">
        <v>4527</v>
      </c>
      <c r="O38" s="1217"/>
      <c r="P38" s="1213"/>
      <c r="Q38" s="1213"/>
      <c r="R38" s="1213"/>
      <c r="S38" s="1213"/>
      <c r="T38" s="1213"/>
      <c r="U38" s="1213"/>
      <c r="V38" s="1213"/>
      <c r="W38" s="1406"/>
    </row>
    <row r="39" ht="15.75" customHeight="1">
      <c r="A39" s="1203">
        <v>1.0</v>
      </c>
      <c r="B39" s="1402" t="s">
        <v>4575</v>
      </c>
      <c r="C39" s="330" t="s">
        <v>4576</v>
      </c>
      <c r="D39" s="1045" t="s">
        <v>494</v>
      </c>
      <c r="E39" s="1045" t="s">
        <v>4577</v>
      </c>
      <c r="F39" s="1045" t="s">
        <v>4578</v>
      </c>
      <c r="G39" s="1209">
        <v>1.16</v>
      </c>
      <c r="H39" s="1408">
        <v>492.0</v>
      </c>
      <c r="I39" s="1343">
        <v>22140.0</v>
      </c>
      <c r="J39" s="1213"/>
      <c r="K39" s="1045"/>
      <c r="L39" s="1410"/>
      <c r="M39" s="1045" t="s">
        <v>4579</v>
      </c>
      <c r="N39" s="883" t="s">
        <v>4580</v>
      </c>
      <c r="O39" s="1217"/>
      <c r="P39" s="1213"/>
      <c r="Q39" s="1213"/>
      <c r="R39" s="1213"/>
      <c r="S39" s="1213"/>
      <c r="T39" s="1213"/>
      <c r="U39" s="1213"/>
      <c r="V39" s="1213"/>
      <c r="W39" s="1406"/>
    </row>
    <row r="40" ht="15.75" customHeight="1">
      <c r="A40" s="1258">
        <v>1.0</v>
      </c>
      <c r="B40" s="1413" t="s">
        <v>4581</v>
      </c>
      <c r="C40" s="1131" t="s">
        <v>4582</v>
      </c>
      <c r="D40" s="914" t="s">
        <v>1033</v>
      </c>
      <c r="E40" s="914" t="s">
        <v>4583</v>
      </c>
      <c r="F40" s="914" t="s">
        <v>4584</v>
      </c>
      <c r="G40" s="1265">
        <v>0.59</v>
      </c>
      <c r="H40" s="1417">
        <v>254.3</v>
      </c>
      <c r="I40" s="1366">
        <v>24003.5</v>
      </c>
      <c r="J40" s="1222"/>
      <c r="K40" s="914" t="s">
        <v>3054</v>
      </c>
      <c r="L40" s="1390">
        <v>15000.0</v>
      </c>
      <c r="M40" s="914" t="s">
        <v>4590</v>
      </c>
      <c r="N40" s="824" t="s">
        <v>4547</v>
      </c>
      <c r="O40" s="1286">
        <v>1.0</v>
      </c>
      <c r="P40" s="1222"/>
      <c r="Q40" s="1222"/>
      <c r="R40" s="1222"/>
      <c r="S40" s="1222"/>
      <c r="T40" s="1222"/>
      <c r="U40" s="1222"/>
      <c r="V40" s="1222"/>
      <c r="W40" s="1225"/>
    </row>
    <row r="41" ht="15.75" customHeight="1">
      <c r="A41" s="1258">
        <v>1.0</v>
      </c>
      <c r="B41" s="1413" t="s">
        <v>4591</v>
      </c>
      <c r="C41" s="1131" t="s">
        <v>2791</v>
      </c>
      <c r="D41" s="914" t="s">
        <v>4560</v>
      </c>
      <c r="E41" s="914" t="s">
        <v>4592</v>
      </c>
      <c r="F41" s="914" t="s">
        <v>4594</v>
      </c>
      <c r="G41" s="1265">
        <v>0.5</v>
      </c>
      <c r="H41" s="1417">
        <v>216.0</v>
      </c>
      <c r="I41" s="1366">
        <v>12960.0</v>
      </c>
      <c r="J41" s="1222">
        <v>1.0</v>
      </c>
      <c r="K41" s="914" t="s">
        <v>4595</v>
      </c>
      <c r="L41" s="1390"/>
      <c r="M41" s="914" t="s">
        <v>4596</v>
      </c>
      <c r="N41" s="824" t="s">
        <v>4547</v>
      </c>
      <c r="O41" s="1286"/>
      <c r="P41" s="1222"/>
      <c r="Q41" s="1222"/>
      <c r="R41" s="1222"/>
      <c r="S41" s="1222"/>
      <c r="T41" s="1222"/>
      <c r="U41" s="1222"/>
      <c r="V41" s="1222"/>
      <c r="W41" s="1225"/>
    </row>
    <row r="42" ht="15.75" customHeight="1">
      <c r="A42" s="1422">
        <f>COUNTA(A6:A41)</f>
        <v>36</v>
      </c>
      <c r="B42" s="1425" t="s">
        <v>200</v>
      </c>
      <c r="C42" s="1429"/>
      <c r="D42" s="1429"/>
      <c r="E42" s="1429"/>
      <c r="F42" s="1434"/>
      <c r="G42" s="1438">
        <f t="shared" ref="G42:J42" si="1">SUM(G6:G41)</f>
        <v>31.973</v>
      </c>
      <c r="H42" s="1442">
        <f t="shared" si="1"/>
        <v>14086.73</v>
      </c>
      <c r="I42" s="1438">
        <f t="shared" si="1"/>
        <v>765301.4</v>
      </c>
      <c r="J42" s="1446">
        <f t="shared" si="1"/>
        <v>10</v>
      </c>
      <c r="K42" s="1449"/>
      <c r="L42" s="1452"/>
      <c r="M42" s="1454"/>
      <c r="N42" s="1460"/>
      <c r="O42" s="1464">
        <f t="shared" ref="O42:P42" si="2">SUM(O6:O41)</f>
        <v>4</v>
      </c>
      <c r="P42" s="1468">
        <f t="shared" si="2"/>
        <v>3</v>
      </c>
      <c r="Q42" s="1469"/>
      <c r="R42" s="1469"/>
      <c r="S42" s="1469"/>
      <c r="T42" s="1469"/>
      <c r="U42" s="1469"/>
      <c r="V42" s="1469"/>
      <c r="W42" s="1473"/>
    </row>
    <row r="43" ht="15.75" customHeight="1">
      <c r="A43" s="1477"/>
      <c r="B43" s="1480" t="s">
        <v>390</v>
      </c>
      <c r="C43" s="1484"/>
      <c r="D43" s="1484"/>
      <c r="E43" s="1484"/>
      <c r="F43" s="1153"/>
      <c r="G43" s="1153"/>
      <c r="H43" s="1153"/>
      <c r="I43" s="1153"/>
      <c r="J43" s="1489"/>
      <c r="K43" s="1153"/>
      <c r="L43" s="1484"/>
      <c r="M43" s="1484"/>
      <c r="N43" s="1163"/>
      <c r="O43" s="1492"/>
      <c r="P43" s="1495"/>
      <c r="Q43" s="1495"/>
      <c r="R43" s="1495"/>
      <c r="S43" s="1495"/>
      <c r="T43" s="1495"/>
      <c r="U43" s="1495"/>
      <c r="V43" s="1495"/>
      <c r="W43" s="1499"/>
    </row>
    <row r="44" ht="15.75" customHeight="1">
      <c r="A44" s="1502">
        <v>1.0</v>
      </c>
      <c r="B44" s="1506" t="s">
        <v>3482</v>
      </c>
      <c r="C44" s="1510" t="s">
        <v>4792</v>
      </c>
      <c r="D44" s="1510" t="s">
        <v>3716</v>
      </c>
      <c r="E44" s="1514" t="s">
        <v>4798</v>
      </c>
      <c r="F44" s="1514" t="s">
        <v>4801</v>
      </c>
      <c r="G44" s="1518">
        <v>0.492</v>
      </c>
      <c r="H44" s="1521">
        <v>209.0</v>
      </c>
      <c r="I44" s="1522">
        <v>1045.0</v>
      </c>
      <c r="J44" s="1526"/>
      <c r="K44" s="1514"/>
      <c r="L44" s="1514"/>
      <c r="M44" s="1514" t="s">
        <v>4194</v>
      </c>
      <c r="N44" s="1530" t="s">
        <v>4072</v>
      </c>
      <c r="O44" s="1534"/>
      <c r="P44" s="1213"/>
      <c r="Q44" s="1213"/>
      <c r="R44" s="1213"/>
      <c r="S44" s="1213"/>
      <c r="T44" s="1213"/>
      <c r="U44" s="1213"/>
      <c r="V44" s="1213"/>
      <c r="W44" s="1406"/>
    </row>
    <row r="45" ht="15.75" customHeight="1">
      <c r="A45" s="1538">
        <v>1.0</v>
      </c>
      <c r="B45" s="1542" t="s">
        <v>4803</v>
      </c>
      <c r="C45" s="1045" t="s">
        <v>4804</v>
      </c>
      <c r="D45" s="1045" t="s">
        <v>4805</v>
      </c>
      <c r="E45" s="1209" t="s">
        <v>557</v>
      </c>
      <c r="F45" s="1045" t="s">
        <v>4806</v>
      </c>
      <c r="G45" s="1546">
        <v>0.76</v>
      </c>
      <c r="H45" s="1550">
        <v>326.0</v>
      </c>
      <c r="I45" s="1211">
        <v>20160.0</v>
      </c>
      <c r="J45" s="1554"/>
      <c r="K45" s="1209"/>
      <c r="L45" s="1209"/>
      <c r="M45" s="1209" t="s">
        <v>4807</v>
      </c>
      <c r="N45" s="883" t="s">
        <v>4036</v>
      </c>
      <c r="O45" s="1217"/>
      <c r="P45" s="1213">
        <v>1.0</v>
      </c>
      <c r="Q45" s="1213"/>
      <c r="R45" s="1213"/>
      <c r="S45" s="1213"/>
      <c r="T45" s="1213"/>
      <c r="U45" s="1213"/>
      <c r="V45" s="1213"/>
      <c r="W45" s="1406"/>
    </row>
    <row r="46" ht="15.75" customHeight="1">
      <c r="A46" s="1538">
        <v>1.0</v>
      </c>
      <c r="B46" s="1542" t="s">
        <v>3680</v>
      </c>
      <c r="C46" s="1045" t="s">
        <v>4808</v>
      </c>
      <c r="D46" s="1045" t="s">
        <v>4805</v>
      </c>
      <c r="E46" s="1209" t="s">
        <v>4809</v>
      </c>
      <c r="F46" s="1045" t="s">
        <v>4810</v>
      </c>
      <c r="G46" s="1546">
        <v>0.31</v>
      </c>
      <c r="H46" s="1550">
        <v>134.0</v>
      </c>
      <c r="I46" s="1211">
        <v>10720.0</v>
      </c>
      <c r="J46" s="1554"/>
      <c r="K46" s="1209"/>
      <c r="L46" s="1209"/>
      <c r="M46" s="1209" t="s">
        <v>4811</v>
      </c>
      <c r="N46" s="883"/>
      <c r="O46" s="1217"/>
      <c r="P46" s="1213"/>
      <c r="Q46" s="1213"/>
      <c r="R46" s="1213"/>
      <c r="S46" s="1213"/>
      <c r="T46" s="1213"/>
      <c r="U46" s="1213"/>
      <c r="V46" s="1213"/>
      <c r="W46" s="1406"/>
    </row>
    <row r="47" ht="15.75" customHeight="1">
      <c r="A47" s="1538">
        <v>1.0</v>
      </c>
      <c r="B47" s="1542" t="s">
        <v>4812</v>
      </c>
      <c r="C47" s="1045" t="s">
        <v>2956</v>
      </c>
      <c r="D47" s="1045" t="s">
        <v>1247</v>
      </c>
      <c r="E47" s="1209" t="s">
        <v>557</v>
      </c>
      <c r="F47" s="1045" t="s">
        <v>4813</v>
      </c>
      <c r="G47" s="1546"/>
      <c r="H47" s="1550">
        <v>253.0</v>
      </c>
      <c r="I47" s="1211">
        <v>14600.0</v>
      </c>
      <c r="J47" s="1554"/>
      <c r="K47" s="1209"/>
      <c r="L47" s="1209"/>
      <c r="M47" s="1209" t="s">
        <v>1247</v>
      </c>
      <c r="N47" s="1215" t="s">
        <v>3496</v>
      </c>
      <c r="O47" s="1217"/>
      <c r="P47" s="1213" t="s">
        <v>4814</v>
      </c>
      <c r="Q47" s="1213" t="s">
        <v>4449</v>
      </c>
      <c r="R47" s="1213" t="s">
        <v>4815</v>
      </c>
      <c r="S47" s="1213" t="s">
        <v>4816</v>
      </c>
      <c r="T47" s="1213"/>
      <c r="U47" s="1213"/>
      <c r="V47" s="1213"/>
      <c r="W47" s="1406"/>
    </row>
    <row r="48" ht="15.75" customHeight="1">
      <c r="A48" s="1538">
        <v>1.0</v>
      </c>
      <c r="B48" s="1542" t="s">
        <v>4817</v>
      </c>
      <c r="C48" s="1045" t="s">
        <v>4818</v>
      </c>
      <c r="D48" s="1045" t="s">
        <v>4819</v>
      </c>
      <c r="E48" s="1045" t="s">
        <v>4820</v>
      </c>
      <c r="F48" s="1045" t="s">
        <v>4821</v>
      </c>
      <c r="G48" s="1546">
        <v>0.23</v>
      </c>
      <c r="H48" s="1550">
        <v>100.0</v>
      </c>
      <c r="I48" s="1211">
        <v>45000.0</v>
      </c>
      <c r="J48" s="1554"/>
      <c r="K48" s="1209" t="s">
        <v>1101</v>
      </c>
      <c r="L48" s="1209"/>
      <c r="M48" s="1209" t="s">
        <v>4194</v>
      </c>
      <c r="N48" s="883" t="s">
        <v>4822</v>
      </c>
      <c r="O48" s="1560">
        <v>1.0</v>
      </c>
      <c r="P48" s="1213"/>
      <c r="Q48" s="1213"/>
      <c r="R48" s="1213"/>
      <c r="S48" s="1213"/>
      <c r="T48" s="1213"/>
      <c r="U48" s="1213"/>
      <c r="V48" s="1213"/>
      <c r="W48" s="1406"/>
    </row>
    <row r="49" ht="15.75" customHeight="1">
      <c r="A49" s="1538">
        <v>1.0</v>
      </c>
      <c r="B49" s="1542" t="s">
        <v>4823</v>
      </c>
      <c r="C49" s="1045" t="s">
        <v>4824</v>
      </c>
      <c r="D49" s="1045"/>
      <c r="E49" s="1045"/>
      <c r="F49" s="1566">
        <v>52.0</v>
      </c>
      <c r="G49" s="1546"/>
      <c r="H49" s="1550">
        <v>487.0</v>
      </c>
      <c r="I49" s="1211"/>
      <c r="J49" s="1554"/>
      <c r="K49" s="1209"/>
      <c r="L49" s="1209"/>
      <c r="M49" s="1209"/>
      <c r="N49" s="1215" t="s">
        <v>3496</v>
      </c>
      <c r="O49" s="1560"/>
      <c r="P49" s="1213"/>
      <c r="Q49" s="1213" t="s">
        <v>4449</v>
      </c>
      <c r="R49" s="1213" t="s">
        <v>4838</v>
      </c>
      <c r="S49" s="1213" t="s">
        <v>4839</v>
      </c>
      <c r="T49" s="1213"/>
      <c r="U49" s="1213"/>
      <c r="V49" s="1213"/>
      <c r="W49" s="1406"/>
    </row>
    <row r="50" ht="15.75" customHeight="1">
      <c r="A50" s="1538">
        <v>1.0</v>
      </c>
      <c r="B50" s="1542" t="s">
        <v>4840</v>
      </c>
      <c r="C50" s="1045" t="s">
        <v>4841</v>
      </c>
      <c r="D50" s="1045" t="s">
        <v>1247</v>
      </c>
      <c r="E50" s="1045" t="s">
        <v>557</v>
      </c>
      <c r="F50" s="1045" t="s">
        <v>4843</v>
      </c>
      <c r="G50" s="1546">
        <v>0.29</v>
      </c>
      <c r="H50" s="1550">
        <v>124.0</v>
      </c>
      <c r="I50" s="1211">
        <v>6200.0</v>
      </c>
      <c r="J50" s="1554"/>
      <c r="K50" s="1209"/>
      <c r="L50" s="1209"/>
      <c r="M50" s="1209" t="s">
        <v>1247</v>
      </c>
      <c r="N50" s="1215" t="s">
        <v>3496</v>
      </c>
      <c r="O50" s="1560"/>
      <c r="P50" s="883" t="s">
        <v>4634</v>
      </c>
      <c r="Q50" s="1213" t="s">
        <v>4449</v>
      </c>
      <c r="R50" s="1213" t="s">
        <v>4844</v>
      </c>
      <c r="S50" s="1213" t="s">
        <v>3873</v>
      </c>
      <c r="T50" s="1213"/>
      <c r="U50" s="1213"/>
      <c r="V50" s="1213"/>
      <c r="W50" s="1406"/>
    </row>
    <row r="51" ht="15.75" customHeight="1">
      <c r="A51" s="1538">
        <v>1.0</v>
      </c>
      <c r="B51" s="1542" t="s">
        <v>4845</v>
      </c>
      <c r="C51" s="1045" t="s">
        <v>4846</v>
      </c>
      <c r="D51" s="1045" t="s">
        <v>4805</v>
      </c>
      <c r="E51" s="1209" t="s">
        <v>557</v>
      </c>
      <c r="F51" s="1045" t="s">
        <v>4847</v>
      </c>
      <c r="G51" s="1546">
        <v>0.74</v>
      </c>
      <c r="H51" s="1550">
        <v>316.0</v>
      </c>
      <c r="I51" s="1211">
        <v>19115.0</v>
      </c>
      <c r="J51" s="1554"/>
      <c r="K51" s="1569"/>
      <c r="L51" s="1569"/>
      <c r="M51" s="1209" t="s">
        <v>4811</v>
      </c>
      <c r="N51" s="1215" t="s">
        <v>3496</v>
      </c>
      <c r="O51" s="1217"/>
      <c r="P51" s="1213">
        <v>1.0</v>
      </c>
      <c r="Q51" s="1213" t="s">
        <v>4605</v>
      </c>
      <c r="R51" s="1213" t="s">
        <v>4848</v>
      </c>
      <c r="S51" s="1213" t="s">
        <v>4849</v>
      </c>
      <c r="T51" s="1213"/>
      <c r="U51" s="1213"/>
      <c r="V51" s="1213"/>
      <c r="W51" s="1406"/>
    </row>
    <row r="52" ht="15.75" customHeight="1">
      <c r="A52" s="1538">
        <v>1.0</v>
      </c>
      <c r="B52" s="1542" t="s">
        <v>4850</v>
      </c>
      <c r="C52" s="1045" t="s">
        <v>4851</v>
      </c>
      <c r="D52" s="1045" t="s">
        <v>4852</v>
      </c>
      <c r="E52" s="1209" t="s">
        <v>557</v>
      </c>
      <c r="F52" s="1209" t="s">
        <v>4853</v>
      </c>
      <c r="G52" s="1546">
        <v>0.09</v>
      </c>
      <c r="H52" s="1550">
        <v>39.0</v>
      </c>
      <c r="I52" s="1211">
        <v>1170.0</v>
      </c>
      <c r="J52" s="1554"/>
      <c r="K52" s="1209"/>
      <c r="L52" s="1209"/>
      <c r="M52" s="1209" t="s">
        <v>4194</v>
      </c>
      <c r="N52" s="883" t="s">
        <v>4036</v>
      </c>
      <c r="O52" s="1217"/>
      <c r="P52" s="1213"/>
      <c r="Q52" s="1213"/>
      <c r="R52" s="1213"/>
      <c r="S52" s="1213"/>
      <c r="T52" s="1213"/>
      <c r="U52" s="1213"/>
      <c r="V52" s="1213"/>
      <c r="W52" s="1406"/>
    </row>
    <row r="53" ht="15.75" customHeight="1">
      <c r="A53" s="1538">
        <v>1.0</v>
      </c>
      <c r="B53" s="1542" t="s">
        <v>4854</v>
      </c>
      <c r="C53" s="1045" t="s">
        <v>4855</v>
      </c>
      <c r="D53" s="1045" t="s">
        <v>4856</v>
      </c>
      <c r="E53" s="1209"/>
      <c r="F53" s="1209" t="s">
        <v>4857</v>
      </c>
      <c r="G53" s="1546">
        <v>0.33</v>
      </c>
      <c r="H53" s="1550">
        <v>140.0</v>
      </c>
      <c r="I53" s="1211">
        <v>7000.0</v>
      </c>
      <c r="J53" s="1213">
        <v>1.0</v>
      </c>
      <c r="K53" s="1573" t="s">
        <v>4858</v>
      </c>
      <c r="L53" s="1577"/>
      <c r="M53" s="1209" t="s">
        <v>4194</v>
      </c>
      <c r="N53" s="883" t="s">
        <v>4036</v>
      </c>
      <c r="O53" s="1217"/>
      <c r="P53" s="1213"/>
      <c r="Q53" s="1213"/>
      <c r="R53" s="1213"/>
      <c r="S53" s="1213"/>
      <c r="T53" s="1213"/>
      <c r="U53" s="1213"/>
      <c r="V53" s="1213"/>
      <c r="W53" s="1406"/>
    </row>
    <row r="54" ht="15.75" customHeight="1">
      <c r="A54" s="1579">
        <v>1.0</v>
      </c>
      <c r="B54" s="1542" t="s">
        <v>4884</v>
      </c>
      <c r="C54" s="1045" t="s">
        <v>4885</v>
      </c>
      <c r="D54" s="1045" t="s">
        <v>4805</v>
      </c>
      <c r="E54" s="1045" t="s">
        <v>4886</v>
      </c>
      <c r="F54" s="1209" t="s">
        <v>4887</v>
      </c>
      <c r="G54" s="1546">
        <v>0.18</v>
      </c>
      <c r="H54" s="1550">
        <v>77.0</v>
      </c>
      <c r="I54" s="1211">
        <v>4620.0</v>
      </c>
      <c r="J54" s="1554"/>
      <c r="K54" s="1209"/>
      <c r="L54" s="1209"/>
      <c r="M54" s="1209" t="s">
        <v>4194</v>
      </c>
      <c r="N54" s="883" t="s">
        <v>4036</v>
      </c>
      <c r="O54" s="1217"/>
      <c r="P54" s="1213"/>
      <c r="Q54" s="1213"/>
      <c r="R54" s="1213"/>
      <c r="S54" s="1213"/>
      <c r="T54" s="1213"/>
      <c r="U54" s="1213"/>
      <c r="V54" s="1213"/>
      <c r="W54" s="1406"/>
    </row>
    <row r="55" ht="15.75" customHeight="1">
      <c r="A55" s="1579">
        <v>1.0</v>
      </c>
      <c r="B55" s="1581" t="s">
        <v>4888</v>
      </c>
      <c r="C55" s="1045" t="s">
        <v>4889</v>
      </c>
      <c r="D55" s="1045" t="s">
        <v>4805</v>
      </c>
      <c r="E55" s="1045" t="s">
        <v>4890</v>
      </c>
      <c r="F55" s="1209" t="s">
        <v>4891</v>
      </c>
      <c r="G55" s="1585">
        <v>0.61</v>
      </c>
      <c r="H55" s="1550">
        <v>258.0</v>
      </c>
      <c r="I55" s="1211">
        <v>15480.0</v>
      </c>
      <c r="J55" s="1554"/>
      <c r="K55" s="1209"/>
      <c r="L55" s="1209"/>
      <c r="M55" s="1209" t="s">
        <v>1780</v>
      </c>
      <c r="N55" s="883"/>
      <c r="O55" s="1217"/>
      <c r="P55" s="1213"/>
      <c r="Q55" s="1213"/>
      <c r="R55" s="1213"/>
      <c r="S55" s="1213"/>
      <c r="T55" s="1213"/>
      <c r="U55" s="1213"/>
      <c r="V55" s="1213"/>
      <c r="W55" s="1406"/>
    </row>
    <row r="56" ht="15.75" customHeight="1">
      <c r="A56" s="1588">
        <v>1.0</v>
      </c>
      <c r="B56" s="1591" t="s">
        <v>4924</v>
      </c>
      <c r="C56" s="1595" t="s">
        <v>4841</v>
      </c>
      <c r="D56" s="1595" t="s">
        <v>4865</v>
      </c>
      <c r="E56" s="1600"/>
      <c r="F56" s="1600" t="s">
        <v>4951</v>
      </c>
      <c r="G56" s="1604">
        <v>2.788</v>
      </c>
      <c r="H56" s="1609">
        <v>1182.0</v>
      </c>
      <c r="I56" s="1612">
        <v>70920.0</v>
      </c>
      <c r="J56" s="1615"/>
      <c r="K56" s="1600"/>
      <c r="L56" s="1600"/>
      <c r="M56" s="1600" t="s">
        <v>4371</v>
      </c>
      <c r="N56" s="1215" t="s">
        <v>3496</v>
      </c>
      <c r="O56" s="1619"/>
      <c r="P56" s="1213"/>
      <c r="Q56" s="1213" t="s">
        <v>4449</v>
      </c>
      <c r="R56" s="1213" t="s">
        <v>5016</v>
      </c>
      <c r="S56" s="1213" t="s">
        <v>5018</v>
      </c>
      <c r="T56" s="1213"/>
      <c r="U56" s="1213"/>
      <c r="V56" s="1213"/>
      <c r="W56" s="1406"/>
    </row>
    <row r="57" ht="15.75" customHeight="1">
      <c r="A57" s="1203">
        <v>1.0</v>
      </c>
      <c r="B57" s="1206" t="s">
        <v>4522</v>
      </c>
      <c r="C57" s="1045" t="s">
        <v>4885</v>
      </c>
      <c r="D57" s="1045" t="s">
        <v>5023</v>
      </c>
      <c r="E57" s="1209" t="s">
        <v>557</v>
      </c>
      <c r="F57" s="1209" t="s">
        <v>5026</v>
      </c>
      <c r="G57" s="1585">
        <v>0.675</v>
      </c>
      <c r="H57" s="1550">
        <v>286.0</v>
      </c>
      <c r="I57" s="1623" t="s">
        <v>5027</v>
      </c>
      <c r="J57" s="1554"/>
      <c r="K57" s="1209"/>
      <c r="L57" s="1209"/>
      <c r="M57" s="1209" t="s">
        <v>3718</v>
      </c>
      <c r="N57" s="1215" t="s">
        <v>3496</v>
      </c>
      <c r="O57" s="1217"/>
      <c r="P57" s="1213" t="s">
        <v>5057</v>
      </c>
      <c r="Q57" s="1213" t="s">
        <v>4449</v>
      </c>
      <c r="R57" s="1213" t="s">
        <v>5058</v>
      </c>
      <c r="S57" s="1213" t="s">
        <v>4839</v>
      </c>
      <c r="T57" s="1213"/>
      <c r="U57" s="1213"/>
      <c r="V57" s="1213"/>
      <c r="W57" s="1406"/>
    </row>
    <row r="58" ht="15.75" customHeight="1">
      <c r="A58" s="1203">
        <v>1.0</v>
      </c>
      <c r="B58" s="1206" t="s">
        <v>5060</v>
      </c>
      <c r="C58" s="1045" t="s">
        <v>5061</v>
      </c>
      <c r="D58" s="1045" t="s">
        <v>5062</v>
      </c>
      <c r="E58" s="1209"/>
      <c r="F58" s="1209" t="s">
        <v>5063</v>
      </c>
      <c r="G58" s="1585">
        <v>0.59</v>
      </c>
      <c r="H58" s="1550">
        <v>250.0</v>
      </c>
      <c r="I58" s="1211"/>
      <c r="J58" s="1213">
        <v>1.0</v>
      </c>
      <c r="K58" s="1045" t="s">
        <v>5064</v>
      </c>
      <c r="L58" s="1045"/>
      <c r="M58" s="1209" t="s">
        <v>1780</v>
      </c>
      <c r="N58" s="1215" t="s">
        <v>3496</v>
      </c>
      <c r="O58" s="1217"/>
      <c r="P58" s="1213"/>
      <c r="Q58" s="1213"/>
      <c r="R58" s="1213"/>
      <c r="S58" s="1213"/>
      <c r="T58" s="1213"/>
      <c r="U58" s="1213"/>
      <c r="V58" s="1213"/>
      <c r="W58" s="1406"/>
    </row>
    <row r="59" ht="15.75" customHeight="1">
      <c r="A59" s="1203">
        <v>1.0</v>
      </c>
      <c r="B59" s="1206" t="s">
        <v>5065</v>
      </c>
      <c r="C59" s="1045" t="s">
        <v>5067</v>
      </c>
      <c r="D59" s="1045" t="s">
        <v>1247</v>
      </c>
      <c r="E59" s="1045" t="s">
        <v>557</v>
      </c>
      <c r="F59" s="1045" t="s">
        <v>5071</v>
      </c>
      <c r="G59" s="1585"/>
      <c r="H59" s="1550">
        <v>374.0</v>
      </c>
      <c r="I59" s="1211"/>
      <c r="J59" s="1213"/>
      <c r="K59" s="1045"/>
      <c r="L59" s="1045"/>
      <c r="M59" s="1209"/>
      <c r="N59" s="1215" t="s">
        <v>3496</v>
      </c>
      <c r="O59" s="1217"/>
      <c r="P59" s="1213" t="s">
        <v>5073</v>
      </c>
      <c r="Q59" s="1213" t="s">
        <v>4449</v>
      </c>
      <c r="R59" s="1213" t="s">
        <v>5074</v>
      </c>
      <c r="S59" s="1213" t="s">
        <v>4816</v>
      </c>
      <c r="T59" s="1213"/>
      <c r="U59" s="1213"/>
      <c r="V59" s="1213"/>
      <c r="W59" s="1406"/>
    </row>
    <row r="60" ht="15.75" customHeight="1">
      <c r="A60" s="1203">
        <v>1.0</v>
      </c>
      <c r="B60" s="1341" t="s">
        <v>5077</v>
      </c>
      <c r="C60" s="883" t="s">
        <v>5067</v>
      </c>
      <c r="D60" s="1045" t="s">
        <v>1247</v>
      </c>
      <c r="E60" s="1045" t="s">
        <v>557</v>
      </c>
      <c r="F60" s="1045" t="s">
        <v>5079</v>
      </c>
      <c r="G60" s="1209"/>
      <c r="H60" s="1209">
        <v>357.0</v>
      </c>
      <c r="I60" s="1211">
        <v>17850.0</v>
      </c>
      <c r="J60" s="1554"/>
      <c r="K60" s="1045"/>
      <c r="L60" s="1410"/>
      <c r="M60" s="1045" t="s">
        <v>1247</v>
      </c>
      <c r="N60" s="1215" t="s">
        <v>3496</v>
      </c>
      <c r="O60" s="1217"/>
      <c r="P60" s="1213" t="s">
        <v>4814</v>
      </c>
      <c r="Q60" s="1213" t="s">
        <v>4449</v>
      </c>
      <c r="R60" s="1213" t="s">
        <v>5080</v>
      </c>
      <c r="S60" s="1213" t="s">
        <v>5018</v>
      </c>
      <c r="T60" s="1213"/>
      <c r="U60" s="1213"/>
      <c r="V60" s="1213"/>
      <c r="W60" s="1406"/>
    </row>
    <row r="61" ht="15.75" customHeight="1">
      <c r="A61" s="1203">
        <v>1.0</v>
      </c>
      <c r="B61" s="1341" t="s">
        <v>5077</v>
      </c>
      <c r="C61" s="883" t="s">
        <v>2956</v>
      </c>
      <c r="D61" s="1045" t="s">
        <v>1247</v>
      </c>
      <c r="E61" s="1045" t="s">
        <v>557</v>
      </c>
      <c r="F61" s="1045" t="s">
        <v>5081</v>
      </c>
      <c r="G61" s="1209"/>
      <c r="H61" s="1209">
        <v>432.0</v>
      </c>
      <c r="I61" s="1211"/>
      <c r="J61" s="1554"/>
      <c r="K61" s="1045"/>
      <c r="L61" s="1410"/>
      <c r="M61" s="1045" t="s">
        <v>1247</v>
      </c>
      <c r="N61" s="1215" t="s">
        <v>3496</v>
      </c>
      <c r="O61" s="1217"/>
      <c r="P61" s="1213" t="s">
        <v>5073</v>
      </c>
      <c r="Q61" s="1213" t="s">
        <v>4449</v>
      </c>
      <c r="R61" s="1213" t="s">
        <v>5082</v>
      </c>
      <c r="S61" s="1213" t="s">
        <v>4816</v>
      </c>
      <c r="T61" s="1213"/>
      <c r="U61" s="1213"/>
      <c r="V61" s="1213"/>
      <c r="W61" s="1406"/>
    </row>
    <row r="62" ht="33.0" customHeight="1">
      <c r="A62" s="1203">
        <v>1.0</v>
      </c>
      <c r="B62" s="1341" t="s">
        <v>5083</v>
      </c>
      <c r="C62" s="883" t="s">
        <v>5061</v>
      </c>
      <c r="D62" s="1045" t="s">
        <v>1247</v>
      </c>
      <c r="E62" s="1045" t="s">
        <v>557</v>
      </c>
      <c r="F62" s="1045" t="s">
        <v>5084</v>
      </c>
      <c r="G62" s="1209"/>
      <c r="H62" s="1209">
        <v>319.0</v>
      </c>
      <c r="I62" s="1211">
        <v>23925.0</v>
      </c>
      <c r="J62" s="1554"/>
      <c r="K62" s="1045"/>
      <c r="L62" s="1410"/>
      <c r="M62" s="1045" t="s">
        <v>1247</v>
      </c>
      <c r="N62" s="1215" t="s">
        <v>3496</v>
      </c>
      <c r="O62" s="1217"/>
      <c r="P62" s="1213" t="s">
        <v>4814</v>
      </c>
      <c r="Q62" s="1213" t="s">
        <v>5085</v>
      </c>
      <c r="R62" s="1213" t="s">
        <v>5086</v>
      </c>
      <c r="S62" s="1213" t="s">
        <v>5087</v>
      </c>
      <c r="T62" s="1213"/>
      <c r="U62" s="1213"/>
      <c r="V62" s="1213"/>
      <c r="W62" s="1418" t="s">
        <v>5088</v>
      </c>
    </row>
    <row r="63" ht="24.0" customHeight="1">
      <c r="A63" s="1203">
        <v>1.0</v>
      </c>
      <c r="B63" s="1341" t="s">
        <v>5089</v>
      </c>
      <c r="C63" s="883" t="s">
        <v>5067</v>
      </c>
      <c r="D63" s="1045" t="s">
        <v>1247</v>
      </c>
      <c r="E63" s="1045" t="s">
        <v>557</v>
      </c>
      <c r="F63" s="1045" t="s">
        <v>5090</v>
      </c>
      <c r="G63" s="1209"/>
      <c r="H63" s="1209">
        <v>376.0</v>
      </c>
      <c r="I63" s="1211">
        <v>18800.0</v>
      </c>
      <c r="J63" s="1554"/>
      <c r="K63" s="1045"/>
      <c r="L63" s="1410"/>
      <c r="M63" s="1045" t="s">
        <v>1247</v>
      </c>
      <c r="N63" s="1215" t="s">
        <v>3496</v>
      </c>
      <c r="O63" s="1217"/>
      <c r="P63" s="1213" t="s">
        <v>4814</v>
      </c>
      <c r="Q63" s="1213" t="s">
        <v>4860</v>
      </c>
      <c r="R63" s="1213" t="s">
        <v>5092</v>
      </c>
      <c r="S63" s="1213" t="s">
        <v>5093</v>
      </c>
      <c r="T63" s="1213"/>
      <c r="U63" s="1213"/>
      <c r="V63" s="1213"/>
      <c r="W63" s="1406"/>
    </row>
    <row r="64" ht="15.75" customHeight="1">
      <c r="A64" s="1203">
        <v>1.0</v>
      </c>
      <c r="B64" s="1206" t="s">
        <v>5094</v>
      </c>
      <c r="C64" s="1045" t="s">
        <v>2485</v>
      </c>
      <c r="D64" s="1045" t="s">
        <v>5095</v>
      </c>
      <c r="E64" s="1209"/>
      <c r="F64" s="1045" t="s">
        <v>5096</v>
      </c>
      <c r="G64" s="1585">
        <v>0.483</v>
      </c>
      <c r="H64" s="1550">
        <v>205.0</v>
      </c>
      <c r="I64" s="1211"/>
      <c r="J64" s="1554"/>
      <c r="K64" s="1209"/>
      <c r="L64" s="1209"/>
      <c r="M64" s="1209" t="s">
        <v>1780</v>
      </c>
      <c r="N64" s="883" t="s">
        <v>3419</v>
      </c>
      <c r="O64" s="1217"/>
      <c r="P64" s="1213" t="s">
        <v>5097</v>
      </c>
      <c r="Q64" s="1213"/>
      <c r="R64" s="1213"/>
      <c r="S64" s="1213"/>
      <c r="T64" s="1213"/>
      <c r="U64" s="1213"/>
      <c r="V64" s="1213"/>
      <c r="W64" s="1406"/>
    </row>
    <row r="65" ht="15.75" customHeight="1">
      <c r="A65" s="1203">
        <v>1.0</v>
      </c>
      <c r="B65" s="1206" t="s">
        <v>5098</v>
      </c>
      <c r="C65" s="1045" t="s">
        <v>5099</v>
      </c>
      <c r="D65" s="1045" t="s">
        <v>1247</v>
      </c>
      <c r="E65" s="1209" t="s">
        <v>557</v>
      </c>
      <c r="F65" s="1045" t="s">
        <v>5101</v>
      </c>
      <c r="G65" s="1585">
        <v>0.15</v>
      </c>
      <c r="H65" s="1550">
        <v>65.0</v>
      </c>
      <c r="I65" s="1211"/>
      <c r="J65" s="1554"/>
      <c r="K65" s="1209"/>
      <c r="L65" s="1209"/>
      <c r="M65" s="1209" t="s">
        <v>1247</v>
      </c>
      <c r="N65" s="1215" t="s">
        <v>3496</v>
      </c>
      <c r="O65" s="1217"/>
      <c r="P65" s="1213" t="s">
        <v>5102</v>
      </c>
      <c r="Q65" s="1213" t="s">
        <v>4449</v>
      </c>
      <c r="R65" s="1213" t="s">
        <v>5103</v>
      </c>
      <c r="S65" s="1213" t="s">
        <v>5104</v>
      </c>
      <c r="T65" s="1213"/>
      <c r="U65" s="1213"/>
      <c r="V65" s="1213"/>
      <c r="W65" s="1406"/>
    </row>
    <row r="66" ht="15.75" customHeight="1">
      <c r="A66" s="1203">
        <v>1.0</v>
      </c>
      <c r="B66" s="1206" t="s">
        <v>5106</v>
      </c>
      <c r="C66" s="1045" t="s">
        <v>2956</v>
      </c>
      <c r="D66" s="1045" t="s">
        <v>1247</v>
      </c>
      <c r="E66" s="1209" t="s">
        <v>557</v>
      </c>
      <c r="F66" s="1045" t="s">
        <v>5107</v>
      </c>
      <c r="G66" s="1585"/>
      <c r="H66" s="1550">
        <v>243.7</v>
      </c>
      <c r="I66" s="1211"/>
      <c r="J66" s="1554"/>
      <c r="K66" s="1209"/>
      <c r="L66" s="1209"/>
      <c r="M66" s="1209" t="s">
        <v>1247</v>
      </c>
      <c r="N66" s="1215" t="s">
        <v>3496</v>
      </c>
      <c r="O66" s="1217"/>
      <c r="P66" s="1213" t="s">
        <v>5073</v>
      </c>
      <c r="Q66" s="1213" t="s">
        <v>4449</v>
      </c>
      <c r="R66" s="1213" t="s">
        <v>5109</v>
      </c>
      <c r="S66" s="1213" t="s">
        <v>4816</v>
      </c>
      <c r="T66" s="1213"/>
      <c r="U66" s="1213"/>
      <c r="V66" s="1213"/>
      <c r="W66" s="1406"/>
    </row>
    <row r="67" ht="15.75" customHeight="1">
      <c r="A67" s="1203">
        <v>1.0</v>
      </c>
      <c r="B67" s="1206" t="s">
        <v>5110</v>
      </c>
      <c r="C67" s="1045" t="s">
        <v>3261</v>
      </c>
      <c r="D67" s="1045" t="s">
        <v>1247</v>
      </c>
      <c r="E67" s="1209" t="s">
        <v>557</v>
      </c>
      <c r="F67" s="1045" t="s">
        <v>5113</v>
      </c>
      <c r="G67" s="1585">
        <v>0.48</v>
      </c>
      <c r="H67" s="1550">
        <v>203.0</v>
      </c>
      <c r="I67" s="1211"/>
      <c r="J67" s="1554"/>
      <c r="K67" s="1209"/>
      <c r="L67" s="1209"/>
      <c r="M67" s="1209" t="s">
        <v>1247</v>
      </c>
      <c r="N67" s="1215" t="s">
        <v>3496</v>
      </c>
      <c r="O67" s="1217"/>
      <c r="P67" s="1213" t="s">
        <v>5102</v>
      </c>
      <c r="Q67" s="1213" t="s">
        <v>4449</v>
      </c>
      <c r="R67" s="1213" t="s">
        <v>5117</v>
      </c>
      <c r="S67" s="1213" t="s">
        <v>5018</v>
      </c>
      <c r="T67" s="1213"/>
      <c r="U67" s="1213"/>
      <c r="V67" s="1213"/>
      <c r="W67" s="1406"/>
    </row>
    <row r="68" ht="15.75" customHeight="1">
      <c r="A68" s="1203">
        <v>1.0</v>
      </c>
      <c r="B68" s="1206" t="s">
        <v>5120</v>
      </c>
      <c r="C68" s="1045" t="s">
        <v>5121</v>
      </c>
      <c r="D68" s="1045" t="s">
        <v>1247</v>
      </c>
      <c r="E68" s="1209" t="s">
        <v>557</v>
      </c>
      <c r="F68" s="1045" t="s">
        <v>5122</v>
      </c>
      <c r="G68" s="1585">
        <v>1.92</v>
      </c>
      <c r="H68" s="1550">
        <v>816.0</v>
      </c>
      <c r="I68" s="1211">
        <v>40800.0</v>
      </c>
      <c r="J68" s="1554"/>
      <c r="K68" s="1209"/>
      <c r="L68" s="1209"/>
      <c r="M68" s="1209" t="s">
        <v>1247</v>
      </c>
      <c r="N68" s="1215" t="s">
        <v>3496</v>
      </c>
      <c r="O68" s="1217"/>
      <c r="P68" s="1213" t="s">
        <v>5102</v>
      </c>
      <c r="Q68" s="1213" t="s">
        <v>4449</v>
      </c>
      <c r="R68" s="1213" t="s">
        <v>5123</v>
      </c>
      <c r="S68" s="1213" t="s">
        <v>5018</v>
      </c>
      <c r="T68" s="1213"/>
      <c r="U68" s="1213"/>
      <c r="V68" s="1213"/>
      <c r="W68" s="1406"/>
    </row>
    <row r="69" ht="15.75" customHeight="1">
      <c r="A69" s="1273">
        <v>1.0</v>
      </c>
      <c r="B69" s="1633" t="s">
        <v>5125</v>
      </c>
      <c r="C69" s="1041" t="s">
        <v>5145</v>
      </c>
      <c r="D69" s="1041" t="s">
        <v>5146</v>
      </c>
      <c r="E69" s="1275"/>
      <c r="F69" s="1041" t="s">
        <v>5147</v>
      </c>
      <c r="G69" s="1636">
        <v>0.9</v>
      </c>
      <c r="H69" s="1639">
        <v>382.0</v>
      </c>
      <c r="I69" s="1277"/>
      <c r="J69" s="1643"/>
      <c r="K69" s="1275"/>
      <c r="L69" s="1275"/>
      <c r="M69" s="1275" t="s">
        <v>299</v>
      </c>
      <c r="N69" s="609"/>
      <c r="O69" s="1278"/>
      <c r="P69" s="1247"/>
      <c r="Q69" s="1247" t="s">
        <v>5191</v>
      </c>
      <c r="R69" s="1247" t="s">
        <v>5192</v>
      </c>
      <c r="S69" s="1247" t="s">
        <v>5193</v>
      </c>
      <c r="T69" s="609" t="s">
        <v>5194</v>
      </c>
      <c r="U69" s="1247" t="s">
        <v>5195</v>
      </c>
      <c r="V69" s="1247" t="s">
        <v>5193</v>
      </c>
      <c r="W69" s="1332"/>
    </row>
    <row r="70" ht="15.75" customHeight="1">
      <c r="A70" s="1647">
        <v>1.0</v>
      </c>
      <c r="B70" s="1458" t="s">
        <v>5203</v>
      </c>
      <c r="C70" s="1045" t="s">
        <v>2392</v>
      </c>
      <c r="D70" s="1209" t="s">
        <v>1247</v>
      </c>
      <c r="E70" s="1209" t="s">
        <v>557</v>
      </c>
      <c r="F70" s="1045" t="s">
        <v>5207</v>
      </c>
      <c r="G70" s="1546">
        <v>0.49</v>
      </c>
      <c r="H70" s="1550">
        <v>208.0</v>
      </c>
      <c r="I70" s="1211"/>
      <c r="J70" s="1554"/>
      <c r="K70" s="1209"/>
      <c r="L70" s="1209"/>
      <c r="M70" s="1209"/>
      <c r="N70" s="1215" t="s">
        <v>3496</v>
      </c>
      <c r="O70" s="1217"/>
      <c r="P70" s="1213" t="s">
        <v>5057</v>
      </c>
      <c r="Q70" s="1213" t="s">
        <v>4449</v>
      </c>
      <c r="R70" s="1213" t="s">
        <v>5215</v>
      </c>
      <c r="S70" s="1213" t="s">
        <v>5018</v>
      </c>
      <c r="T70" s="1213"/>
      <c r="U70" s="1222"/>
      <c r="V70" s="1222"/>
      <c r="W70" s="1225"/>
    </row>
    <row r="71" ht="15.75" customHeight="1">
      <c r="A71" s="1203">
        <v>1.0</v>
      </c>
      <c r="B71" s="1206" t="s">
        <v>4553</v>
      </c>
      <c r="C71" s="1045" t="s">
        <v>5219</v>
      </c>
      <c r="D71" s="1045" t="s">
        <v>3716</v>
      </c>
      <c r="E71" s="1209" t="s">
        <v>557</v>
      </c>
      <c r="F71" s="1045" t="s">
        <v>5221</v>
      </c>
      <c r="G71" s="1546">
        <v>0.17</v>
      </c>
      <c r="H71" s="1546">
        <v>72.35</v>
      </c>
      <c r="I71" s="1211"/>
      <c r="J71" s="1213">
        <v>1.0</v>
      </c>
      <c r="K71" s="1045" t="s">
        <v>5231</v>
      </c>
      <c r="L71" s="1209"/>
      <c r="M71" s="1209" t="s">
        <v>2256</v>
      </c>
      <c r="N71" s="883" t="s">
        <v>5232</v>
      </c>
      <c r="O71" s="1217"/>
      <c r="P71" s="1213" t="s">
        <v>5235</v>
      </c>
      <c r="Q71" s="1213"/>
      <c r="R71" s="1213"/>
      <c r="S71" s="1213"/>
      <c r="T71" s="1213"/>
      <c r="U71" s="1213"/>
      <c r="V71" s="1213"/>
      <c r="W71" s="1406" t="s">
        <v>557</v>
      </c>
    </row>
    <row r="72" ht="15.75" customHeight="1">
      <c r="A72" s="1273">
        <v>1.0</v>
      </c>
      <c r="B72" s="1274" t="s">
        <v>5236</v>
      </c>
      <c r="C72" s="1041" t="s">
        <v>5238</v>
      </c>
      <c r="D72" s="1041" t="s">
        <v>4865</v>
      </c>
      <c r="E72" s="1275" t="s">
        <v>557</v>
      </c>
      <c r="F72" s="1041" t="s">
        <v>5243</v>
      </c>
      <c r="G72" s="1636">
        <v>0.17</v>
      </c>
      <c r="H72" s="1639">
        <v>70.0</v>
      </c>
      <c r="I72" s="1277"/>
      <c r="J72" s="1643"/>
      <c r="K72" s="1275"/>
      <c r="L72" s="1275"/>
      <c r="M72" s="1041" t="s">
        <v>5245</v>
      </c>
      <c r="N72" s="609"/>
      <c r="O72" s="1278"/>
      <c r="P72" s="1247" t="s">
        <v>5235</v>
      </c>
      <c r="Q72" s="1247" t="s">
        <v>5253</v>
      </c>
      <c r="R72" s="1247" t="s">
        <v>5255</v>
      </c>
      <c r="S72" s="1247" t="s">
        <v>5259</v>
      </c>
      <c r="T72" s="1247" t="s">
        <v>3867</v>
      </c>
      <c r="U72" s="1247" t="s">
        <v>5263</v>
      </c>
      <c r="V72" s="1247" t="s">
        <v>5259</v>
      </c>
      <c r="W72" s="1332" t="s">
        <v>557</v>
      </c>
    </row>
    <row r="73" ht="15.75" customHeight="1">
      <c r="A73" s="1203">
        <v>1.0</v>
      </c>
      <c r="B73" s="1206" t="s">
        <v>5236</v>
      </c>
      <c r="C73" s="1045" t="s">
        <v>5049</v>
      </c>
      <c r="D73" s="1045" t="s">
        <v>2904</v>
      </c>
      <c r="E73" s="1209" t="s">
        <v>557</v>
      </c>
      <c r="F73" s="1045" t="s">
        <v>735</v>
      </c>
      <c r="G73" s="1546">
        <v>1.37</v>
      </c>
      <c r="H73" s="1550">
        <v>580.0</v>
      </c>
      <c r="I73" s="1211">
        <v>43500.0</v>
      </c>
      <c r="J73" s="1554"/>
      <c r="K73" s="1209"/>
      <c r="L73" s="1209"/>
      <c r="M73" s="1045" t="s">
        <v>1247</v>
      </c>
      <c r="N73" s="1215" t="s">
        <v>3496</v>
      </c>
      <c r="O73" s="1217"/>
      <c r="P73" s="1213" t="s">
        <v>5057</v>
      </c>
      <c r="Q73" s="1213" t="s">
        <v>4449</v>
      </c>
      <c r="R73" s="1213" t="s">
        <v>5270</v>
      </c>
      <c r="S73" s="1213" t="s">
        <v>5018</v>
      </c>
      <c r="T73" s="1213"/>
      <c r="U73" s="1222"/>
      <c r="V73" s="1222"/>
      <c r="W73" s="1225"/>
    </row>
    <row r="74" ht="15.75" customHeight="1">
      <c r="A74" s="1273">
        <v>1.0</v>
      </c>
      <c r="B74" s="1274" t="s">
        <v>4553</v>
      </c>
      <c r="C74" s="1041" t="s">
        <v>2015</v>
      </c>
      <c r="D74" s="1041" t="s">
        <v>5277</v>
      </c>
      <c r="E74" s="1275" t="s">
        <v>557</v>
      </c>
      <c r="F74" s="1275" t="s">
        <v>5280</v>
      </c>
      <c r="G74" s="1636">
        <v>0.19</v>
      </c>
      <c r="H74" s="1639">
        <v>80.0</v>
      </c>
      <c r="I74" s="1277"/>
      <c r="J74" s="1643"/>
      <c r="K74" s="1275"/>
      <c r="L74" s="1275"/>
      <c r="M74" s="1041" t="s">
        <v>5282</v>
      </c>
      <c r="N74" s="609"/>
      <c r="O74" s="1278"/>
      <c r="P74" s="1247"/>
      <c r="Q74" s="1247" t="s">
        <v>5253</v>
      </c>
      <c r="R74" s="1247" t="s">
        <v>5284</v>
      </c>
      <c r="S74" s="1247" t="s">
        <v>5259</v>
      </c>
      <c r="T74" s="1247" t="s">
        <v>3867</v>
      </c>
      <c r="U74" s="1247" t="s">
        <v>5286</v>
      </c>
      <c r="V74" s="1247" t="s">
        <v>5259</v>
      </c>
      <c r="W74" s="1332"/>
    </row>
    <row r="75" ht="15.75" customHeight="1">
      <c r="A75" s="1203">
        <v>1.0</v>
      </c>
      <c r="B75" s="1656" t="s">
        <v>5288</v>
      </c>
      <c r="C75" s="1045" t="s">
        <v>3795</v>
      </c>
      <c r="D75" s="1045" t="s">
        <v>2904</v>
      </c>
      <c r="E75" s="1209" t="s">
        <v>557</v>
      </c>
      <c r="F75" s="1209" t="s">
        <v>3819</v>
      </c>
      <c r="G75" s="1546">
        <v>1.007</v>
      </c>
      <c r="H75" s="1550">
        <v>427.0</v>
      </c>
      <c r="I75" s="1211"/>
      <c r="J75" s="1554"/>
      <c r="K75" s="1209"/>
      <c r="L75" s="1209"/>
      <c r="M75" s="1209" t="s">
        <v>1247</v>
      </c>
      <c r="N75" s="1215" t="s">
        <v>3496</v>
      </c>
      <c r="O75" s="1217"/>
      <c r="P75" s="1213" t="s">
        <v>5102</v>
      </c>
      <c r="Q75" s="1213" t="s">
        <v>4860</v>
      </c>
      <c r="R75" s="1213" t="s">
        <v>5295</v>
      </c>
      <c r="S75" s="1213" t="s">
        <v>5093</v>
      </c>
      <c r="T75" s="1213"/>
      <c r="U75" s="1222"/>
      <c r="V75" s="1222"/>
      <c r="W75" s="1225"/>
    </row>
    <row r="76" ht="15.75" customHeight="1">
      <c r="A76" s="1273">
        <v>1.0</v>
      </c>
      <c r="B76" s="1660" t="s">
        <v>5296</v>
      </c>
      <c r="C76" s="1041" t="s">
        <v>5298</v>
      </c>
      <c r="D76" s="1041" t="s">
        <v>5277</v>
      </c>
      <c r="E76" s="1275" t="s">
        <v>557</v>
      </c>
      <c r="F76" s="1275" t="s">
        <v>5299</v>
      </c>
      <c r="G76" s="1636">
        <v>0.29</v>
      </c>
      <c r="H76" s="1664">
        <v>123.5</v>
      </c>
      <c r="I76" s="1277"/>
      <c r="J76" s="1643"/>
      <c r="K76" s="1275"/>
      <c r="L76" s="1275"/>
      <c r="M76" s="1041" t="s">
        <v>5282</v>
      </c>
      <c r="N76" s="933"/>
      <c r="O76" s="1668"/>
      <c r="P76" s="1247" t="s">
        <v>5235</v>
      </c>
      <c r="Q76" s="1247" t="s">
        <v>5253</v>
      </c>
      <c r="R76" s="1247" t="s">
        <v>5310</v>
      </c>
      <c r="S76" s="1247" t="s">
        <v>5259</v>
      </c>
      <c r="T76" s="1247" t="s">
        <v>3867</v>
      </c>
      <c r="U76" s="1247" t="s">
        <v>5311</v>
      </c>
      <c r="V76" s="1247" t="s">
        <v>5259</v>
      </c>
      <c r="W76" s="1332"/>
    </row>
    <row r="77" ht="15.75" customHeight="1">
      <c r="A77" s="1203">
        <v>1.0</v>
      </c>
      <c r="B77" s="1672" t="s">
        <v>5312</v>
      </c>
      <c r="C77" s="1045" t="s">
        <v>2956</v>
      </c>
      <c r="D77" s="1045" t="s">
        <v>1247</v>
      </c>
      <c r="E77" s="1209" t="s">
        <v>557</v>
      </c>
      <c r="F77" s="1209" t="s">
        <v>5207</v>
      </c>
      <c r="G77" s="1546"/>
      <c r="H77" s="1605">
        <v>281.0</v>
      </c>
      <c r="I77" s="1211">
        <v>21075.0</v>
      </c>
      <c r="J77" s="1554"/>
      <c r="K77" s="1209"/>
      <c r="L77" s="1209"/>
      <c r="M77" s="1209" t="s">
        <v>1247</v>
      </c>
      <c r="N77" s="895"/>
      <c r="O77" s="1564"/>
      <c r="P77" s="1213" t="s">
        <v>5073</v>
      </c>
      <c r="Q77" s="1213"/>
      <c r="R77" s="1213"/>
      <c r="S77" s="1213"/>
      <c r="T77" s="1213"/>
      <c r="U77" s="1213"/>
      <c r="V77" s="1213"/>
      <c r="W77" s="1406" t="s">
        <v>557</v>
      </c>
    </row>
    <row r="78" ht="15.75" customHeight="1">
      <c r="A78" s="1676">
        <f>SUM(A44:A77)</f>
        <v>34</v>
      </c>
      <c r="B78" s="1678" t="s">
        <v>200</v>
      </c>
      <c r="C78" s="1681"/>
      <c r="D78" s="1682"/>
      <c r="E78" s="1682"/>
      <c r="F78" s="1682"/>
      <c r="G78" s="1686">
        <f t="shared" ref="G78:I78" si="3">SUM(G44:G77)</f>
        <v>15.705</v>
      </c>
      <c r="H78" s="1686">
        <f t="shared" si="3"/>
        <v>9795.55</v>
      </c>
      <c r="I78" s="1686">
        <f t="shared" si="3"/>
        <v>381980</v>
      </c>
      <c r="J78" s="1690">
        <f>SUM(J44:J74)</f>
        <v>3</v>
      </c>
      <c r="K78" s="1694"/>
      <c r="L78" s="1694"/>
      <c r="M78" s="1682"/>
      <c r="N78" s="1698"/>
      <c r="O78" s="1702">
        <f>SUM(O44:O56)</f>
        <v>1</v>
      </c>
      <c r="P78" s="1706"/>
      <c r="Q78" s="1469"/>
      <c r="R78" s="1469"/>
      <c r="S78" s="1469"/>
      <c r="T78" s="1469"/>
      <c r="U78" s="1469"/>
      <c r="V78" s="1469"/>
      <c r="W78" s="1473"/>
    </row>
    <row r="79" ht="15.75" customHeight="1">
      <c r="A79" s="1146"/>
      <c r="B79" s="1148" t="s">
        <v>312</v>
      </c>
      <c r="C79" s="1153"/>
      <c r="D79" s="1153"/>
      <c r="E79" s="1153"/>
      <c r="F79" s="1153"/>
      <c r="G79" s="1153"/>
      <c r="H79" s="1153"/>
      <c r="I79" s="1153"/>
      <c r="J79" s="1489"/>
      <c r="K79" s="1153"/>
      <c r="L79" s="1153"/>
      <c r="M79" s="1153"/>
      <c r="N79" s="1707"/>
      <c r="O79" s="1492"/>
      <c r="P79" s="1557"/>
      <c r="Q79" s="1557"/>
      <c r="R79" s="1557"/>
      <c r="S79" s="1557"/>
      <c r="T79" s="1557"/>
      <c r="U79" s="1557"/>
      <c r="V79" s="1557"/>
      <c r="W79" s="1561"/>
    </row>
    <row r="80" ht="15.75" customHeight="1">
      <c r="A80" s="1711">
        <v>1.0</v>
      </c>
      <c r="B80" s="1713" t="s">
        <v>5418</v>
      </c>
      <c r="C80" s="1514" t="s">
        <v>5430</v>
      </c>
      <c r="D80" s="1510" t="s">
        <v>1560</v>
      </c>
      <c r="E80" s="1514"/>
      <c r="F80" s="1514" t="s">
        <v>5435</v>
      </c>
      <c r="G80" s="1715">
        <v>0.117</v>
      </c>
      <c r="H80" s="1514">
        <v>50.88</v>
      </c>
      <c r="I80" s="1717">
        <v>4500.0</v>
      </c>
      <c r="J80" s="1526"/>
      <c r="K80" s="1530" t="s">
        <v>5487</v>
      </c>
      <c r="L80" s="1530"/>
      <c r="M80" s="1514" t="s">
        <v>4194</v>
      </c>
      <c r="N80" s="1530" t="s">
        <v>5488</v>
      </c>
      <c r="O80" s="1534">
        <v>1.0</v>
      </c>
      <c r="P80" s="1213"/>
      <c r="Q80" s="1213"/>
      <c r="R80" s="1213"/>
      <c r="S80" s="1213"/>
      <c r="T80" s="1213"/>
      <c r="U80" s="1213"/>
      <c r="V80" s="1213"/>
      <c r="W80" s="1406"/>
    </row>
    <row r="81" ht="15.75" customHeight="1">
      <c r="A81" s="1203">
        <v>1.0</v>
      </c>
      <c r="B81" s="1206" t="s">
        <v>5491</v>
      </c>
      <c r="C81" s="1209" t="s">
        <v>5493</v>
      </c>
      <c r="D81" s="1045" t="s">
        <v>1560</v>
      </c>
      <c r="E81" s="1209"/>
      <c r="F81" s="1209" t="s">
        <v>5497</v>
      </c>
      <c r="G81" s="1209">
        <v>0.14</v>
      </c>
      <c r="H81" s="1209">
        <v>59.36</v>
      </c>
      <c r="I81" s="1211">
        <v>3660.0</v>
      </c>
      <c r="J81" s="1554"/>
      <c r="K81" s="1209" t="s">
        <v>1101</v>
      </c>
      <c r="L81" s="1209"/>
      <c r="M81" s="1209" t="s">
        <v>4194</v>
      </c>
      <c r="N81" s="1215" t="s">
        <v>3496</v>
      </c>
      <c r="O81" s="1217">
        <v>1.0</v>
      </c>
      <c r="P81" s="1213"/>
      <c r="Q81" s="1347">
        <v>45665.0</v>
      </c>
      <c r="R81" s="1213" t="s">
        <v>5502</v>
      </c>
      <c r="S81" s="1347">
        <v>45555.0</v>
      </c>
      <c r="T81" s="1213"/>
      <c r="U81" s="1213"/>
      <c r="V81" s="1213"/>
      <c r="W81" s="1406"/>
    </row>
    <row r="82" ht="15.75" customHeight="1">
      <c r="A82" s="1203">
        <v>1.0</v>
      </c>
      <c r="B82" s="1341" t="s">
        <v>5505</v>
      </c>
      <c r="C82" s="1045" t="s">
        <v>5506</v>
      </c>
      <c r="D82" s="1045" t="s">
        <v>1560</v>
      </c>
      <c r="E82" s="1209"/>
      <c r="F82" s="1209" t="s">
        <v>5508</v>
      </c>
      <c r="G82" s="1209">
        <v>0.24</v>
      </c>
      <c r="H82" s="1419">
        <v>101.76</v>
      </c>
      <c r="I82" s="1211">
        <v>4160.0</v>
      </c>
      <c r="J82" s="1554"/>
      <c r="K82" s="1209"/>
      <c r="L82" s="1209"/>
      <c r="M82" s="1209" t="s">
        <v>4194</v>
      </c>
      <c r="N82" s="1215" t="s">
        <v>3496</v>
      </c>
      <c r="O82" s="1217"/>
      <c r="P82" s="1213"/>
      <c r="Q82" s="1347">
        <v>46237.0</v>
      </c>
      <c r="R82" s="1213" t="s">
        <v>5510</v>
      </c>
      <c r="S82" s="1347">
        <v>46224.0</v>
      </c>
      <c r="T82" s="1213"/>
      <c r="U82" s="1213"/>
      <c r="V82" s="1213"/>
      <c r="W82" s="1406"/>
    </row>
    <row r="83" ht="15.75" customHeight="1">
      <c r="A83" s="1273">
        <v>1.0</v>
      </c>
      <c r="B83" s="1353" t="s">
        <v>5511</v>
      </c>
      <c r="C83" s="1041" t="s">
        <v>5512</v>
      </c>
      <c r="D83" s="1041"/>
      <c r="E83" s="1275"/>
      <c r="F83" s="1275" t="s">
        <v>3033</v>
      </c>
      <c r="G83" s="1275"/>
      <c r="H83" s="1276">
        <v>349.46</v>
      </c>
      <c r="I83" s="1277"/>
      <c r="J83" s="1643"/>
      <c r="K83" s="1275"/>
      <c r="L83" s="1275"/>
      <c r="M83" s="1275"/>
      <c r="N83" s="609"/>
      <c r="O83" s="1278"/>
      <c r="P83" s="1247"/>
      <c r="Q83" s="1247"/>
      <c r="R83" s="1247"/>
      <c r="S83" s="1247"/>
      <c r="T83" s="1247" t="s">
        <v>5513</v>
      </c>
      <c r="U83" s="1247" t="s">
        <v>5514</v>
      </c>
      <c r="V83" s="1247" t="s">
        <v>5515</v>
      </c>
      <c r="W83" s="1332"/>
    </row>
    <row r="84" ht="15.75" customHeight="1">
      <c r="A84" s="1203">
        <v>1.0</v>
      </c>
      <c r="B84" s="1341" t="s">
        <v>5516</v>
      </c>
      <c r="C84" s="1209" t="s">
        <v>5517</v>
      </c>
      <c r="D84" s="1045" t="s">
        <v>1560</v>
      </c>
      <c r="E84" s="1209"/>
      <c r="F84" s="1045" t="s">
        <v>5518</v>
      </c>
      <c r="G84" s="1209">
        <v>2.85</v>
      </c>
      <c r="H84" s="1211">
        <v>1208.4</v>
      </c>
      <c r="I84" s="1211">
        <v>48470.0</v>
      </c>
      <c r="J84" s="1213">
        <v>1.0</v>
      </c>
      <c r="K84" s="1045" t="s">
        <v>5521</v>
      </c>
      <c r="L84" s="1045"/>
      <c r="M84" s="1045" t="s">
        <v>5522</v>
      </c>
      <c r="N84" s="1215" t="s">
        <v>3496</v>
      </c>
      <c r="O84" s="1217"/>
      <c r="P84" s="1213"/>
      <c r="Q84" s="1213" t="s">
        <v>3629</v>
      </c>
      <c r="R84" s="1213" t="s">
        <v>5523</v>
      </c>
      <c r="S84" s="1213" t="s">
        <v>5524</v>
      </c>
      <c r="T84" s="1213"/>
      <c r="U84" s="1213"/>
      <c r="V84" s="1222"/>
      <c r="W84" s="1225"/>
    </row>
    <row r="85" ht="15.75" customHeight="1">
      <c r="A85" s="1203">
        <v>1.0</v>
      </c>
      <c r="B85" s="1341" t="s">
        <v>5525</v>
      </c>
      <c r="C85" s="331" t="s">
        <v>5526</v>
      </c>
      <c r="D85" s="1045" t="s">
        <v>1560</v>
      </c>
      <c r="E85" s="1209"/>
      <c r="F85" s="1045" t="s">
        <v>5527</v>
      </c>
      <c r="G85" s="1209">
        <v>2.13</v>
      </c>
      <c r="H85" s="1209">
        <v>903.12</v>
      </c>
      <c r="I85" s="1211">
        <v>47600.0</v>
      </c>
      <c r="J85" s="1554"/>
      <c r="K85" s="1725"/>
      <c r="L85" s="1725"/>
      <c r="M85" s="1045" t="s">
        <v>5531</v>
      </c>
      <c r="N85" s="883" t="s">
        <v>5488</v>
      </c>
      <c r="O85" s="1217"/>
      <c r="P85" s="1213"/>
      <c r="Q85" s="1213"/>
      <c r="R85" s="1213"/>
      <c r="S85" s="1213"/>
      <c r="T85" s="1213"/>
      <c r="U85" s="1213"/>
      <c r="V85" s="1222"/>
      <c r="W85" s="1225"/>
    </row>
    <row r="86" ht="15.75" customHeight="1">
      <c r="A86" s="1273">
        <v>1.0</v>
      </c>
      <c r="B86" s="1353" t="s">
        <v>5532</v>
      </c>
      <c r="C86" s="1051" t="s">
        <v>5533</v>
      </c>
      <c r="D86" s="1041"/>
      <c r="E86" s="1275"/>
      <c r="F86" s="1041" t="s">
        <v>5534</v>
      </c>
      <c r="G86" s="1275"/>
      <c r="H86" s="1275">
        <v>952.0</v>
      </c>
      <c r="I86" s="1277"/>
      <c r="J86" s="1643"/>
      <c r="K86" s="1730"/>
      <c r="L86" s="1730"/>
      <c r="M86" s="1041"/>
      <c r="N86" s="609"/>
      <c r="O86" s="1278"/>
      <c r="P86" s="1247"/>
      <c r="Q86" s="1247"/>
      <c r="R86" s="1247"/>
      <c r="S86" s="1247"/>
      <c r="T86" s="1247" t="s">
        <v>4452</v>
      </c>
      <c r="U86" s="1247" t="s">
        <v>5539</v>
      </c>
      <c r="V86" s="1247" t="s">
        <v>5540</v>
      </c>
      <c r="W86" s="1332"/>
    </row>
    <row r="87" ht="15.75" customHeight="1">
      <c r="A87" s="1258">
        <v>1.0</v>
      </c>
      <c r="B87" s="1362" t="s">
        <v>5541</v>
      </c>
      <c r="C87" s="914" t="s">
        <v>5542</v>
      </c>
      <c r="D87" s="914" t="s">
        <v>1560</v>
      </c>
      <c r="E87" s="1265" t="s">
        <v>557</v>
      </c>
      <c r="F87" s="1265" t="s">
        <v>5543</v>
      </c>
      <c r="G87" s="1268">
        <v>0.9</v>
      </c>
      <c r="H87" s="1268">
        <v>383.2</v>
      </c>
      <c r="I87" s="1269">
        <v>17244.0</v>
      </c>
      <c r="J87" s="1732"/>
      <c r="K87" s="1265"/>
      <c r="L87" s="1265"/>
      <c r="M87" s="1265" t="s">
        <v>4194</v>
      </c>
      <c r="N87" s="1215" t="s">
        <v>5545</v>
      </c>
      <c r="O87" s="1286"/>
      <c r="P87" s="1222"/>
      <c r="Q87" s="1736">
        <v>46218.0</v>
      </c>
      <c r="R87" s="1222" t="s">
        <v>5549</v>
      </c>
      <c r="S87" s="1736">
        <v>46205.0</v>
      </c>
      <c r="T87" s="1222"/>
      <c r="U87" s="1222"/>
      <c r="V87" s="1222"/>
      <c r="W87" s="1225"/>
    </row>
    <row r="88" ht="15.75" customHeight="1">
      <c r="A88" s="1258">
        <v>1.0</v>
      </c>
      <c r="B88" s="1362" t="s">
        <v>5551</v>
      </c>
      <c r="C88" s="1265" t="s">
        <v>5552</v>
      </c>
      <c r="D88" s="914" t="s">
        <v>1560</v>
      </c>
      <c r="E88" s="1265"/>
      <c r="F88" s="914" t="s">
        <v>5555</v>
      </c>
      <c r="G88" s="1268">
        <v>0.87</v>
      </c>
      <c r="H88" s="1268">
        <v>372.0</v>
      </c>
      <c r="I88" s="1269">
        <v>24660.0</v>
      </c>
      <c r="J88" s="1732"/>
      <c r="K88" s="1265"/>
      <c r="L88" s="1265"/>
      <c r="M88" s="914" t="s">
        <v>5557</v>
      </c>
      <c r="N88" s="1215" t="s">
        <v>5558</v>
      </c>
      <c r="O88" s="1286"/>
      <c r="P88" s="1736"/>
      <c r="Q88" s="1736">
        <v>46210.0</v>
      </c>
      <c r="R88" s="1222" t="s">
        <v>5559</v>
      </c>
      <c r="S88" s="1736">
        <v>46198.0</v>
      </c>
      <c r="T88" s="1222"/>
      <c r="U88" s="1222"/>
      <c r="V88" s="1222"/>
      <c r="W88" s="1225"/>
    </row>
    <row r="89" ht="15.75" customHeight="1">
      <c r="A89" s="1258">
        <v>1.0</v>
      </c>
      <c r="B89" s="1362" t="s">
        <v>5560</v>
      </c>
      <c r="C89" s="1265" t="s">
        <v>3566</v>
      </c>
      <c r="D89" s="914" t="s">
        <v>1560</v>
      </c>
      <c r="E89" s="1265"/>
      <c r="F89" s="914" t="s">
        <v>5561</v>
      </c>
      <c r="G89" s="1265">
        <v>0.48</v>
      </c>
      <c r="H89" s="1265">
        <v>203.52</v>
      </c>
      <c r="I89" s="1269">
        <v>11220.0</v>
      </c>
      <c r="J89" s="1732"/>
      <c r="K89" s="1265"/>
      <c r="L89" s="1265"/>
      <c r="M89" s="914" t="s">
        <v>5562</v>
      </c>
      <c r="N89" s="824" t="s">
        <v>5488</v>
      </c>
      <c r="O89" s="1286"/>
      <c r="P89" s="1222"/>
      <c r="Q89" s="1222"/>
      <c r="R89" s="1222"/>
      <c r="S89" s="1222"/>
      <c r="T89" s="1222"/>
      <c r="U89" s="1222"/>
      <c r="V89" s="1222"/>
      <c r="W89" s="1225"/>
    </row>
    <row r="90" ht="15.75" customHeight="1">
      <c r="A90" s="1299">
        <v>1.0</v>
      </c>
      <c r="B90" s="1301" t="s">
        <v>5563</v>
      </c>
      <c r="C90" s="1303" t="s">
        <v>5564</v>
      </c>
      <c r="D90" s="914" t="s">
        <v>5565</v>
      </c>
      <c r="E90" s="1303"/>
      <c r="F90" s="1134" t="s">
        <v>5566</v>
      </c>
      <c r="G90" s="1303">
        <v>1.33</v>
      </c>
      <c r="H90" s="1305">
        <f t="shared" ref="H90:H92" si="4">SUM(G90*424)</f>
        <v>563.92</v>
      </c>
      <c r="I90" s="1308">
        <v>28350.0</v>
      </c>
      <c r="J90" s="1741"/>
      <c r="K90" s="1303" t="s">
        <v>1101</v>
      </c>
      <c r="L90" s="1303"/>
      <c r="M90" s="1745" t="s">
        <v>5572</v>
      </c>
      <c r="N90" s="855" t="s">
        <v>5488</v>
      </c>
      <c r="O90" s="1311">
        <v>1.0</v>
      </c>
      <c r="P90" s="1222"/>
      <c r="Q90" s="1222"/>
      <c r="R90" s="1222"/>
      <c r="S90" s="1222"/>
      <c r="T90" s="1222"/>
      <c r="U90" s="1222"/>
      <c r="V90" s="1222"/>
      <c r="W90" s="1225"/>
    </row>
    <row r="91" ht="15.75" customHeight="1">
      <c r="A91" s="1293">
        <v>1.0</v>
      </c>
      <c r="B91" s="1749" t="s">
        <v>4884</v>
      </c>
      <c r="C91" s="617" t="s">
        <v>5595</v>
      </c>
      <c r="D91" s="1318"/>
      <c r="E91" s="1754"/>
      <c r="F91" s="1318" t="s">
        <v>5628</v>
      </c>
      <c r="G91" s="1754">
        <v>0.71</v>
      </c>
      <c r="H91" s="1322">
        <f t="shared" si="4"/>
        <v>301.04</v>
      </c>
      <c r="I91" s="1758">
        <v>73323.5</v>
      </c>
      <c r="J91" s="1761"/>
      <c r="K91" s="1754"/>
      <c r="L91" s="1754"/>
      <c r="M91" s="1765" t="s">
        <v>3023</v>
      </c>
      <c r="N91" s="1318" t="s">
        <v>5488</v>
      </c>
      <c r="O91" s="1770"/>
      <c r="P91" s="1247"/>
      <c r="Q91" s="1247" t="s">
        <v>5644</v>
      </c>
      <c r="R91" s="1247" t="s">
        <v>5645</v>
      </c>
      <c r="S91" s="1247" t="s">
        <v>5646</v>
      </c>
      <c r="T91" s="1247" t="s">
        <v>3867</v>
      </c>
      <c r="U91" s="1247" t="s">
        <v>5645</v>
      </c>
      <c r="V91" s="1247" t="s">
        <v>5646</v>
      </c>
      <c r="W91" s="1332"/>
    </row>
    <row r="92" ht="15.75" customHeight="1">
      <c r="A92" s="1772"/>
      <c r="B92" s="1775"/>
      <c r="C92" s="1160"/>
      <c r="D92" s="1380"/>
      <c r="E92" s="1779"/>
      <c r="F92" s="1380" t="s">
        <v>5659</v>
      </c>
      <c r="G92" s="1779">
        <v>1.72</v>
      </c>
      <c r="H92" s="1783">
        <f t="shared" si="4"/>
        <v>729.28</v>
      </c>
      <c r="I92" s="1787"/>
      <c r="J92" s="1791"/>
      <c r="K92" s="1779"/>
      <c r="L92" s="1779"/>
      <c r="M92" s="1795"/>
      <c r="N92" s="1380"/>
      <c r="O92" s="1798"/>
      <c r="P92" s="1222"/>
      <c r="Q92" s="1222"/>
      <c r="R92" s="1222"/>
      <c r="S92" s="1222"/>
      <c r="T92" s="1222"/>
      <c r="U92" s="1222"/>
      <c r="V92" s="1222"/>
      <c r="W92" s="1225"/>
    </row>
    <row r="93" ht="15.75" customHeight="1">
      <c r="A93" s="1203">
        <v>1.0</v>
      </c>
      <c r="B93" s="1341" t="s">
        <v>5678</v>
      </c>
      <c r="C93" s="883" t="s">
        <v>5679</v>
      </c>
      <c r="D93" s="1045" t="s">
        <v>1560</v>
      </c>
      <c r="E93" s="1209"/>
      <c r="F93" s="1045" t="s">
        <v>5680</v>
      </c>
      <c r="G93" s="1209">
        <v>1.57</v>
      </c>
      <c r="H93" s="1209">
        <f t="shared" ref="H93:H94" si="5">(G93*424)</f>
        <v>665.68</v>
      </c>
      <c r="I93" s="1211">
        <v>40140.0</v>
      </c>
      <c r="J93" s="1554"/>
      <c r="K93" s="1209"/>
      <c r="L93" s="1209"/>
      <c r="M93" s="1209" t="s">
        <v>4194</v>
      </c>
      <c r="N93" s="883" t="s">
        <v>5488</v>
      </c>
      <c r="O93" s="1217"/>
      <c r="P93" s="1213"/>
      <c r="Q93" s="1213"/>
      <c r="R93" s="1213"/>
      <c r="S93" s="1213"/>
      <c r="T93" s="1213"/>
      <c r="U93" s="1213"/>
      <c r="V93" s="1213"/>
      <c r="W93" s="1406"/>
    </row>
    <row r="94" ht="15.75" customHeight="1">
      <c r="A94" s="1203">
        <v>1.0</v>
      </c>
      <c r="B94" s="1341" t="s">
        <v>5681</v>
      </c>
      <c r="C94" s="883" t="s">
        <v>5682</v>
      </c>
      <c r="D94" s="1045" t="s">
        <v>1560</v>
      </c>
      <c r="E94" s="1209"/>
      <c r="F94" s="1045" t="s">
        <v>5683</v>
      </c>
      <c r="G94" s="1209">
        <v>1.31</v>
      </c>
      <c r="H94" s="1209">
        <f t="shared" si="5"/>
        <v>555.44</v>
      </c>
      <c r="I94" s="1211">
        <v>36335.0</v>
      </c>
      <c r="J94" s="1554"/>
      <c r="K94" s="1209"/>
      <c r="L94" s="1209"/>
      <c r="M94" s="1045" t="s">
        <v>5684</v>
      </c>
      <c r="N94" s="883" t="s">
        <v>5488</v>
      </c>
      <c r="O94" s="1217"/>
      <c r="P94" s="1213"/>
      <c r="Q94" s="1213"/>
      <c r="R94" s="1213"/>
      <c r="S94" s="1213"/>
      <c r="T94" s="1213"/>
      <c r="U94" s="1213"/>
      <c r="V94" s="1213"/>
      <c r="W94" s="1406"/>
    </row>
    <row r="95" ht="15.75" customHeight="1">
      <c r="A95" s="1804">
        <v>1.0</v>
      </c>
      <c r="B95" s="1808" t="s">
        <v>5692</v>
      </c>
      <c r="C95" s="976" t="s">
        <v>5698</v>
      </c>
      <c r="D95" s="1595" t="s">
        <v>5699</v>
      </c>
      <c r="E95" s="1600"/>
      <c r="F95" s="1595" t="s">
        <v>5701</v>
      </c>
      <c r="G95" s="1811">
        <v>1.149</v>
      </c>
      <c r="H95" s="1600">
        <v>487.2</v>
      </c>
      <c r="I95" s="1612">
        <v>40760.0</v>
      </c>
      <c r="J95" s="1816">
        <v>1.0</v>
      </c>
      <c r="K95" s="1595" t="s">
        <v>5734</v>
      </c>
      <c r="L95" s="1595"/>
      <c r="M95" s="1595" t="s">
        <v>5737</v>
      </c>
      <c r="N95" s="1215" t="s">
        <v>3496</v>
      </c>
      <c r="O95" s="1619"/>
      <c r="P95" s="1213" t="s">
        <v>5741</v>
      </c>
      <c r="Q95" s="1213" t="s">
        <v>5742</v>
      </c>
      <c r="R95" s="1213" t="s">
        <v>5743</v>
      </c>
      <c r="S95" s="1213" t="s">
        <v>4862</v>
      </c>
      <c r="T95" s="1213"/>
      <c r="U95" s="1213"/>
      <c r="V95" s="1213"/>
      <c r="W95" s="1406"/>
    </row>
    <row r="96" ht="15.75" customHeight="1">
      <c r="A96" s="1273">
        <v>1.0</v>
      </c>
      <c r="B96" s="1353" t="s">
        <v>5747</v>
      </c>
      <c r="C96" s="609" t="s">
        <v>5749</v>
      </c>
      <c r="D96" s="1041"/>
      <c r="E96" s="1275"/>
      <c r="F96" s="1041" t="s">
        <v>5753</v>
      </c>
      <c r="G96" s="1275">
        <v>1.72</v>
      </c>
      <c r="H96" s="1275">
        <v>729.28</v>
      </c>
      <c r="I96" s="1277">
        <v>32985.0</v>
      </c>
      <c r="J96" s="1643"/>
      <c r="K96" s="1041"/>
      <c r="L96" s="1041"/>
      <c r="M96" s="1041" t="s">
        <v>5755</v>
      </c>
      <c r="N96" s="609" t="s">
        <v>5488</v>
      </c>
      <c r="O96" s="1278"/>
      <c r="P96" s="1247"/>
      <c r="Q96" s="1247"/>
      <c r="R96" s="1247"/>
      <c r="S96" s="1247"/>
      <c r="T96" s="1247" t="s">
        <v>5757</v>
      </c>
      <c r="U96" s="1247" t="s">
        <v>5758</v>
      </c>
      <c r="V96" s="1247" t="s">
        <v>5759</v>
      </c>
      <c r="W96" s="1332"/>
    </row>
    <row r="97" ht="15.75" customHeight="1">
      <c r="A97" s="1258">
        <v>1.0</v>
      </c>
      <c r="B97" s="1362" t="s">
        <v>5760</v>
      </c>
      <c r="C97" s="824" t="s">
        <v>5761</v>
      </c>
      <c r="D97" s="914" t="s">
        <v>5762</v>
      </c>
      <c r="E97" s="914" t="s">
        <v>5764</v>
      </c>
      <c r="F97" s="914" t="s">
        <v>5765</v>
      </c>
      <c r="G97" s="1265">
        <v>0.24</v>
      </c>
      <c r="H97" s="1265">
        <v>101.76</v>
      </c>
      <c r="I97" s="1269">
        <v>6330.0</v>
      </c>
      <c r="J97" s="1732"/>
      <c r="K97" s="914" t="s">
        <v>1596</v>
      </c>
      <c r="L97" s="1390">
        <v>18500.0</v>
      </c>
      <c r="M97" s="914" t="s">
        <v>5755</v>
      </c>
      <c r="N97" s="824" t="s">
        <v>5488</v>
      </c>
      <c r="O97" s="1286">
        <v>1.0</v>
      </c>
      <c r="P97" s="1222"/>
      <c r="Q97" s="1222"/>
      <c r="R97" s="1222"/>
      <c r="S97" s="1222"/>
      <c r="T97" s="1222"/>
      <c r="U97" s="1222"/>
      <c r="V97" s="1222"/>
      <c r="W97" s="1225"/>
    </row>
    <row r="98" ht="15.75" customHeight="1">
      <c r="A98" s="1203">
        <v>1.0</v>
      </c>
      <c r="B98" s="1402" t="s">
        <v>5770</v>
      </c>
      <c r="C98" s="883" t="s">
        <v>5771</v>
      </c>
      <c r="D98" s="1045" t="s">
        <v>5772</v>
      </c>
      <c r="E98" s="1045" t="s">
        <v>5773</v>
      </c>
      <c r="F98" s="1045" t="s">
        <v>5774</v>
      </c>
      <c r="G98" s="1209">
        <v>0.26</v>
      </c>
      <c r="H98" s="1209">
        <v>113.0</v>
      </c>
      <c r="I98" s="1211">
        <v>4520.0</v>
      </c>
      <c r="J98" s="1213">
        <v>1.0</v>
      </c>
      <c r="K98" s="1045" t="s">
        <v>5775</v>
      </c>
      <c r="L98" s="1045"/>
      <c r="M98" s="1045"/>
      <c r="N98" s="883"/>
      <c r="O98" s="1217"/>
      <c r="P98" s="1213"/>
      <c r="Q98" s="1213"/>
      <c r="R98" s="1213"/>
      <c r="S98" s="1213"/>
      <c r="T98" s="1213"/>
      <c r="U98" s="1213"/>
      <c r="V98" s="1213"/>
      <c r="W98" s="1406"/>
    </row>
    <row r="99" ht="15.75" customHeight="1">
      <c r="A99" s="1203">
        <v>1.0</v>
      </c>
      <c r="B99" s="1573" t="s">
        <v>4575</v>
      </c>
      <c r="C99" s="1573" t="s">
        <v>3184</v>
      </c>
      <c r="D99" s="418" t="s">
        <v>354</v>
      </c>
      <c r="E99" s="418"/>
      <c r="F99" s="1573" t="s">
        <v>5776</v>
      </c>
      <c r="G99" s="1820">
        <v>0.24</v>
      </c>
      <c r="H99" s="1823">
        <v>101.76</v>
      </c>
      <c r="I99" s="1823">
        <v>4100.0</v>
      </c>
      <c r="J99" s="1573">
        <v>1.0</v>
      </c>
      <c r="K99" s="1573" t="s">
        <v>5784</v>
      </c>
      <c r="L99" s="418"/>
      <c r="M99" s="1573" t="s">
        <v>5785</v>
      </c>
      <c r="N99" s="1827" t="s">
        <v>5786</v>
      </c>
      <c r="O99" s="1831"/>
      <c r="P99" s="1835" t="s">
        <v>5805</v>
      </c>
      <c r="Q99" s="1347">
        <v>46204.0</v>
      </c>
      <c r="R99" s="1213" t="s">
        <v>5824</v>
      </c>
      <c r="S99" s="1347">
        <v>46188.0</v>
      </c>
      <c r="T99" s="1213"/>
      <c r="U99" s="1213"/>
      <c r="V99" s="1213"/>
      <c r="W99" s="1406"/>
    </row>
    <row r="100" ht="15.75" customHeight="1">
      <c r="A100" s="1203">
        <v>1.0</v>
      </c>
      <c r="B100" s="1402" t="s">
        <v>5829</v>
      </c>
      <c r="C100" s="883" t="s">
        <v>5830</v>
      </c>
      <c r="D100" s="1045"/>
      <c r="E100" s="1045" t="s">
        <v>663</v>
      </c>
      <c r="F100" s="1045" t="s">
        <v>5832</v>
      </c>
      <c r="G100" s="1209">
        <v>1.46</v>
      </c>
      <c r="H100" s="1209">
        <v>619.04</v>
      </c>
      <c r="I100" s="1211">
        <v>34210.0</v>
      </c>
      <c r="J100" s="1554"/>
      <c r="K100" s="1045"/>
      <c r="L100" s="1045"/>
      <c r="M100" s="1045" t="s">
        <v>5837</v>
      </c>
      <c r="N100" s="1215" t="s">
        <v>3496</v>
      </c>
      <c r="O100" s="1217"/>
      <c r="P100" s="1347" t="s">
        <v>5841</v>
      </c>
      <c r="Q100" s="1213" t="s">
        <v>4449</v>
      </c>
      <c r="R100" s="1213" t="s">
        <v>5842</v>
      </c>
      <c r="S100" s="1213" t="s">
        <v>5843</v>
      </c>
      <c r="T100" s="1213"/>
      <c r="U100" s="1213"/>
      <c r="V100" s="1222"/>
      <c r="W100" s="1225"/>
    </row>
    <row r="101" ht="15.75" customHeight="1">
      <c r="A101" s="1203">
        <v>1.0</v>
      </c>
      <c r="B101" s="1402" t="s">
        <v>5845</v>
      </c>
      <c r="C101" s="883" t="s">
        <v>5506</v>
      </c>
      <c r="D101" s="1045" t="s">
        <v>698</v>
      </c>
      <c r="E101" s="1045"/>
      <c r="F101" s="1045" t="s">
        <v>5848</v>
      </c>
      <c r="G101" s="1209">
        <v>0.33</v>
      </c>
      <c r="H101" s="1209">
        <v>139.92</v>
      </c>
      <c r="I101" s="1211">
        <v>5760.0</v>
      </c>
      <c r="J101" s="1554"/>
      <c r="K101" s="1045"/>
      <c r="L101" s="1045"/>
      <c r="M101" s="1045" t="s">
        <v>5850</v>
      </c>
      <c r="N101" s="883" t="s">
        <v>5851</v>
      </c>
      <c r="O101" s="1217"/>
      <c r="P101" s="1213"/>
      <c r="Q101" s="1213"/>
      <c r="R101" s="1213"/>
      <c r="S101" s="1213"/>
      <c r="T101" s="1213"/>
      <c r="U101" s="1213"/>
      <c r="V101" s="1213"/>
      <c r="W101" s="1406"/>
    </row>
    <row r="102" ht="15.75" customHeight="1">
      <c r="A102" s="1840">
        <v>1.0</v>
      </c>
      <c r="B102" s="1844" t="s">
        <v>5880</v>
      </c>
      <c r="C102" s="1848" t="s">
        <v>5898</v>
      </c>
      <c r="D102" s="1595" t="s">
        <v>371</v>
      </c>
      <c r="E102" s="1852" t="s">
        <v>5899</v>
      </c>
      <c r="F102" s="1852" t="s">
        <v>5913</v>
      </c>
      <c r="G102" s="1856">
        <v>0.08</v>
      </c>
      <c r="H102" s="1856">
        <v>34.0</v>
      </c>
      <c r="I102" s="1858">
        <v>1360.0</v>
      </c>
      <c r="J102" s="1860"/>
      <c r="K102" s="1852" t="s">
        <v>5944</v>
      </c>
      <c r="L102" s="1852"/>
      <c r="M102" s="1852"/>
      <c r="N102" s="1865"/>
      <c r="O102" s="1869"/>
      <c r="P102" s="976" t="s">
        <v>5961</v>
      </c>
      <c r="Q102" s="1816"/>
      <c r="R102" s="1816"/>
      <c r="S102" s="1816"/>
      <c r="T102" s="1816"/>
      <c r="U102" s="1816"/>
      <c r="V102" s="1816"/>
      <c r="W102" s="1872"/>
    </row>
    <row r="103" ht="15.75" customHeight="1">
      <c r="A103" s="1875">
        <f>SUM(A80:A102)</f>
        <v>22</v>
      </c>
      <c r="B103" s="1878" t="s">
        <v>200</v>
      </c>
      <c r="C103" s="1883"/>
      <c r="D103" s="1883"/>
      <c r="E103" s="1883"/>
      <c r="F103" s="1883"/>
      <c r="G103" s="1505">
        <f t="shared" ref="G103:I103" si="6">SUM(G80:G102)</f>
        <v>19.846</v>
      </c>
      <c r="H103" s="1505">
        <f t="shared" si="6"/>
        <v>9725.02</v>
      </c>
      <c r="I103" s="1505">
        <f t="shared" si="6"/>
        <v>469687.5</v>
      </c>
      <c r="J103" s="1468">
        <f>SUM(J80:J101)</f>
        <v>4</v>
      </c>
      <c r="K103" s="1890"/>
      <c r="L103" s="1890"/>
      <c r="M103" s="1883"/>
      <c r="N103" s="1894"/>
      <c r="O103" s="1468">
        <f>SUM(O80:O97)</f>
        <v>4</v>
      </c>
      <c r="P103" s="1706"/>
      <c r="Q103" s="1469"/>
      <c r="R103" s="1469"/>
      <c r="S103" s="1469"/>
      <c r="T103" s="1469"/>
      <c r="U103" s="1469"/>
      <c r="V103" s="1469"/>
      <c r="W103" s="1473"/>
    </row>
    <row r="104" ht="15.75" customHeight="1">
      <c r="A104" s="1898"/>
      <c r="B104" s="1480" t="s">
        <v>456</v>
      </c>
      <c r="C104" s="1484"/>
      <c r="D104" s="1484"/>
      <c r="E104" s="1484"/>
      <c r="F104" s="1484"/>
      <c r="G104" s="1484"/>
      <c r="H104" s="1484"/>
      <c r="I104" s="1484"/>
      <c r="J104" s="1902"/>
      <c r="K104" s="1484"/>
      <c r="L104" s="1484"/>
      <c r="M104" s="1484"/>
      <c r="N104" s="1905"/>
      <c r="O104" s="1167"/>
      <c r="P104" s="1414"/>
      <c r="Q104" s="1414"/>
      <c r="R104" s="1414"/>
      <c r="S104" s="1414"/>
      <c r="T104" s="1414"/>
      <c r="U104" s="1414"/>
      <c r="V104" s="1414"/>
      <c r="W104" s="1415"/>
    </row>
    <row r="105" ht="15.75" customHeight="1">
      <c r="A105" s="1203">
        <v>1.0</v>
      </c>
      <c r="B105" s="1206" t="s">
        <v>3482</v>
      </c>
      <c r="C105" s="1045" t="s">
        <v>6088</v>
      </c>
      <c r="D105" s="1045" t="s">
        <v>6090</v>
      </c>
      <c r="E105" s="1045" t="s">
        <v>6091</v>
      </c>
      <c r="F105" s="1045" t="s">
        <v>6092</v>
      </c>
      <c r="G105" s="1209">
        <v>0.104</v>
      </c>
      <c r="H105" s="1209">
        <v>44.15</v>
      </c>
      <c r="I105" s="1419">
        <v>150.0</v>
      </c>
      <c r="J105" s="1427"/>
      <c r="K105" s="1209" t="s">
        <v>426</v>
      </c>
      <c r="L105" s="1209"/>
      <c r="M105" s="1045" t="s">
        <v>6096</v>
      </c>
      <c r="N105" s="883"/>
      <c r="O105" s="1217">
        <v>1.0</v>
      </c>
      <c r="P105" s="883" t="s">
        <v>6097</v>
      </c>
      <c r="Q105" s="1213"/>
      <c r="R105" s="1213"/>
      <c r="S105" s="1213"/>
      <c r="T105" s="1213"/>
      <c r="U105" s="1213"/>
      <c r="V105" s="1213"/>
      <c r="W105" s="1406"/>
    </row>
    <row r="106" ht="15.75" customHeight="1">
      <c r="A106" s="1258">
        <v>1.0</v>
      </c>
      <c r="B106" s="1261" t="s">
        <v>6098</v>
      </c>
      <c r="C106" s="914" t="s">
        <v>6099</v>
      </c>
      <c r="D106" s="914" t="s">
        <v>6090</v>
      </c>
      <c r="E106" s="1265" t="s">
        <v>6100</v>
      </c>
      <c r="F106" s="1222" t="s">
        <v>6101</v>
      </c>
      <c r="G106" s="1268">
        <v>0.167</v>
      </c>
      <c r="H106" s="1268">
        <v>71.16</v>
      </c>
      <c r="I106" s="1382">
        <v>6000.0</v>
      </c>
      <c r="J106" s="1908">
        <v>1.0</v>
      </c>
      <c r="K106" s="914" t="s">
        <v>6102</v>
      </c>
      <c r="L106" s="914"/>
      <c r="M106" s="914" t="s">
        <v>6060</v>
      </c>
      <c r="N106" s="824"/>
      <c r="O106" s="1286"/>
      <c r="P106" s="824" t="s">
        <v>6103</v>
      </c>
      <c r="Q106" s="1222"/>
      <c r="R106" s="1222"/>
      <c r="S106" s="1222"/>
      <c r="T106" s="1222"/>
      <c r="U106" s="1222"/>
      <c r="V106" s="1222"/>
      <c r="W106" s="1225"/>
    </row>
    <row r="107" ht="15.75" customHeight="1">
      <c r="A107" s="1258">
        <v>1.0</v>
      </c>
      <c r="B107" s="1261" t="s">
        <v>6104</v>
      </c>
      <c r="C107" s="914" t="s">
        <v>3885</v>
      </c>
      <c r="D107" s="1225"/>
      <c r="E107" s="1225" t="s">
        <v>557</v>
      </c>
      <c r="F107" s="1222" t="s">
        <v>6105</v>
      </c>
      <c r="G107" s="1268">
        <v>0.367</v>
      </c>
      <c r="H107" s="1268">
        <v>156.0</v>
      </c>
      <c r="I107" s="1382">
        <v>7800.0</v>
      </c>
      <c r="J107" s="1908"/>
      <c r="K107" s="1265"/>
      <c r="L107" s="1265"/>
      <c r="M107" s="1289" t="s">
        <v>6106</v>
      </c>
      <c r="N107" s="824"/>
      <c r="O107" s="1286"/>
      <c r="P107" s="824" t="s">
        <v>6107</v>
      </c>
      <c r="Q107" s="1222"/>
      <c r="R107" s="1222"/>
      <c r="S107" s="1222"/>
      <c r="T107" s="1222"/>
      <c r="U107" s="1222"/>
      <c r="V107" s="1222"/>
      <c r="W107" s="1225"/>
    </row>
    <row r="108" ht="15.75" customHeight="1">
      <c r="A108" s="1258">
        <v>1.0</v>
      </c>
      <c r="B108" s="1261" t="s">
        <v>6108</v>
      </c>
      <c r="C108" s="914" t="s">
        <v>6109</v>
      </c>
      <c r="D108" s="914" t="s">
        <v>6110</v>
      </c>
      <c r="E108" s="1131" t="s">
        <v>6111</v>
      </c>
      <c r="F108" s="1265" t="s">
        <v>6112</v>
      </c>
      <c r="G108" s="1265">
        <v>0.0</v>
      </c>
      <c r="H108" s="1265">
        <v>0.0</v>
      </c>
      <c r="I108" s="1382">
        <v>0.0</v>
      </c>
      <c r="J108" s="1908"/>
      <c r="K108" s="1225"/>
      <c r="L108" s="1225"/>
      <c r="M108" s="914" t="s">
        <v>6060</v>
      </c>
      <c r="N108" s="824"/>
      <c r="O108" s="1286"/>
      <c r="P108" s="824" t="s">
        <v>6113</v>
      </c>
      <c r="Q108" s="1222"/>
      <c r="R108" s="1222"/>
      <c r="S108" s="1222"/>
      <c r="T108" s="1222"/>
      <c r="U108" s="1222"/>
      <c r="V108" s="1222"/>
      <c r="W108" s="1225"/>
    </row>
    <row r="109" ht="15.75" customHeight="1">
      <c r="A109" s="1909">
        <v>1.0</v>
      </c>
      <c r="B109" s="1910" t="s">
        <v>6114</v>
      </c>
      <c r="C109" s="1911" t="s">
        <v>6115</v>
      </c>
      <c r="D109" s="914" t="s">
        <v>1560</v>
      </c>
      <c r="E109" s="1225" t="s">
        <v>557</v>
      </c>
      <c r="F109" s="1131" t="s">
        <v>6116</v>
      </c>
      <c r="G109" s="1268">
        <v>0.169</v>
      </c>
      <c r="H109" s="1269">
        <v>72.0</v>
      </c>
      <c r="I109" s="1366">
        <v>6480.0</v>
      </c>
      <c r="J109" s="1908"/>
      <c r="K109" s="1225"/>
      <c r="L109" s="1225"/>
      <c r="M109" s="914" t="s">
        <v>6060</v>
      </c>
      <c r="N109" s="1215" t="s">
        <v>3496</v>
      </c>
      <c r="O109" s="1286"/>
      <c r="P109" s="824" t="s">
        <v>6138</v>
      </c>
      <c r="Q109" s="1736">
        <v>46204.0</v>
      </c>
      <c r="R109" s="1222" t="s">
        <v>6140</v>
      </c>
      <c r="S109" s="1736">
        <v>46188.0</v>
      </c>
      <c r="T109" s="1222"/>
      <c r="U109" s="1222"/>
      <c r="V109" s="1222"/>
      <c r="W109" s="1225"/>
    </row>
    <row r="110" ht="15.75" customHeight="1">
      <c r="A110" s="1922">
        <v>1.0</v>
      </c>
      <c r="B110" s="1926" t="s">
        <v>6141</v>
      </c>
      <c r="C110" s="914" t="s">
        <v>6149</v>
      </c>
      <c r="D110" s="914" t="s">
        <v>1560</v>
      </c>
      <c r="E110" s="1929" t="s">
        <v>557</v>
      </c>
      <c r="F110" s="1265" t="s">
        <v>6162</v>
      </c>
      <c r="G110" s="1268">
        <v>0.998</v>
      </c>
      <c r="H110" s="1268">
        <v>424.0</v>
      </c>
      <c r="I110" s="1366">
        <v>21166.5</v>
      </c>
      <c r="J110" s="1908"/>
      <c r="K110" s="1225"/>
      <c r="L110" s="1225"/>
      <c r="M110" s="914" t="s">
        <v>6060</v>
      </c>
      <c r="N110" s="824"/>
      <c r="O110" s="1286"/>
      <c r="P110" s="824" t="s">
        <v>6164</v>
      </c>
      <c r="Q110" s="1222"/>
      <c r="R110" s="1222"/>
      <c r="S110" s="1222"/>
      <c r="T110" s="1222"/>
      <c r="U110" s="1222"/>
      <c r="V110" s="1222"/>
      <c r="W110" s="1225"/>
    </row>
    <row r="111" ht="15.75" customHeight="1">
      <c r="A111" s="1931">
        <v>1.0</v>
      </c>
      <c r="B111" s="1934" t="s">
        <v>6168</v>
      </c>
      <c r="C111" s="1937" t="s">
        <v>6177</v>
      </c>
      <c r="D111" s="1940" t="s">
        <v>1560</v>
      </c>
      <c r="E111" s="1943" t="s">
        <v>557</v>
      </c>
      <c r="F111" s="1947" t="s">
        <v>6196</v>
      </c>
      <c r="G111" s="1951">
        <v>0.264</v>
      </c>
      <c r="H111" s="1954">
        <v>112.0</v>
      </c>
      <c r="I111" s="1957">
        <v>11200.0</v>
      </c>
      <c r="J111" s="1961"/>
      <c r="K111" s="1661"/>
      <c r="L111" s="1661"/>
      <c r="M111" s="1940" t="s">
        <v>6060</v>
      </c>
      <c r="N111" s="609"/>
      <c r="O111" s="1965"/>
      <c r="P111" s="609" t="s">
        <v>6216</v>
      </c>
      <c r="Q111" s="1247" t="s">
        <v>4941</v>
      </c>
      <c r="R111" s="1247" t="s">
        <v>4942</v>
      </c>
      <c r="S111" s="1247" t="s">
        <v>4814</v>
      </c>
      <c r="T111" s="1247" t="s">
        <v>3867</v>
      </c>
      <c r="U111" s="1247" t="s">
        <v>6220</v>
      </c>
      <c r="V111" s="1247" t="s">
        <v>4814</v>
      </c>
      <c r="W111" s="1332"/>
    </row>
    <row r="112" ht="15.75" customHeight="1">
      <c r="A112" s="1967">
        <v>1.0</v>
      </c>
      <c r="B112" s="1968" t="s">
        <v>5563</v>
      </c>
      <c r="C112" s="1045" t="s">
        <v>6250</v>
      </c>
      <c r="D112" s="1045" t="s">
        <v>1560</v>
      </c>
      <c r="E112" s="1971"/>
      <c r="F112" s="1209" t="s">
        <v>6265</v>
      </c>
      <c r="G112" s="1974">
        <v>3.492</v>
      </c>
      <c r="H112" s="1211">
        <v>1480.72</v>
      </c>
      <c r="I112" s="1343">
        <v>148072.0</v>
      </c>
      <c r="J112" s="1932">
        <v>1.0</v>
      </c>
      <c r="K112" s="1976" t="s">
        <v>6278</v>
      </c>
      <c r="L112" s="1976"/>
      <c r="M112" s="1045" t="s">
        <v>6279</v>
      </c>
      <c r="N112" s="1215" t="s">
        <v>3496</v>
      </c>
      <c r="O112" s="1217"/>
      <c r="P112" s="1242" t="s">
        <v>6280</v>
      </c>
      <c r="Q112" s="1242" t="s">
        <v>6281</v>
      </c>
      <c r="R112" s="1213" t="s">
        <v>6282</v>
      </c>
      <c r="S112" s="883" t="s">
        <v>6283</v>
      </c>
      <c r="T112" s="1213"/>
      <c r="U112" s="1213"/>
      <c r="V112" s="1213"/>
      <c r="W112" s="1045" t="s">
        <v>6284</v>
      </c>
    </row>
    <row r="113" ht="15.75" customHeight="1">
      <c r="A113" s="1978">
        <v>1.0</v>
      </c>
      <c r="B113" s="1968" t="s">
        <v>5563</v>
      </c>
      <c r="C113" s="1045" t="s">
        <v>6287</v>
      </c>
      <c r="D113" s="1045" t="s">
        <v>1560</v>
      </c>
      <c r="E113" s="1979"/>
      <c r="F113" s="1209" t="s">
        <v>6292</v>
      </c>
      <c r="G113" s="1982">
        <v>0.769</v>
      </c>
      <c r="H113" s="1612">
        <v>326.0</v>
      </c>
      <c r="I113" s="1986">
        <v>11410.0</v>
      </c>
      <c r="J113" s="1992">
        <v>1.0</v>
      </c>
      <c r="K113" s="1996" t="s">
        <v>6328</v>
      </c>
      <c r="L113" s="1996"/>
      <c r="M113" s="1595" t="s">
        <v>6329</v>
      </c>
      <c r="N113" s="2000"/>
      <c r="O113" s="1619"/>
      <c r="P113" s="883" t="s">
        <v>6333</v>
      </c>
      <c r="Q113" s="1213" t="s">
        <v>6334</v>
      </c>
      <c r="R113" s="1213"/>
      <c r="S113" s="1213"/>
      <c r="T113" s="1213"/>
      <c r="U113" s="1213"/>
      <c r="V113" s="1213"/>
      <c r="W113" s="1045" t="s">
        <v>6284</v>
      </c>
    </row>
    <row r="114" ht="15.75" customHeight="1">
      <c r="A114" s="1588">
        <v>1.0</v>
      </c>
      <c r="B114" s="1206" t="s">
        <v>6336</v>
      </c>
      <c r="C114" s="1045" t="s">
        <v>6337</v>
      </c>
      <c r="D114" s="1045" t="s">
        <v>1560</v>
      </c>
      <c r="E114" s="976" t="s">
        <v>6338</v>
      </c>
      <c r="F114" s="1600" t="s">
        <v>6339</v>
      </c>
      <c r="G114" s="1982">
        <v>0.144</v>
      </c>
      <c r="H114" s="1612">
        <v>61.08</v>
      </c>
      <c r="I114" s="1986">
        <v>2748.6</v>
      </c>
      <c r="J114" s="1992">
        <v>1.0</v>
      </c>
      <c r="K114" s="1996" t="s">
        <v>6340</v>
      </c>
      <c r="L114" s="2005"/>
      <c r="M114" s="1045" t="s">
        <v>6344</v>
      </c>
      <c r="N114" s="2000"/>
      <c r="O114" s="1619"/>
      <c r="P114" s="883" t="s">
        <v>6345</v>
      </c>
      <c r="Q114" s="1213" t="s">
        <v>6334</v>
      </c>
      <c r="R114" s="1213"/>
      <c r="S114" s="1213"/>
      <c r="T114" s="1213"/>
      <c r="U114" s="1213"/>
      <c r="V114" s="1213"/>
      <c r="W114" s="1045" t="s">
        <v>6284</v>
      </c>
    </row>
    <row r="115" ht="15.75" customHeight="1">
      <c r="A115" s="2009">
        <v>1.0</v>
      </c>
      <c r="B115" s="1274" t="s">
        <v>6358</v>
      </c>
      <c r="C115" s="1041" t="s">
        <v>6359</v>
      </c>
      <c r="D115" s="1041" t="s">
        <v>6360</v>
      </c>
      <c r="E115" s="2014"/>
      <c r="F115" s="1320" t="s">
        <v>6381</v>
      </c>
      <c r="G115" s="2019">
        <v>4.64</v>
      </c>
      <c r="H115" s="1325">
        <v>1965.66</v>
      </c>
      <c r="I115" s="2024">
        <v>98283.0</v>
      </c>
      <c r="J115" s="2028"/>
      <c r="K115" s="2031"/>
      <c r="L115" s="2035"/>
      <c r="M115" s="1940" t="s">
        <v>6060</v>
      </c>
      <c r="N115" s="2039"/>
      <c r="O115" s="1296"/>
      <c r="P115" s="609" t="s">
        <v>6216</v>
      </c>
      <c r="Q115" s="1248" t="s">
        <v>6281</v>
      </c>
      <c r="R115" s="609" t="s">
        <v>6435</v>
      </c>
      <c r="S115" s="1248" t="s">
        <v>6436</v>
      </c>
      <c r="T115" s="1247" t="s">
        <v>6437</v>
      </c>
      <c r="U115" s="1247" t="s">
        <v>6438</v>
      </c>
      <c r="V115" s="1247" t="s">
        <v>6439</v>
      </c>
      <c r="W115" s="1332"/>
    </row>
    <row r="116" ht="15.75" customHeight="1">
      <c r="A116" s="1588">
        <v>1.0</v>
      </c>
      <c r="B116" s="1206" t="s">
        <v>6441</v>
      </c>
      <c r="C116" s="1209" t="s">
        <v>6442</v>
      </c>
      <c r="D116" s="1045" t="s">
        <v>1560</v>
      </c>
      <c r="E116" s="2044" t="s">
        <v>6443</v>
      </c>
      <c r="F116" s="1209" t="s">
        <v>6445</v>
      </c>
      <c r="G116" s="1982">
        <v>0.121</v>
      </c>
      <c r="H116" s="1612">
        <v>51.33</v>
      </c>
      <c r="I116" s="1986">
        <v>2566.5</v>
      </c>
      <c r="J116" s="1992">
        <v>1.0</v>
      </c>
      <c r="K116" s="1996" t="s">
        <v>6446</v>
      </c>
      <c r="L116" s="2005"/>
      <c r="M116" s="1917" t="s">
        <v>6060</v>
      </c>
      <c r="N116" s="2000"/>
      <c r="O116" s="1619"/>
      <c r="P116" s="883" t="s">
        <v>6447</v>
      </c>
      <c r="Q116" s="1213" t="s">
        <v>6334</v>
      </c>
      <c r="R116" s="1213"/>
      <c r="S116" s="1213"/>
      <c r="T116" s="1213"/>
      <c r="U116" s="1213"/>
      <c r="V116" s="1213"/>
      <c r="W116" s="1821" t="s">
        <v>6284</v>
      </c>
    </row>
    <row r="117" ht="15.75" customHeight="1">
      <c r="A117" s="1588">
        <v>1.0</v>
      </c>
      <c r="B117" s="1206" t="s">
        <v>6441</v>
      </c>
      <c r="C117" s="1209" t="s">
        <v>6448</v>
      </c>
      <c r="D117" s="1045" t="s">
        <v>1560</v>
      </c>
      <c r="E117" s="2044" t="s">
        <v>6449</v>
      </c>
      <c r="F117" s="1209" t="s">
        <v>6450</v>
      </c>
      <c r="G117" s="1982">
        <v>2.594</v>
      </c>
      <c r="H117" s="1612">
        <v>1100.0</v>
      </c>
      <c r="I117" s="1986">
        <v>55000.0</v>
      </c>
      <c r="J117" s="1992">
        <v>1.0</v>
      </c>
      <c r="K117" s="1996" t="s">
        <v>6453</v>
      </c>
      <c r="L117" s="1996"/>
      <c r="M117" s="1045" t="s">
        <v>6454</v>
      </c>
      <c r="N117" s="2000"/>
      <c r="O117" s="1619"/>
      <c r="P117" s="883" t="s">
        <v>6455</v>
      </c>
      <c r="Q117" s="1213" t="s">
        <v>6334</v>
      </c>
      <c r="R117" s="1213"/>
      <c r="S117" s="1213"/>
      <c r="T117" s="1213"/>
      <c r="U117" s="1213"/>
      <c r="V117" s="1213"/>
      <c r="W117" s="1821" t="s">
        <v>6284</v>
      </c>
    </row>
    <row r="118" ht="15.75" customHeight="1">
      <c r="A118" s="1588">
        <v>1.0</v>
      </c>
      <c r="B118" s="1206" t="s">
        <v>6456</v>
      </c>
      <c r="C118" s="1045" t="s">
        <v>6457</v>
      </c>
      <c r="D118" s="1045" t="s">
        <v>1560</v>
      </c>
      <c r="E118" s="2050" t="s">
        <v>6458</v>
      </c>
      <c r="F118" s="1600" t="s">
        <v>6459</v>
      </c>
      <c r="G118" s="1982">
        <v>0.274</v>
      </c>
      <c r="H118" s="1612">
        <v>116.66</v>
      </c>
      <c r="I118" s="1986">
        <v>4083.1</v>
      </c>
      <c r="J118" s="1992"/>
      <c r="K118" s="2052" t="s">
        <v>6460</v>
      </c>
      <c r="L118" s="2052"/>
      <c r="M118" s="1458" t="s">
        <v>6461</v>
      </c>
      <c r="N118" s="2000"/>
      <c r="O118" s="1619">
        <v>1.0</v>
      </c>
      <c r="P118" s="883" t="s">
        <v>6462</v>
      </c>
      <c r="Q118" s="1213" t="s">
        <v>6334</v>
      </c>
      <c r="R118" s="1213"/>
      <c r="S118" s="1213"/>
      <c r="T118" s="1213"/>
      <c r="U118" s="1213"/>
      <c r="V118" s="1213"/>
      <c r="W118" s="1821" t="s">
        <v>6284</v>
      </c>
    </row>
    <row r="119" ht="15.75" customHeight="1">
      <c r="A119" s="1978">
        <v>1.0</v>
      </c>
      <c r="B119" s="2057" t="s">
        <v>6463</v>
      </c>
      <c r="C119" s="1600" t="s">
        <v>3411</v>
      </c>
      <c r="D119" s="1045" t="s">
        <v>6110</v>
      </c>
      <c r="E119" s="2044" t="s">
        <v>6465</v>
      </c>
      <c r="F119" s="1595" t="s">
        <v>6466</v>
      </c>
      <c r="G119" s="1982">
        <v>0.283</v>
      </c>
      <c r="H119" s="1612">
        <v>119.99</v>
      </c>
      <c r="I119" s="1986">
        <v>4199.65</v>
      </c>
      <c r="J119" s="1992"/>
      <c r="K119" s="2052" t="s">
        <v>6467</v>
      </c>
      <c r="L119" s="2052"/>
      <c r="M119" s="1595" t="s">
        <v>6468</v>
      </c>
      <c r="N119" s="991"/>
      <c r="O119" s="2062">
        <v>1.0</v>
      </c>
      <c r="P119" s="991" t="s">
        <v>6469</v>
      </c>
      <c r="Q119" s="1213"/>
      <c r="R119" s="1213"/>
      <c r="S119" s="1213"/>
      <c r="T119" s="1213"/>
      <c r="U119" s="1213"/>
      <c r="V119" s="1213"/>
      <c r="W119" s="1821"/>
    </row>
    <row r="120" ht="15.75" customHeight="1">
      <c r="A120" s="1978">
        <v>1.0</v>
      </c>
      <c r="B120" s="2057" t="s">
        <v>6470</v>
      </c>
      <c r="C120" s="1595" t="s">
        <v>6471</v>
      </c>
      <c r="D120" s="1595"/>
      <c r="E120" s="2044" t="s">
        <v>557</v>
      </c>
      <c r="F120" s="1595" t="s">
        <v>6105</v>
      </c>
      <c r="G120" s="1982">
        <v>0.882</v>
      </c>
      <c r="H120" s="1612">
        <v>374.0</v>
      </c>
      <c r="I120" s="1986">
        <v>18700.0</v>
      </c>
      <c r="J120" s="1992"/>
      <c r="K120" s="2052"/>
      <c r="L120" s="2052"/>
      <c r="M120" s="1595" t="s">
        <v>6474</v>
      </c>
      <c r="N120" s="991"/>
      <c r="O120" s="2062"/>
      <c r="P120" s="991" t="s">
        <v>6475</v>
      </c>
      <c r="Q120" s="1213"/>
      <c r="R120" s="1213"/>
      <c r="S120" s="1213"/>
      <c r="T120" s="1213"/>
      <c r="U120" s="1213"/>
      <c r="V120" s="1213"/>
      <c r="W120" s="1821"/>
    </row>
    <row r="121" ht="15.75" customHeight="1">
      <c r="A121" s="1978">
        <v>1.0</v>
      </c>
      <c r="B121" s="2057" t="s">
        <v>6476</v>
      </c>
      <c r="C121" s="1595" t="s">
        <v>6471</v>
      </c>
      <c r="D121" s="1595"/>
      <c r="E121" s="2044" t="s">
        <v>6477</v>
      </c>
      <c r="F121" s="1595" t="s">
        <v>6478</v>
      </c>
      <c r="G121" s="1982">
        <v>0.817</v>
      </c>
      <c r="H121" s="1612">
        <v>346.5</v>
      </c>
      <c r="I121" s="1986">
        <v>34650.0</v>
      </c>
      <c r="J121" s="1992">
        <v>1.0</v>
      </c>
      <c r="K121" s="2052" t="s">
        <v>6479</v>
      </c>
      <c r="L121" s="2052"/>
      <c r="M121" s="1595" t="s">
        <v>6474</v>
      </c>
      <c r="N121" s="991"/>
      <c r="O121" s="2062"/>
      <c r="P121" s="991" t="s">
        <v>6480</v>
      </c>
      <c r="Q121" s="1213"/>
      <c r="R121" s="1213"/>
      <c r="S121" s="1213"/>
      <c r="T121" s="1213"/>
      <c r="U121" s="1213"/>
      <c r="V121" s="1213"/>
      <c r="W121" s="1821" t="s">
        <v>6284</v>
      </c>
    </row>
    <row r="122" ht="15.75" customHeight="1">
      <c r="A122" s="1203">
        <v>1.0</v>
      </c>
      <c r="B122" s="1341" t="s">
        <v>5083</v>
      </c>
      <c r="C122" s="1045" t="s">
        <v>6298</v>
      </c>
      <c r="D122" s="1045"/>
      <c r="E122" s="331" t="s">
        <v>6481</v>
      </c>
      <c r="F122" s="1045" t="s">
        <v>6339</v>
      </c>
      <c r="G122" s="1974">
        <v>0.236</v>
      </c>
      <c r="H122" s="1211">
        <v>100.1</v>
      </c>
      <c r="I122" s="1343">
        <v>3503.5</v>
      </c>
      <c r="J122" s="1932"/>
      <c r="K122" s="1456" t="s">
        <v>1596</v>
      </c>
      <c r="L122" s="2052"/>
      <c r="M122" s="1595" t="s">
        <v>6474</v>
      </c>
      <c r="N122" s="883"/>
      <c r="O122" s="1560">
        <v>1.0</v>
      </c>
      <c r="P122" s="883" t="s">
        <v>6482</v>
      </c>
      <c r="Q122" s="1213"/>
      <c r="R122" s="1213"/>
      <c r="S122" s="1213"/>
      <c r="T122" s="1213"/>
      <c r="U122" s="1213"/>
      <c r="V122" s="1213"/>
      <c r="W122" s="1821" t="s">
        <v>6284</v>
      </c>
    </row>
    <row r="123" ht="15.75" customHeight="1">
      <c r="A123" s="1203">
        <v>1.0</v>
      </c>
      <c r="B123" s="1341" t="s">
        <v>6484</v>
      </c>
      <c r="C123" s="1045" t="s">
        <v>3885</v>
      </c>
      <c r="D123" s="1045"/>
      <c r="E123" s="331" t="s">
        <v>6485</v>
      </c>
      <c r="F123" s="1045" t="s">
        <v>6486</v>
      </c>
      <c r="G123" s="1974">
        <v>0.762</v>
      </c>
      <c r="H123" s="1211">
        <v>323.0</v>
      </c>
      <c r="I123" s="1343">
        <v>14535.0</v>
      </c>
      <c r="J123" s="1932"/>
      <c r="K123" s="2066"/>
      <c r="L123" s="2069"/>
      <c r="M123" s="1595" t="s">
        <v>6474</v>
      </c>
      <c r="N123" s="883"/>
      <c r="O123" s="1560"/>
      <c r="P123" s="883" t="s">
        <v>6488</v>
      </c>
      <c r="Q123" s="1213"/>
      <c r="R123" s="1213"/>
      <c r="S123" s="1213"/>
      <c r="T123" s="1213"/>
      <c r="U123" s="1213"/>
      <c r="V123" s="1213"/>
      <c r="W123" s="1821" t="s">
        <v>6284</v>
      </c>
    </row>
    <row r="124" ht="15.75" customHeight="1">
      <c r="A124" s="1203">
        <v>1.0</v>
      </c>
      <c r="B124" s="1402" t="s">
        <v>6489</v>
      </c>
      <c r="C124" s="1045" t="s">
        <v>3944</v>
      </c>
      <c r="D124" s="1045"/>
      <c r="E124" s="331" t="s">
        <v>6490</v>
      </c>
      <c r="F124" s="1045" t="s">
        <v>6491</v>
      </c>
      <c r="G124" s="1974">
        <v>0.22</v>
      </c>
      <c r="H124" s="1211">
        <v>93.33</v>
      </c>
      <c r="I124" s="1343">
        <v>3720.0</v>
      </c>
      <c r="J124" s="1932">
        <v>1.0</v>
      </c>
      <c r="K124" s="1456" t="s">
        <v>6492</v>
      </c>
      <c r="L124" s="1456"/>
      <c r="M124" s="1045" t="s">
        <v>6493</v>
      </c>
      <c r="N124" s="883"/>
      <c r="O124" s="1560"/>
      <c r="P124" s="883" t="s">
        <v>6494</v>
      </c>
      <c r="Q124" s="1213"/>
      <c r="R124" s="1213"/>
      <c r="S124" s="1213"/>
      <c r="T124" s="1213"/>
      <c r="U124" s="1213"/>
      <c r="V124" s="1213"/>
      <c r="W124" s="1821" t="s">
        <v>6284</v>
      </c>
    </row>
    <row r="125" ht="15.75" customHeight="1">
      <c r="A125" s="1203">
        <v>1.0</v>
      </c>
      <c r="B125" s="1402" t="s">
        <v>4542</v>
      </c>
      <c r="C125" s="1045" t="s">
        <v>6495</v>
      </c>
      <c r="D125" s="1045"/>
      <c r="E125" s="331" t="s">
        <v>557</v>
      </c>
      <c r="F125" s="1045" t="s">
        <v>1907</v>
      </c>
      <c r="G125" s="1974">
        <v>0.4997</v>
      </c>
      <c r="H125" s="1211">
        <v>211.9</v>
      </c>
      <c r="I125" s="1343">
        <v>10595.0</v>
      </c>
      <c r="J125" s="1932"/>
      <c r="K125" s="1456"/>
      <c r="L125" s="2052"/>
      <c r="M125" s="1595" t="s">
        <v>6496</v>
      </c>
      <c r="N125" s="883"/>
      <c r="O125" s="1560"/>
      <c r="P125" s="883" t="s">
        <v>6494</v>
      </c>
      <c r="Q125" s="1213"/>
      <c r="R125" s="1213"/>
      <c r="S125" s="1213"/>
      <c r="T125" s="1213"/>
      <c r="U125" s="1213"/>
      <c r="V125" s="1213"/>
      <c r="W125" s="1821" t="s">
        <v>6497</v>
      </c>
    </row>
    <row r="126" ht="15.75" customHeight="1">
      <c r="A126" s="1840">
        <v>1.0</v>
      </c>
      <c r="B126" s="2073" t="s">
        <v>6498</v>
      </c>
      <c r="C126" s="2076" t="s">
        <v>3744</v>
      </c>
      <c r="D126" s="2076" t="s">
        <v>6501</v>
      </c>
      <c r="E126" s="2078" t="s">
        <v>557</v>
      </c>
      <c r="F126" s="1045" t="s">
        <v>6503</v>
      </c>
      <c r="G126" s="1974">
        <v>0.962</v>
      </c>
      <c r="H126" s="1211">
        <v>407.99</v>
      </c>
      <c r="I126" s="1343">
        <v>20399.5</v>
      </c>
      <c r="J126" s="1932"/>
      <c r="K126" s="1456"/>
      <c r="L126" s="2052"/>
      <c r="M126" s="1595" t="s">
        <v>6474</v>
      </c>
      <c r="N126" s="883"/>
      <c r="O126" s="1560"/>
      <c r="P126" s="883" t="s">
        <v>6494</v>
      </c>
      <c r="Q126" s="1213"/>
      <c r="R126" s="1213"/>
      <c r="S126" s="1213"/>
      <c r="T126" s="1213"/>
      <c r="U126" s="1213"/>
      <c r="V126" s="1213"/>
      <c r="W126" s="1821"/>
    </row>
    <row r="127" ht="15.75" customHeight="1">
      <c r="A127" s="1203">
        <v>1.0</v>
      </c>
      <c r="B127" s="1402" t="s">
        <v>6504</v>
      </c>
      <c r="C127" s="1696" t="s">
        <v>6505</v>
      </c>
      <c r="D127" s="2081"/>
      <c r="E127" s="2044" t="s">
        <v>6506</v>
      </c>
      <c r="F127" s="1852" t="s">
        <v>6507</v>
      </c>
      <c r="G127" s="2084">
        <v>0.159</v>
      </c>
      <c r="H127" s="1858">
        <v>67.66</v>
      </c>
      <c r="I127" s="2087">
        <v>3383.0</v>
      </c>
      <c r="J127" s="2090"/>
      <c r="K127" s="2091" t="s">
        <v>6509</v>
      </c>
      <c r="L127" s="2091"/>
      <c r="M127" s="1595" t="s">
        <v>6514</v>
      </c>
      <c r="N127" s="1865"/>
      <c r="O127" s="2062">
        <v>1.0</v>
      </c>
      <c r="P127" s="1865" t="s">
        <v>6515</v>
      </c>
      <c r="Q127" s="1213"/>
      <c r="R127" s="1213"/>
      <c r="S127" s="1213"/>
      <c r="T127" s="1213"/>
      <c r="U127" s="1213"/>
      <c r="V127" s="1213"/>
      <c r="W127" s="1821" t="s">
        <v>6284</v>
      </c>
    </row>
    <row r="128" ht="15.75" customHeight="1">
      <c r="A128" s="1213">
        <v>1.0</v>
      </c>
      <c r="B128" s="1402" t="s">
        <v>4575</v>
      </c>
      <c r="C128" s="1696" t="s">
        <v>3744</v>
      </c>
      <c r="D128" s="1696"/>
      <c r="E128" s="331" t="s">
        <v>557</v>
      </c>
      <c r="F128" s="1045" t="s">
        <v>6516</v>
      </c>
      <c r="G128" s="1974">
        <v>1.056</v>
      </c>
      <c r="H128" s="1419">
        <v>447.66</v>
      </c>
      <c r="I128" s="1343">
        <v>20144.7</v>
      </c>
      <c r="J128" s="1932"/>
      <c r="K128" s="1456"/>
      <c r="L128" s="1456"/>
      <c r="M128" s="1045" t="s">
        <v>6474</v>
      </c>
      <c r="N128" s="883"/>
      <c r="O128" s="1213"/>
      <c r="P128" s="883" t="s">
        <v>6517</v>
      </c>
      <c r="Q128" s="1213"/>
      <c r="R128" s="1213"/>
      <c r="S128" s="1213"/>
      <c r="T128" s="1213"/>
      <c r="U128" s="1213"/>
      <c r="V128" s="1213"/>
      <c r="W128" s="1821"/>
    </row>
    <row r="129" ht="15.75" customHeight="1">
      <c r="A129" s="1213">
        <v>1.0</v>
      </c>
      <c r="B129" s="1402" t="s">
        <v>6518</v>
      </c>
      <c r="C129" s="1696" t="s">
        <v>6519</v>
      </c>
      <c r="D129" s="1696" t="s">
        <v>1560</v>
      </c>
      <c r="E129" s="331"/>
      <c r="F129" s="1045" t="s">
        <v>6520</v>
      </c>
      <c r="G129" s="1974">
        <v>0.62</v>
      </c>
      <c r="H129" s="1419">
        <v>262.0</v>
      </c>
      <c r="I129" s="1343"/>
      <c r="J129" s="1932"/>
      <c r="K129" s="1456"/>
      <c r="L129" s="1456"/>
      <c r="M129" s="1045" t="s">
        <v>6474</v>
      </c>
      <c r="N129" s="883" t="s">
        <v>4547</v>
      </c>
      <c r="O129" s="1213"/>
      <c r="P129" s="1213"/>
      <c r="Q129" s="1213"/>
      <c r="R129" s="1213"/>
      <c r="S129" s="1213"/>
      <c r="T129" s="1213"/>
      <c r="U129" s="1213"/>
      <c r="V129" s="1213"/>
      <c r="W129" s="1406"/>
    </row>
    <row r="130" ht="15.75" customHeight="1">
      <c r="A130" s="1213">
        <v>1.0</v>
      </c>
      <c r="B130" s="1402" t="s">
        <v>6521</v>
      </c>
      <c r="C130" s="1696" t="s">
        <v>6522</v>
      </c>
      <c r="D130" s="1696" t="s">
        <v>1560</v>
      </c>
      <c r="E130" s="331" t="s">
        <v>6523</v>
      </c>
      <c r="F130" s="1045" t="s">
        <v>6524</v>
      </c>
      <c r="G130" s="1974">
        <v>0.049</v>
      </c>
      <c r="H130" s="1419">
        <v>21.0</v>
      </c>
      <c r="I130" s="1343"/>
      <c r="J130" s="1932"/>
      <c r="K130" s="2091" t="s">
        <v>6525</v>
      </c>
      <c r="L130" s="1456"/>
      <c r="M130" s="1045" t="s">
        <v>6474</v>
      </c>
      <c r="N130" s="1215" t="s">
        <v>3496</v>
      </c>
      <c r="O130" s="1213"/>
      <c r="P130" s="883" t="s">
        <v>6526</v>
      </c>
      <c r="Q130" s="1213" t="s">
        <v>4860</v>
      </c>
      <c r="R130" s="1213" t="s">
        <v>6527</v>
      </c>
      <c r="S130" s="1213" t="s">
        <v>5093</v>
      </c>
      <c r="T130" s="1213"/>
      <c r="U130" s="1213"/>
      <c r="V130" s="1213"/>
      <c r="W130" s="1406" t="s">
        <v>557</v>
      </c>
    </row>
    <row r="131" ht="15.75" customHeight="1">
      <c r="A131" s="2096">
        <f>COUNTA(B112:B130)</f>
        <v>19</v>
      </c>
      <c r="B131" s="1497" t="s">
        <v>200</v>
      </c>
      <c r="C131" s="2097"/>
      <c r="D131" s="1975"/>
      <c r="E131" s="1975"/>
      <c r="F131" s="1975"/>
      <c r="G131" s="1505">
        <f t="shared" ref="G131:J131" si="7">SUM(G105:G130)</f>
        <v>20.6487</v>
      </c>
      <c r="H131" s="2023">
        <f t="shared" si="7"/>
        <v>8755.89</v>
      </c>
      <c r="I131" s="2023">
        <f t="shared" si="7"/>
        <v>508790.05</v>
      </c>
      <c r="J131" s="1859">
        <f t="shared" si="7"/>
        <v>8</v>
      </c>
      <c r="K131" s="2023"/>
      <c r="L131" s="2023"/>
      <c r="M131" s="2023"/>
      <c r="N131" s="2029"/>
      <c r="O131" s="2025">
        <f>SUM(O105:O130)</f>
        <v>5</v>
      </c>
      <c r="P131" s="2025"/>
      <c r="Q131" s="1067"/>
      <c r="R131" s="1963"/>
      <c r="S131" s="1963"/>
      <c r="T131" s="1963"/>
      <c r="U131" s="1963"/>
      <c r="V131" s="1963"/>
      <c r="W131" s="1963"/>
    </row>
    <row r="132" ht="15.75" customHeight="1">
      <c r="A132" s="2032"/>
      <c r="B132" s="2103" t="s">
        <v>518</v>
      </c>
      <c r="C132" s="1344"/>
      <c r="D132" s="2104"/>
      <c r="E132" s="2040"/>
      <c r="F132" s="2040"/>
      <c r="G132" s="2043">
        <f t="shared" ref="G132:J132" si="8">G131+G103+G78+G42</f>
        <v>88.1727</v>
      </c>
      <c r="H132" s="2047">
        <f t="shared" si="8"/>
        <v>42363.19</v>
      </c>
      <c r="I132" s="2047">
        <f t="shared" si="8"/>
        <v>2125758.95</v>
      </c>
      <c r="J132" s="2051">
        <f t="shared" si="8"/>
        <v>25</v>
      </c>
      <c r="K132" s="2055"/>
      <c r="L132" s="2055"/>
      <c r="M132" s="2059"/>
      <c r="N132" s="2060"/>
      <c r="O132" s="2055">
        <f>O131+O103+O78+O42</f>
        <v>14</v>
      </c>
      <c r="P132" s="2055"/>
      <c r="Q132" s="2065"/>
      <c r="R132" s="1963"/>
      <c r="S132" s="1963"/>
      <c r="T132" s="1963"/>
      <c r="U132" s="1963"/>
      <c r="V132" s="1963"/>
      <c r="W132" s="1963"/>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P3:P4"/>
    <mergeCell ref="Q3:S3"/>
    <mergeCell ref="T3:V3"/>
    <mergeCell ref="W3:W4"/>
    <mergeCell ref="A1:W1"/>
    <mergeCell ref="A2:W2"/>
    <mergeCell ref="F3:I3"/>
    <mergeCell ref="J3:K3"/>
    <mergeCell ref="M3:M4"/>
    <mergeCell ref="N3:N4"/>
    <mergeCell ref="O3:O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9.13"/>
    <col customWidth="1" min="2" max="2" width="17.0"/>
    <col customWidth="1" min="3" max="3" width="26.63"/>
    <col customWidth="1" min="4" max="4" width="20.88"/>
    <col customWidth="1" min="5" max="5" width="24.75"/>
    <col customWidth="1" min="6" max="6" width="13.88"/>
    <col customWidth="1" min="7" max="7" width="9.13"/>
    <col customWidth="1" min="8" max="8" width="14.25"/>
    <col customWidth="1" min="9" max="9" width="19.13"/>
    <col customWidth="1" min="10" max="10" width="16.13"/>
    <col customWidth="1" min="11" max="13" width="13.63"/>
    <col customWidth="1" min="14" max="14" width="12.25"/>
    <col customWidth="1" min="15" max="15" width="34.75"/>
    <col customWidth="1" min="16" max="16" width="13.38"/>
    <col customWidth="1" min="17" max="17" width="12.0"/>
    <col customWidth="1" min="18" max="18" width="20.63"/>
    <col customWidth="1" min="19" max="19" width="16.0"/>
    <col customWidth="1" min="20" max="20" width="19.63"/>
    <col customWidth="1" min="21" max="21" width="18.38"/>
    <col customWidth="1" min="22" max="22" width="15.63"/>
    <col customWidth="1" min="23" max="23" width="14.88"/>
    <col customWidth="1" min="24" max="26" width="8.63"/>
  </cols>
  <sheetData>
    <row r="1">
      <c r="A1" s="1324" t="s">
        <v>916</v>
      </c>
      <c r="X1" s="749"/>
      <c r="Y1" s="749"/>
      <c r="Z1" s="749"/>
    </row>
    <row r="2">
      <c r="A2" s="1327" t="s">
        <v>4362</v>
      </c>
      <c r="B2" s="770"/>
      <c r="C2" s="770"/>
      <c r="D2" s="770"/>
      <c r="E2" s="770"/>
      <c r="F2" s="770"/>
      <c r="G2" s="770"/>
      <c r="H2" s="770"/>
      <c r="I2" s="770"/>
      <c r="J2" s="770"/>
      <c r="K2" s="770"/>
      <c r="L2" s="770"/>
      <c r="M2" s="770"/>
      <c r="N2" s="770"/>
      <c r="O2" s="770"/>
      <c r="P2" s="770"/>
      <c r="Q2" s="770"/>
      <c r="R2" s="770"/>
      <c r="S2" s="770"/>
      <c r="T2" s="770"/>
      <c r="U2" s="770"/>
      <c r="V2" s="770"/>
      <c r="W2" s="770"/>
      <c r="X2" s="749"/>
      <c r="Y2" s="749"/>
      <c r="Z2" s="749"/>
    </row>
    <row r="3" ht="23.25" customHeight="1">
      <c r="A3" s="1330" t="s">
        <v>3034</v>
      </c>
      <c r="B3" s="1333" t="s">
        <v>3037</v>
      </c>
      <c r="C3" s="1336" t="s">
        <v>954</v>
      </c>
      <c r="D3" s="1330" t="s">
        <v>962</v>
      </c>
      <c r="E3" s="1330" t="s">
        <v>3043</v>
      </c>
      <c r="F3" s="1340" t="s">
        <v>965</v>
      </c>
      <c r="G3" s="289"/>
      <c r="H3" s="289"/>
      <c r="I3" s="636"/>
      <c r="J3" s="1342" t="s">
        <v>1841</v>
      </c>
      <c r="K3" s="1346"/>
      <c r="L3" s="1349" t="s">
        <v>3046</v>
      </c>
      <c r="M3" s="1351" t="s">
        <v>3049</v>
      </c>
      <c r="N3" s="1356" t="s">
        <v>22</v>
      </c>
      <c r="O3" s="1085"/>
      <c r="P3" s="1360" t="s">
        <v>3065</v>
      </c>
      <c r="Q3" s="1363" t="s">
        <v>4464</v>
      </c>
      <c r="R3" s="1365" t="s">
        <v>4505</v>
      </c>
      <c r="S3" s="289"/>
      <c r="T3" s="636"/>
      <c r="U3" s="1365" t="s">
        <v>3070</v>
      </c>
      <c r="V3" s="289"/>
      <c r="W3" s="636"/>
      <c r="X3" s="749"/>
      <c r="Y3" s="749"/>
      <c r="Z3" s="749"/>
    </row>
    <row r="4">
      <c r="A4" s="1368"/>
      <c r="B4" s="1371"/>
      <c r="C4" s="779"/>
      <c r="D4" s="1368"/>
      <c r="E4" s="1368"/>
      <c r="F4" s="1349" t="s">
        <v>3124</v>
      </c>
      <c r="G4" s="1375" t="s">
        <v>3126</v>
      </c>
      <c r="H4" s="1378" t="s">
        <v>3140</v>
      </c>
      <c r="I4" s="1381" t="s">
        <v>986</v>
      </c>
      <c r="J4" s="1384"/>
      <c r="K4" s="1385"/>
      <c r="L4" s="1386"/>
      <c r="M4" s="437"/>
      <c r="N4" s="1388"/>
      <c r="O4" s="1389"/>
      <c r="P4" s="779"/>
      <c r="Q4" s="779"/>
      <c r="R4" s="1392" t="s">
        <v>3193</v>
      </c>
      <c r="S4" s="1393" t="s">
        <v>3213</v>
      </c>
      <c r="T4" s="1396" t="s">
        <v>3217</v>
      </c>
      <c r="U4" s="1392" t="s">
        <v>3193</v>
      </c>
      <c r="V4" s="1393" t="s">
        <v>3213</v>
      </c>
      <c r="W4" s="1396" t="s">
        <v>3217</v>
      </c>
      <c r="X4" s="749"/>
      <c r="Y4" s="749"/>
      <c r="Z4" s="749"/>
    </row>
    <row r="5">
      <c r="A5" s="1398"/>
      <c r="B5" s="1400" t="s">
        <v>27</v>
      </c>
      <c r="C5" s="1401"/>
      <c r="D5" s="1401"/>
      <c r="E5" s="1401"/>
      <c r="F5" s="1403"/>
      <c r="G5" s="1405"/>
      <c r="H5" s="1401"/>
      <c r="I5" s="1405"/>
      <c r="J5" s="1407" t="s">
        <v>4559</v>
      </c>
      <c r="K5" s="1401" t="s">
        <v>4573</v>
      </c>
      <c r="L5" s="1401"/>
      <c r="M5" s="1401"/>
      <c r="N5" s="1409"/>
      <c r="O5" s="1407"/>
      <c r="P5" s="1411"/>
      <c r="Q5" s="1414"/>
      <c r="R5" s="1415"/>
      <c r="S5" s="1415"/>
      <c r="T5" s="1415"/>
      <c r="U5" s="1415"/>
      <c r="V5" s="1415"/>
      <c r="W5" s="1415"/>
      <c r="X5" s="749"/>
      <c r="Y5" s="749"/>
      <c r="Z5" s="749"/>
    </row>
    <row r="6">
      <c r="A6" s="1213">
        <v>1.0</v>
      </c>
      <c r="B6" s="1206" t="s">
        <v>4585</v>
      </c>
      <c r="C6" s="1209" t="s">
        <v>4586</v>
      </c>
      <c r="D6" s="1209" t="s">
        <v>4587</v>
      </c>
      <c r="E6" s="1418" t="s">
        <v>4588</v>
      </c>
      <c r="F6" s="883" t="s">
        <v>4593</v>
      </c>
      <c r="G6" s="1211">
        <v>0.7</v>
      </c>
      <c r="H6" s="1419">
        <v>298.66</v>
      </c>
      <c r="I6" s="1211">
        <v>13440.0</v>
      </c>
      <c r="J6" s="1045" t="s">
        <v>4597</v>
      </c>
      <c r="K6" s="1045"/>
      <c r="L6" s="1421">
        <v>30000.0</v>
      </c>
      <c r="M6" s="883" t="s">
        <v>4587</v>
      </c>
      <c r="N6" s="883"/>
      <c r="O6" s="1424"/>
      <c r="P6" s="1213" t="s">
        <v>4598</v>
      </c>
      <c r="Q6" s="1213"/>
      <c r="R6" s="1406"/>
      <c r="S6" s="1406"/>
      <c r="T6" s="1406"/>
      <c r="U6" s="1406"/>
      <c r="V6" s="1406"/>
      <c r="W6" s="1406"/>
      <c r="X6" s="749"/>
      <c r="Y6" s="749"/>
      <c r="Z6" s="749"/>
    </row>
    <row r="7">
      <c r="A7" s="1213">
        <v>1.0</v>
      </c>
      <c r="B7" s="1206" t="s">
        <v>4599</v>
      </c>
      <c r="C7" s="1209" t="s">
        <v>4600</v>
      </c>
      <c r="D7" s="883" t="s">
        <v>4601</v>
      </c>
      <c r="E7" s="1237" t="s">
        <v>557</v>
      </c>
      <c r="F7" s="883" t="s">
        <v>4602</v>
      </c>
      <c r="G7" s="1211">
        <v>1.03</v>
      </c>
      <c r="H7" s="1419">
        <v>438.0</v>
      </c>
      <c r="I7" s="1211">
        <v>19710.0</v>
      </c>
      <c r="J7" s="1427"/>
      <c r="K7" s="1209"/>
      <c r="L7" s="1209"/>
      <c r="M7" s="883" t="s">
        <v>4603</v>
      </c>
      <c r="N7" s="883"/>
      <c r="O7" s="1431" t="s">
        <v>3496</v>
      </c>
      <c r="P7" s="883" t="s">
        <v>4604</v>
      </c>
      <c r="Q7" s="1213"/>
      <c r="R7" s="1406" t="s">
        <v>4605</v>
      </c>
      <c r="S7" s="1406" t="s">
        <v>4606</v>
      </c>
      <c r="T7" s="1406" t="s">
        <v>4453</v>
      </c>
      <c r="U7" s="1406"/>
      <c r="V7" s="1406"/>
      <c r="W7" s="1406"/>
      <c r="X7" s="749"/>
      <c r="Y7" s="749"/>
      <c r="Z7" s="749"/>
    </row>
    <row r="8">
      <c r="A8" s="1213">
        <v>1.0</v>
      </c>
      <c r="B8" s="1206" t="s">
        <v>4607</v>
      </c>
      <c r="C8" s="1209" t="s">
        <v>4600</v>
      </c>
      <c r="D8" s="883" t="s">
        <v>4601</v>
      </c>
      <c r="E8" s="1237" t="s">
        <v>557</v>
      </c>
      <c r="F8" s="1406"/>
      <c r="G8" s="1435"/>
      <c r="H8" s="1406"/>
      <c r="I8" s="1406"/>
      <c r="J8" s="1427"/>
      <c r="K8" s="1439" t="s">
        <v>4608</v>
      </c>
      <c r="L8" s="1209"/>
      <c r="M8" s="883" t="s">
        <v>4603</v>
      </c>
      <c r="N8" s="883"/>
      <c r="O8" s="1431" t="s">
        <v>3496</v>
      </c>
      <c r="P8" s="883" t="s">
        <v>4604</v>
      </c>
      <c r="Q8" s="1213"/>
      <c r="R8" s="1406" t="s">
        <v>4605</v>
      </c>
      <c r="S8" s="1406" t="s">
        <v>4609</v>
      </c>
      <c r="T8" s="1406" t="s">
        <v>4453</v>
      </c>
      <c r="U8" s="1406"/>
      <c r="V8" s="1406"/>
      <c r="W8" s="1406"/>
      <c r="X8" s="749"/>
      <c r="Y8" s="749"/>
      <c r="Z8" s="749"/>
    </row>
    <row r="9">
      <c r="A9" s="1213">
        <v>1.0</v>
      </c>
      <c r="B9" s="1206" t="s">
        <v>4610</v>
      </c>
      <c r="C9" s="1045" t="s">
        <v>4611</v>
      </c>
      <c r="D9" s="1209" t="s">
        <v>4612</v>
      </c>
      <c r="E9" s="883" t="s">
        <v>4613</v>
      </c>
      <c r="F9" s="1209" t="s">
        <v>4614</v>
      </c>
      <c r="G9" s="1211">
        <v>0.22</v>
      </c>
      <c r="H9" s="1419">
        <v>96.0</v>
      </c>
      <c r="I9" s="1211">
        <v>4320.0</v>
      </c>
      <c r="J9" s="1427"/>
      <c r="K9" s="1209"/>
      <c r="L9" s="1209"/>
      <c r="M9" s="883" t="s">
        <v>460</v>
      </c>
      <c r="N9" s="883"/>
      <c r="O9" s="1427"/>
      <c r="P9" s="883" t="s">
        <v>4617</v>
      </c>
      <c r="Q9" s="1213"/>
      <c r="R9" s="1406"/>
      <c r="S9" s="1406"/>
      <c r="T9" s="1406"/>
      <c r="U9" s="1406"/>
      <c r="V9" s="1406"/>
      <c r="W9" s="1406"/>
      <c r="X9" s="749"/>
      <c r="Y9" s="749"/>
      <c r="Z9" s="749"/>
    </row>
    <row r="10">
      <c r="A10" s="1213">
        <v>1.0</v>
      </c>
      <c r="B10" s="1206" t="s">
        <v>4618</v>
      </c>
      <c r="C10" s="1045" t="s">
        <v>4619</v>
      </c>
      <c r="D10" s="1209" t="s">
        <v>4612</v>
      </c>
      <c r="E10" s="883" t="s">
        <v>4620</v>
      </c>
      <c r="F10" s="883" t="s">
        <v>4621</v>
      </c>
      <c r="G10" s="1211">
        <v>0.33</v>
      </c>
      <c r="H10" s="1419">
        <v>143.9</v>
      </c>
      <c r="I10" s="1211">
        <v>12951.0</v>
      </c>
      <c r="J10" s="1427"/>
      <c r="K10" s="1445"/>
      <c r="L10" s="1209"/>
      <c r="M10" s="883" t="s">
        <v>460</v>
      </c>
      <c r="N10" s="883"/>
      <c r="O10" s="1424"/>
      <c r="P10" s="1213" t="s">
        <v>4598</v>
      </c>
      <c r="Q10" s="1213"/>
      <c r="R10" s="1406"/>
      <c r="S10" s="1406"/>
      <c r="T10" s="1406"/>
      <c r="U10" s="1406"/>
      <c r="V10" s="1406"/>
      <c r="W10" s="1406"/>
      <c r="X10" s="749"/>
      <c r="Y10" s="749"/>
      <c r="Z10" s="749"/>
    </row>
    <row r="11">
      <c r="A11" s="1213">
        <v>1.0</v>
      </c>
      <c r="B11" s="1206" t="s">
        <v>4622</v>
      </c>
      <c r="C11" s="1045" t="s">
        <v>4623</v>
      </c>
      <c r="D11" s="883" t="s">
        <v>4624</v>
      </c>
      <c r="E11" s="883" t="s">
        <v>4625</v>
      </c>
      <c r="F11" s="883" t="s">
        <v>4626</v>
      </c>
      <c r="G11" s="1211">
        <v>0.78</v>
      </c>
      <c r="H11" s="1419">
        <v>332.0</v>
      </c>
      <c r="I11" s="1211">
        <v>32210.0</v>
      </c>
      <c r="J11" s="883" t="s">
        <v>4627</v>
      </c>
      <c r="K11" s="883"/>
      <c r="L11" s="1448"/>
      <c r="M11" s="1045" t="s">
        <v>4628</v>
      </c>
      <c r="N11" s="883"/>
      <c r="O11" s="1424"/>
      <c r="P11" s="1213" t="s">
        <v>4598</v>
      </c>
      <c r="Q11" s="1213"/>
      <c r="R11" s="1406"/>
      <c r="S11" s="1406"/>
      <c r="T11" s="1406"/>
      <c r="U11" s="1406"/>
      <c r="V11" s="1406"/>
      <c r="W11" s="1406"/>
      <c r="X11" s="749"/>
      <c r="Y11" s="749"/>
      <c r="Z11" s="749"/>
    </row>
    <row r="12">
      <c r="A12" s="1213">
        <v>1.0</v>
      </c>
      <c r="B12" s="1206" t="s">
        <v>4629</v>
      </c>
      <c r="C12" s="1045" t="s">
        <v>4630</v>
      </c>
      <c r="D12" s="883" t="s">
        <v>4624</v>
      </c>
      <c r="E12" s="1451" t="s">
        <v>4631</v>
      </c>
      <c r="F12" s="883" t="s">
        <v>4632</v>
      </c>
      <c r="G12" s="1211">
        <v>0.49</v>
      </c>
      <c r="H12" s="1419">
        <v>207.76</v>
      </c>
      <c r="I12" s="1211">
        <v>13568.0</v>
      </c>
      <c r="J12" s="1427"/>
      <c r="K12" s="883"/>
      <c r="L12" s="1448"/>
      <c r="M12" s="1045" t="s">
        <v>4633</v>
      </c>
      <c r="N12" s="883"/>
      <c r="O12" s="1424"/>
      <c r="P12" s="883" t="s">
        <v>4634</v>
      </c>
      <c r="Q12" s="1213"/>
      <c r="R12" s="1406"/>
      <c r="S12" s="1406"/>
      <c r="T12" s="1406"/>
      <c r="U12" s="1406"/>
      <c r="V12" s="1406"/>
      <c r="W12" s="1406"/>
      <c r="X12" s="749"/>
      <c r="Y12" s="749"/>
      <c r="Z12" s="749"/>
    </row>
    <row r="13">
      <c r="A13" s="1213">
        <v>1.0</v>
      </c>
      <c r="B13" s="1206" t="s">
        <v>4629</v>
      </c>
      <c r="C13" s="1045" t="s">
        <v>4635</v>
      </c>
      <c r="D13" s="883" t="s">
        <v>4636</v>
      </c>
      <c r="E13" s="883" t="s">
        <v>4637</v>
      </c>
      <c r="F13" s="883" t="s">
        <v>4638</v>
      </c>
      <c r="G13" s="1211">
        <v>0.41</v>
      </c>
      <c r="H13" s="1419">
        <v>173.84</v>
      </c>
      <c r="I13" s="1211">
        <v>12250.0</v>
      </c>
      <c r="J13" s="1427"/>
      <c r="K13" s="883"/>
      <c r="L13" s="1448"/>
      <c r="M13" s="1045" t="s">
        <v>4628</v>
      </c>
      <c r="N13" s="883"/>
      <c r="O13" s="1424"/>
      <c r="P13" s="1213" t="s">
        <v>4598</v>
      </c>
      <c r="Q13" s="1213"/>
      <c r="R13" s="1406"/>
      <c r="S13" s="1406"/>
      <c r="T13" s="1406"/>
      <c r="U13" s="1406"/>
      <c r="V13" s="1406"/>
      <c r="W13" s="1406"/>
      <c r="X13" s="749"/>
      <c r="Y13" s="749"/>
      <c r="Z13" s="749"/>
    </row>
    <row r="14">
      <c r="A14" s="1213">
        <v>1.0</v>
      </c>
      <c r="B14" s="1206" t="s">
        <v>4629</v>
      </c>
      <c r="C14" s="1045" t="s">
        <v>4639</v>
      </c>
      <c r="D14" s="883" t="s">
        <v>4636</v>
      </c>
      <c r="E14" s="883" t="s">
        <v>4640</v>
      </c>
      <c r="F14" s="883" t="s">
        <v>4641</v>
      </c>
      <c r="G14" s="1211">
        <v>1.22</v>
      </c>
      <c r="H14" s="1419">
        <v>517.28</v>
      </c>
      <c r="I14" s="1211">
        <v>25900.0</v>
      </c>
      <c r="J14" s="1427"/>
      <c r="K14" s="883"/>
      <c r="L14" s="1448"/>
      <c r="M14" s="1045" t="s">
        <v>4628</v>
      </c>
      <c r="N14" s="883"/>
      <c r="O14" s="1424"/>
      <c r="P14" s="1213" t="s">
        <v>4598</v>
      </c>
      <c r="Q14" s="1213"/>
      <c r="R14" s="1406"/>
      <c r="S14" s="1406"/>
      <c r="T14" s="1406"/>
      <c r="U14" s="1406"/>
      <c r="V14" s="1406"/>
      <c r="W14" s="1406"/>
      <c r="X14" s="749"/>
      <c r="Y14" s="749"/>
      <c r="Z14" s="749"/>
    </row>
    <row r="15">
      <c r="A15" s="1213"/>
      <c r="B15" s="1206" t="s">
        <v>4642</v>
      </c>
      <c r="C15" s="1045" t="s">
        <v>4600</v>
      </c>
      <c r="D15" s="883" t="s">
        <v>4624</v>
      </c>
      <c r="E15" s="883" t="s">
        <v>4643</v>
      </c>
      <c r="F15" s="883" t="s">
        <v>4644</v>
      </c>
      <c r="G15" s="1211">
        <v>0.3</v>
      </c>
      <c r="H15" s="1419">
        <v>127.5</v>
      </c>
      <c r="I15" s="1211">
        <v>5797.35</v>
      </c>
      <c r="J15" s="1427"/>
      <c r="K15" s="883"/>
      <c r="L15" s="1448"/>
      <c r="M15" s="1045" t="s">
        <v>4628</v>
      </c>
      <c r="N15" s="883"/>
      <c r="O15" s="1424"/>
      <c r="P15" s="1213" t="s">
        <v>4598</v>
      </c>
      <c r="Q15" s="1213"/>
      <c r="R15" s="1406"/>
      <c r="S15" s="1406"/>
      <c r="T15" s="1406"/>
      <c r="U15" s="1406"/>
      <c r="V15" s="1406"/>
      <c r="W15" s="1406"/>
      <c r="X15" s="749"/>
      <c r="Y15" s="749"/>
      <c r="Z15" s="749"/>
    </row>
    <row r="16">
      <c r="A16" s="1213">
        <v>1.0</v>
      </c>
      <c r="B16" s="1206" t="s">
        <v>4645</v>
      </c>
      <c r="C16" s="1045" t="s">
        <v>4646</v>
      </c>
      <c r="D16" s="883" t="s">
        <v>4636</v>
      </c>
      <c r="E16" s="883" t="s">
        <v>4647</v>
      </c>
      <c r="F16" s="883" t="s">
        <v>4648</v>
      </c>
      <c r="G16" s="1211">
        <v>0.19</v>
      </c>
      <c r="H16" s="1419">
        <v>55.12</v>
      </c>
      <c r="I16" s="1211">
        <v>2900.0</v>
      </c>
      <c r="J16" s="1427"/>
      <c r="K16" s="883"/>
      <c r="L16" s="1448"/>
      <c r="M16" s="1045" t="s">
        <v>4628</v>
      </c>
      <c r="N16" s="883"/>
      <c r="O16" s="1424"/>
      <c r="P16" s="1213" t="s">
        <v>4598</v>
      </c>
      <c r="Q16" s="1213"/>
      <c r="R16" s="1406"/>
      <c r="S16" s="1406"/>
      <c r="T16" s="1406"/>
      <c r="U16" s="1406"/>
      <c r="V16" s="1406"/>
      <c r="W16" s="1406"/>
      <c r="X16" s="749"/>
      <c r="Y16" s="749"/>
      <c r="Z16" s="749"/>
    </row>
    <row r="17">
      <c r="A17" s="1213">
        <v>1.0</v>
      </c>
      <c r="B17" s="1206" t="s">
        <v>4649</v>
      </c>
      <c r="C17" s="1045" t="s">
        <v>4650</v>
      </c>
      <c r="D17" s="883" t="s">
        <v>4624</v>
      </c>
      <c r="E17" s="883" t="s">
        <v>4651</v>
      </c>
      <c r="F17" s="883" t="s">
        <v>4652</v>
      </c>
      <c r="G17" s="1211"/>
      <c r="H17" s="1419"/>
      <c r="I17" s="1211"/>
      <c r="J17" s="1456" t="s">
        <v>4653</v>
      </c>
      <c r="K17" s="1456"/>
      <c r="L17" s="1448"/>
      <c r="M17" s="1045" t="s">
        <v>4628</v>
      </c>
      <c r="N17" s="883"/>
      <c r="O17" s="1424"/>
      <c r="P17" s="883" t="s">
        <v>4655</v>
      </c>
      <c r="Q17" s="1213" t="s">
        <v>4656</v>
      </c>
      <c r="R17" s="1406"/>
      <c r="S17" s="1406"/>
      <c r="T17" s="1406"/>
      <c r="U17" s="1406"/>
      <c r="V17" s="1406"/>
      <c r="W17" s="1406"/>
      <c r="X17" s="749"/>
      <c r="Y17" s="749"/>
      <c r="Z17" s="749"/>
    </row>
    <row r="18">
      <c r="A18" s="1213">
        <v>1.0</v>
      </c>
      <c r="B18" s="1206" t="s">
        <v>4657</v>
      </c>
      <c r="C18" s="1045" t="s">
        <v>4646</v>
      </c>
      <c r="D18" s="883" t="s">
        <v>4658</v>
      </c>
      <c r="E18" s="1209" t="s">
        <v>4659</v>
      </c>
      <c r="F18" s="1209" t="s">
        <v>4660</v>
      </c>
      <c r="G18" s="1211">
        <v>1.05</v>
      </c>
      <c r="H18" s="1419">
        <v>445.0</v>
      </c>
      <c r="I18" s="1211">
        <v>20160.0</v>
      </c>
      <c r="J18" s="1458" t="s">
        <v>4661</v>
      </c>
      <c r="K18" s="1458"/>
      <c r="L18" s="1458"/>
      <c r="M18" s="1045" t="s">
        <v>4663</v>
      </c>
      <c r="N18" s="883"/>
      <c r="O18" s="1431" t="s">
        <v>3496</v>
      </c>
      <c r="P18" s="883" t="s">
        <v>4664</v>
      </c>
      <c r="Q18" s="1213"/>
      <c r="R18" s="1406" t="s">
        <v>4605</v>
      </c>
      <c r="S18" s="1406" t="s">
        <v>4665</v>
      </c>
      <c r="T18" s="1406" t="s">
        <v>4453</v>
      </c>
      <c r="U18" s="1406"/>
      <c r="V18" s="1406"/>
      <c r="W18" s="1406"/>
      <c r="X18" s="749"/>
      <c r="Y18" s="749"/>
      <c r="Z18" s="749"/>
    </row>
    <row r="19">
      <c r="A19" s="1213">
        <v>1.0</v>
      </c>
      <c r="B19" s="1206" t="s">
        <v>4666</v>
      </c>
      <c r="C19" s="1209" t="s">
        <v>4667</v>
      </c>
      <c r="D19" s="1209" t="s">
        <v>4668</v>
      </c>
      <c r="E19" s="883" t="s">
        <v>4669</v>
      </c>
      <c r="F19" s="883" t="s">
        <v>4670</v>
      </c>
      <c r="G19" s="1211">
        <v>0.48</v>
      </c>
      <c r="H19" s="1419">
        <v>207.2</v>
      </c>
      <c r="I19" s="1211">
        <v>9324.0</v>
      </c>
      <c r="J19" s="883" t="s">
        <v>4672</v>
      </c>
      <c r="K19" s="883"/>
      <c r="L19" s="1209"/>
      <c r="M19" s="883" t="s">
        <v>4673</v>
      </c>
      <c r="N19" s="883"/>
      <c r="O19" s="1424"/>
      <c r="P19" s="883" t="s">
        <v>4674</v>
      </c>
      <c r="Q19" s="1213" t="s">
        <v>4675</v>
      </c>
      <c r="R19" s="1406"/>
      <c r="S19" s="1406"/>
      <c r="T19" s="1406"/>
      <c r="U19" s="1406"/>
      <c r="V19" s="1406"/>
      <c r="W19" s="1406"/>
      <c r="X19" s="749"/>
      <c r="Y19" s="749"/>
      <c r="Z19" s="749"/>
    </row>
    <row r="20">
      <c r="A20" s="1213">
        <v>1.0</v>
      </c>
      <c r="B20" s="1402" t="s">
        <v>4676</v>
      </c>
      <c r="C20" s="1045" t="s">
        <v>4677</v>
      </c>
      <c r="D20" s="1045" t="s">
        <v>4678</v>
      </c>
      <c r="E20" s="883" t="s">
        <v>557</v>
      </c>
      <c r="F20" s="1045" t="s">
        <v>4679</v>
      </c>
      <c r="G20" s="1211">
        <v>3.36</v>
      </c>
      <c r="H20" s="1408">
        <v>1542.14</v>
      </c>
      <c r="I20" s="1343">
        <v>107949.0</v>
      </c>
      <c r="J20" s="1427"/>
      <c r="K20" s="1045"/>
      <c r="L20" s="1410"/>
      <c r="M20" s="1045" t="s">
        <v>4628</v>
      </c>
      <c r="N20" s="883" t="s">
        <v>4680</v>
      </c>
      <c r="O20" s="1424"/>
      <c r="P20" s="883" t="s">
        <v>4674</v>
      </c>
      <c r="Q20" s="1213"/>
      <c r="R20" s="1406"/>
      <c r="S20" s="1406"/>
      <c r="T20" s="1406"/>
      <c r="U20" s="1406"/>
      <c r="V20" s="1406"/>
      <c r="W20" s="1406"/>
      <c r="X20" s="749"/>
      <c r="Y20" s="749"/>
      <c r="Z20" s="749"/>
    </row>
    <row r="21" ht="15.75" customHeight="1">
      <c r="A21" s="1213">
        <v>1.0</v>
      </c>
      <c r="B21" s="1402" t="s">
        <v>4682</v>
      </c>
      <c r="C21" s="1045" t="s">
        <v>4683</v>
      </c>
      <c r="D21" s="883" t="s">
        <v>4658</v>
      </c>
      <c r="E21" s="1045" t="s">
        <v>4684</v>
      </c>
      <c r="F21" s="1045" t="s">
        <v>4685</v>
      </c>
      <c r="G21" s="1211">
        <v>0.11</v>
      </c>
      <c r="H21" s="1408">
        <v>48.0</v>
      </c>
      <c r="I21" s="1343">
        <v>2160.0</v>
      </c>
      <c r="J21" s="1427"/>
      <c r="K21" s="1045" t="s">
        <v>1101</v>
      </c>
      <c r="L21" s="1410"/>
      <c r="M21" s="1045" t="s">
        <v>4663</v>
      </c>
      <c r="N21" s="883"/>
      <c r="O21" s="1424"/>
      <c r="P21" s="883" t="s">
        <v>4686</v>
      </c>
      <c r="Q21" s="1213" t="s">
        <v>4687</v>
      </c>
      <c r="R21" s="1406"/>
      <c r="S21" s="1406"/>
      <c r="T21" s="1406"/>
      <c r="U21" s="1406"/>
      <c r="V21" s="1406"/>
      <c r="W21" s="1406"/>
      <c r="X21" s="749"/>
      <c r="Y21" s="749"/>
      <c r="Z21" s="749"/>
    </row>
    <row r="22" ht="15.75" customHeight="1">
      <c r="A22" s="1213">
        <v>1.0</v>
      </c>
      <c r="B22" s="1402" t="s">
        <v>4688</v>
      </c>
      <c r="C22" s="1045" t="s">
        <v>1715</v>
      </c>
      <c r="D22" s="883" t="s">
        <v>4689</v>
      </c>
      <c r="E22" s="1045" t="s">
        <v>4690</v>
      </c>
      <c r="F22" s="1045" t="s">
        <v>4691</v>
      </c>
      <c r="G22" s="1211">
        <v>3.15</v>
      </c>
      <c r="H22" s="1343">
        <v>1336.44</v>
      </c>
      <c r="I22" s="1343">
        <v>106915.2</v>
      </c>
      <c r="J22" s="1427"/>
      <c r="K22" s="1045"/>
      <c r="L22" s="1410"/>
      <c r="M22" s="1045" t="s">
        <v>2473</v>
      </c>
      <c r="N22" s="883"/>
      <c r="O22" s="1424"/>
      <c r="P22" s="883" t="s">
        <v>4692</v>
      </c>
      <c r="Q22" s="1213"/>
      <c r="R22" s="1406"/>
      <c r="S22" s="1406"/>
      <c r="T22" s="1406"/>
      <c r="U22" s="1406"/>
      <c r="V22" s="1406"/>
      <c r="W22" s="1406"/>
      <c r="X22" s="749"/>
      <c r="Y22" s="749"/>
      <c r="Z22" s="749"/>
    </row>
    <row r="23" ht="15.75" customHeight="1">
      <c r="A23" s="1213">
        <v>1.0</v>
      </c>
      <c r="B23" s="1402" t="s">
        <v>4693</v>
      </c>
      <c r="C23" s="1045" t="s">
        <v>4694</v>
      </c>
      <c r="D23" s="883" t="s">
        <v>494</v>
      </c>
      <c r="E23" s="1045"/>
      <c r="F23" s="1045" t="s">
        <v>4695</v>
      </c>
      <c r="G23" s="1211">
        <v>0.8</v>
      </c>
      <c r="H23" s="1408">
        <v>340.0</v>
      </c>
      <c r="I23" s="1343">
        <v>23800.0</v>
      </c>
      <c r="J23" s="1045" t="s">
        <v>4696</v>
      </c>
      <c r="K23" s="1045"/>
      <c r="L23" s="1410"/>
      <c r="M23" s="883" t="s">
        <v>4697</v>
      </c>
      <c r="N23" s="883"/>
      <c r="O23" s="1424"/>
      <c r="P23" s="883" t="s">
        <v>4698</v>
      </c>
      <c r="Q23" s="1213"/>
      <c r="R23" s="1406"/>
      <c r="S23" s="1406"/>
      <c r="T23" s="1406"/>
      <c r="U23" s="1406"/>
      <c r="V23" s="1406"/>
      <c r="W23" s="1406"/>
      <c r="X23" s="749"/>
      <c r="Y23" s="749"/>
      <c r="Z23" s="749"/>
    </row>
    <row r="24" ht="58.5" customHeight="1">
      <c r="A24" s="1213">
        <v>1.0</v>
      </c>
      <c r="B24" s="1402" t="s">
        <v>4699</v>
      </c>
      <c r="C24" s="1045" t="s">
        <v>4600</v>
      </c>
      <c r="D24" s="883" t="s">
        <v>481</v>
      </c>
      <c r="E24" s="1045" t="s">
        <v>4700</v>
      </c>
      <c r="F24" s="1045" t="s">
        <v>4701</v>
      </c>
      <c r="G24" s="1211">
        <v>1.53</v>
      </c>
      <c r="H24" s="1408">
        <v>652.49</v>
      </c>
      <c r="I24" s="1343" t="s">
        <v>4702</v>
      </c>
      <c r="J24" s="1045" t="s">
        <v>4703</v>
      </c>
      <c r="K24" s="1045"/>
      <c r="L24" s="1410"/>
      <c r="M24" s="883" t="s">
        <v>4704</v>
      </c>
      <c r="N24" s="883"/>
      <c r="O24" s="1424"/>
      <c r="P24" s="883" t="s">
        <v>4705</v>
      </c>
      <c r="Q24" s="1213" t="s">
        <v>4656</v>
      </c>
      <c r="R24" s="1406"/>
      <c r="S24" s="1406"/>
      <c r="T24" s="1406"/>
      <c r="U24" s="1406"/>
      <c r="V24" s="1406"/>
      <c r="W24" s="1406"/>
      <c r="X24" s="749"/>
      <c r="Y24" s="749"/>
      <c r="Z24" s="749"/>
    </row>
    <row r="25" ht="15.75" customHeight="1">
      <c r="A25" s="1213">
        <v>1.0</v>
      </c>
      <c r="B25" s="1402" t="s">
        <v>4706</v>
      </c>
      <c r="C25" s="1045" t="s">
        <v>4707</v>
      </c>
      <c r="D25" s="883" t="s">
        <v>494</v>
      </c>
      <c r="E25" s="1045" t="s">
        <v>4708</v>
      </c>
      <c r="F25" s="1045" t="s">
        <v>4709</v>
      </c>
      <c r="G25" s="1211">
        <v>0.09</v>
      </c>
      <c r="H25" s="1408">
        <v>39.0</v>
      </c>
      <c r="I25" s="1343" t="s">
        <v>4710</v>
      </c>
      <c r="J25" s="1427">
        <v>1.0</v>
      </c>
      <c r="K25" s="1045" t="s">
        <v>1101</v>
      </c>
      <c r="L25" s="1410"/>
      <c r="M25" s="1045" t="s">
        <v>4711</v>
      </c>
      <c r="N25" s="883"/>
      <c r="O25" s="1431" t="s">
        <v>3496</v>
      </c>
      <c r="P25" s="883" t="s">
        <v>4712</v>
      </c>
      <c r="Q25" s="1213" t="s">
        <v>4713</v>
      </c>
      <c r="R25" s="1406" t="s">
        <v>4714</v>
      </c>
      <c r="S25" s="1406" t="s">
        <v>4715</v>
      </c>
      <c r="T25" s="1466">
        <v>45566.0</v>
      </c>
      <c r="U25" s="1406"/>
      <c r="V25" s="1406"/>
      <c r="W25" s="1406"/>
      <c r="X25" s="749"/>
      <c r="Y25" s="749"/>
      <c r="Z25" s="749"/>
    </row>
    <row r="26" ht="15.75" customHeight="1">
      <c r="A26" s="1213">
        <v>1.0</v>
      </c>
      <c r="B26" s="1402" t="s">
        <v>4706</v>
      </c>
      <c r="C26" s="1045" t="s">
        <v>4717</v>
      </c>
      <c r="D26" s="883" t="s">
        <v>4718</v>
      </c>
      <c r="E26" s="1045" t="s">
        <v>4719</v>
      </c>
      <c r="F26" s="1045" t="s">
        <v>4720</v>
      </c>
      <c r="G26" s="1211">
        <v>0.1</v>
      </c>
      <c r="H26" s="1408">
        <v>44.0</v>
      </c>
      <c r="I26" s="1343">
        <v>1540.0</v>
      </c>
      <c r="J26" s="1427">
        <v>1.0</v>
      </c>
      <c r="K26" s="1045" t="s">
        <v>3054</v>
      </c>
      <c r="L26" s="1410"/>
      <c r="M26" s="1045"/>
      <c r="N26" s="883"/>
      <c r="O26" s="1431" t="s">
        <v>3496</v>
      </c>
      <c r="P26" s="883" t="s">
        <v>4721</v>
      </c>
      <c r="Q26" s="883" t="s">
        <v>4722</v>
      </c>
      <c r="R26" s="1466">
        <v>46237.0</v>
      </c>
      <c r="S26" s="1406" t="s">
        <v>4724</v>
      </c>
      <c r="T26" s="1466">
        <v>46224.0</v>
      </c>
      <c r="U26" s="1406"/>
      <c r="V26" s="1406"/>
      <c r="W26" s="1406"/>
      <c r="X26" s="749"/>
      <c r="Y26" s="749"/>
      <c r="Z26" s="749"/>
    </row>
    <row r="27" ht="15.75" customHeight="1">
      <c r="A27" s="1213">
        <v>1.0</v>
      </c>
      <c r="B27" s="1402" t="s">
        <v>4725</v>
      </c>
      <c r="C27" s="1045" t="s">
        <v>4103</v>
      </c>
      <c r="D27" s="883" t="s">
        <v>3945</v>
      </c>
      <c r="E27" s="1045" t="s">
        <v>4726</v>
      </c>
      <c r="F27" s="1045" t="s">
        <v>4727</v>
      </c>
      <c r="G27" s="1211">
        <v>0.36</v>
      </c>
      <c r="H27" s="1408">
        <v>153.75</v>
      </c>
      <c r="I27" s="1343">
        <v>4612.5</v>
      </c>
      <c r="J27" s="1427"/>
      <c r="K27" s="1045"/>
      <c r="L27" s="1410"/>
      <c r="M27" s="1045" t="s">
        <v>3945</v>
      </c>
      <c r="N27" s="883"/>
      <c r="O27" s="1424"/>
      <c r="P27" s="883" t="s">
        <v>4729</v>
      </c>
      <c r="Q27" s="883" t="s">
        <v>3867</v>
      </c>
      <c r="R27" s="1406"/>
      <c r="S27" s="1406"/>
      <c r="T27" s="1406"/>
      <c r="U27" s="1406"/>
      <c r="V27" s="1406"/>
      <c r="W27" s="1406"/>
      <c r="X27" s="749"/>
      <c r="Y27" s="749"/>
      <c r="Z27" s="749"/>
    </row>
    <row r="28" ht="15.75" customHeight="1">
      <c r="A28" s="883">
        <v>1.0</v>
      </c>
      <c r="B28" s="1402" t="s">
        <v>4730</v>
      </c>
      <c r="C28" s="1045" t="s">
        <v>4731</v>
      </c>
      <c r="D28" s="883" t="s">
        <v>503</v>
      </c>
      <c r="E28" s="1045" t="s">
        <v>4732</v>
      </c>
      <c r="F28" s="1045" t="s">
        <v>4733</v>
      </c>
      <c r="G28" s="1421">
        <v>0.49</v>
      </c>
      <c r="H28" s="1470">
        <v>211.0</v>
      </c>
      <c r="I28" s="1410">
        <v>12660.0</v>
      </c>
      <c r="J28" s="891"/>
      <c r="K28" s="1045"/>
      <c r="L28" s="1410"/>
      <c r="M28" s="1045" t="s">
        <v>4734</v>
      </c>
      <c r="N28" s="883"/>
      <c r="O28" s="1475"/>
      <c r="P28" s="883" t="s">
        <v>4739</v>
      </c>
      <c r="Q28" s="883" t="s">
        <v>4740</v>
      </c>
      <c r="R28" s="1406"/>
      <c r="S28" s="1406"/>
      <c r="T28" s="1406"/>
      <c r="U28" s="1406"/>
      <c r="V28" s="1406"/>
      <c r="W28" s="1406"/>
      <c r="X28" s="749"/>
      <c r="Y28" s="749"/>
      <c r="Z28" s="749"/>
    </row>
    <row r="29" ht="15.75" customHeight="1">
      <c r="A29" s="883">
        <v>1.0</v>
      </c>
      <c r="B29" s="1402" t="s">
        <v>4741</v>
      </c>
      <c r="C29" s="1045" t="s">
        <v>4742</v>
      </c>
      <c r="D29" s="883" t="s">
        <v>1033</v>
      </c>
      <c r="E29" s="1045" t="s">
        <v>4743</v>
      </c>
      <c r="F29" s="1045" t="s">
        <v>4744</v>
      </c>
      <c r="G29" s="1421"/>
      <c r="H29" s="1470">
        <v>32.0</v>
      </c>
      <c r="I29" s="1410">
        <v>1600.0</v>
      </c>
      <c r="J29" s="891"/>
      <c r="K29" s="1045" t="s">
        <v>4745</v>
      </c>
      <c r="L29" s="1410">
        <v>20000.0</v>
      </c>
      <c r="M29" s="883" t="s">
        <v>1033</v>
      </c>
      <c r="N29" s="883"/>
      <c r="O29" s="1475"/>
      <c r="P29" s="883" t="s">
        <v>4746</v>
      </c>
      <c r="Q29" s="976" t="s">
        <v>4747</v>
      </c>
      <c r="R29" s="1406"/>
      <c r="S29" s="1406"/>
      <c r="T29" s="1406"/>
      <c r="U29" s="1406"/>
      <c r="V29" s="1406"/>
      <c r="W29" s="1406"/>
      <c r="X29" s="749"/>
      <c r="Y29" s="749"/>
      <c r="Z29" s="749"/>
    </row>
    <row r="30" ht="15.75" customHeight="1">
      <c r="A30" s="1213">
        <v>1.0</v>
      </c>
      <c r="B30" s="1402" t="s">
        <v>4749</v>
      </c>
      <c r="C30" s="330" t="s">
        <v>4750</v>
      </c>
      <c r="D30" s="1045" t="s">
        <v>4751</v>
      </c>
      <c r="E30" s="1045" t="s">
        <v>4752</v>
      </c>
      <c r="F30" s="1045" t="s">
        <v>4753</v>
      </c>
      <c r="G30" s="1211">
        <f>SUM(H30/424)</f>
        <v>1.18129717</v>
      </c>
      <c r="H30" s="1408">
        <v>500.87</v>
      </c>
      <c r="I30" s="1343">
        <v>34062.3</v>
      </c>
      <c r="J30" s="1427"/>
      <c r="K30" s="1045"/>
      <c r="L30" s="1410"/>
      <c r="M30" s="1045"/>
      <c r="N30" s="883"/>
      <c r="O30" s="1424"/>
      <c r="P30" s="895" t="s">
        <v>4754</v>
      </c>
      <c r="Q30" s="883" t="s">
        <v>4755</v>
      </c>
      <c r="R30" s="1482"/>
      <c r="S30" s="1406"/>
      <c r="T30" s="1406"/>
      <c r="U30" s="1406"/>
      <c r="V30" s="1406"/>
      <c r="W30" s="1406"/>
      <c r="X30" s="749"/>
      <c r="Y30" s="749"/>
      <c r="Z30" s="749"/>
    </row>
    <row r="31" ht="15.75" customHeight="1">
      <c r="A31" s="1213">
        <v>1.0</v>
      </c>
      <c r="B31" s="1402" t="s">
        <v>4756</v>
      </c>
      <c r="C31" s="330" t="s">
        <v>4757</v>
      </c>
      <c r="D31" s="1045" t="s">
        <v>4570</v>
      </c>
      <c r="E31" s="1045" t="s">
        <v>4758</v>
      </c>
      <c r="F31" s="1045" t="s">
        <v>4759</v>
      </c>
      <c r="G31" s="1211">
        <v>0.42</v>
      </c>
      <c r="H31" s="1408">
        <v>180.0</v>
      </c>
      <c r="I31" s="1343">
        <v>11700.0</v>
      </c>
      <c r="J31" s="1427"/>
      <c r="K31" s="1045"/>
      <c r="L31" s="1410"/>
      <c r="M31" s="1045" t="s">
        <v>1058</v>
      </c>
      <c r="N31" s="883"/>
      <c r="O31" s="1424"/>
      <c r="P31" s="883" t="s">
        <v>4760</v>
      </c>
      <c r="Q31" s="1488" t="s">
        <v>4740</v>
      </c>
      <c r="R31" s="1406"/>
      <c r="S31" s="1406"/>
      <c r="T31" s="1406"/>
      <c r="U31" s="1406"/>
      <c r="V31" s="1406"/>
      <c r="W31" s="1406"/>
      <c r="X31" s="749"/>
      <c r="Y31" s="749"/>
      <c r="Z31" s="749"/>
    </row>
    <row r="32" ht="15.75" customHeight="1">
      <c r="A32" s="1213">
        <v>1.0</v>
      </c>
      <c r="B32" s="1402" t="s">
        <v>4764</v>
      </c>
      <c r="C32" s="1045" t="s">
        <v>4765</v>
      </c>
      <c r="D32" s="883" t="s">
        <v>481</v>
      </c>
      <c r="E32" s="1045" t="s">
        <v>4766</v>
      </c>
      <c r="F32" s="1045" t="s">
        <v>4767</v>
      </c>
      <c r="G32" s="1211"/>
      <c r="H32" s="1408">
        <v>100.0</v>
      </c>
      <c r="I32" s="1343">
        <v>4500.0</v>
      </c>
      <c r="J32" s="1427"/>
      <c r="K32" s="1045"/>
      <c r="L32" s="1410"/>
      <c r="M32" s="883" t="s">
        <v>481</v>
      </c>
      <c r="N32" s="883"/>
      <c r="O32" s="1431" t="s">
        <v>3496</v>
      </c>
      <c r="P32" s="883" t="s">
        <v>4705</v>
      </c>
      <c r="Q32" s="1213" t="s">
        <v>4768</v>
      </c>
      <c r="R32" s="1466">
        <v>46237.0</v>
      </c>
      <c r="S32" s="1406" t="s">
        <v>4769</v>
      </c>
      <c r="T32" s="1466">
        <v>46224.0</v>
      </c>
      <c r="U32" s="1406"/>
      <c r="V32" s="1406"/>
      <c r="W32" s="1406"/>
      <c r="X32" s="749"/>
      <c r="Y32" s="749"/>
      <c r="Z32" s="749"/>
    </row>
    <row r="33" ht="15.75" customHeight="1">
      <c r="A33" s="1213">
        <v>1.0</v>
      </c>
      <c r="B33" s="1402" t="s">
        <v>4770</v>
      </c>
      <c r="C33" s="1045" t="s">
        <v>4619</v>
      </c>
      <c r="D33" s="883" t="s">
        <v>2473</v>
      </c>
      <c r="E33" s="1045" t="s">
        <v>4772</v>
      </c>
      <c r="F33" s="1045" t="s">
        <v>4773</v>
      </c>
      <c r="G33" s="1211">
        <v>0.78</v>
      </c>
      <c r="H33" s="1408">
        <v>331.58</v>
      </c>
      <c r="I33" s="1343">
        <v>23210.6</v>
      </c>
      <c r="J33" s="891" t="s">
        <v>4774</v>
      </c>
      <c r="K33" s="1045"/>
      <c r="L33" s="1410"/>
      <c r="M33" s="1045"/>
      <c r="N33" s="883"/>
      <c r="O33" s="1424"/>
      <c r="P33" s="883" t="s">
        <v>4775</v>
      </c>
      <c r="Q33" s="1213" t="s">
        <v>4776</v>
      </c>
      <c r="R33" s="1406"/>
      <c r="S33" s="1406"/>
      <c r="T33" s="1406"/>
      <c r="U33" s="1406"/>
      <c r="V33" s="1406"/>
      <c r="W33" s="1406"/>
      <c r="X33" s="749"/>
      <c r="Y33" s="749"/>
      <c r="Z33" s="749"/>
    </row>
    <row r="34" ht="15.75" customHeight="1">
      <c r="A34" s="1213">
        <v>1.0</v>
      </c>
      <c r="B34" s="1402" t="s">
        <v>4777</v>
      </c>
      <c r="C34" s="1045" t="s">
        <v>2744</v>
      </c>
      <c r="D34" s="883" t="s">
        <v>494</v>
      </c>
      <c r="E34" s="1045" t="s">
        <v>4778</v>
      </c>
      <c r="F34" s="1045" t="s">
        <v>4779</v>
      </c>
      <c r="G34" s="1211">
        <v>0.31</v>
      </c>
      <c r="H34" s="1408">
        <v>134.0</v>
      </c>
      <c r="I34" s="1343">
        <v>9380.0</v>
      </c>
      <c r="J34" s="891" t="s">
        <v>4780</v>
      </c>
      <c r="K34" s="1045"/>
      <c r="L34" s="1410"/>
      <c r="M34" s="1045" t="s">
        <v>134</v>
      </c>
      <c r="N34" s="883"/>
      <c r="O34" s="1424"/>
      <c r="P34" s="883" t="s">
        <v>4781</v>
      </c>
      <c r="Q34" s="1213"/>
      <c r="R34" s="1406"/>
      <c r="S34" s="1406"/>
      <c r="T34" s="1406"/>
      <c r="U34" s="1406"/>
      <c r="V34" s="1406"/>
      <c r="W34" s="1406"/>
      <c r="X34" s="749"/>
      <c r="Y34" s="749"/>
      <c r="Z34" s="749"/>
    </row>
    <row r="35" ht="15.75" customHeight="1">
      <c r="A35" s="1213">
        <v>1.0</v>
      </c>
      <c r="B35" s="1402" t="s">
        <v>4782</v>
      </c>
      <c r="C35" s="1045" t="s">
        <v>1829</v>
      </c>
      <c r="D35" s="883" t="s">
        <v>4783</v>
      </c>
      <c r="E35" s="1045" t="s">
        <v>557</v>
      </c>
      <c r="F35" s="1045" t="s">
        <v>4784</v>
      </c>
      <c r="G35" s="1211">
        <v>0.18</v>
      </c>
      <c r="H35" s="1408">
        <v>78.3</v>
      </c>
      <c r="I35" s="1343">
        <v>5121.0</v>
      </c>
      <c r="J35" s="891"/>
      <c r="K35" s="1045"/>
      <c r="L35" s="1410"/>
      <c r="M35" s="1045"/>
      <c r="N35" s="883"/>
      <c r="O35" s="1424"/>
      <c r="P35" s="883" t="s">
        <v>4785</v>
      </c>
      <c r="Q35" s="1213"/>
      <c r="R35" s="1406"/>
      <c r="S35" s="1406"/>
      <c r="T35" s="1406"/>
      <c r="U35" s="1406"/>
      <c r="V35" s="1406"/>
      <c r="W35" s="1406"/>
      <c r="X35" s="749"/>
      <c r="Y35" s="749"/>
      <c r="Z35" s="749"/>
    </row>
    <row r="36" ht="15.75" customHeight="1">
      <c r="A36" s="1468">
        <f>SUM(A6:A35)</f>
        <v>29</v>
      </c>
      <c r="B36" s="1497" t="s">
        <v>200</v>
      </c>
      <c r="C36" s="1501"/>
      <c r="D36" s="1501"/>
      <c r="E36" s="1501"/>
      <c r="F36" s="1501"/>
      <c r="G36" s="1505">
        <f t="shared" ref="G36:I36" si="1">SUM(G6:G35)</f>
        <v>20.06129717</v>
      </c>
      <c r="H36" s="1507">
        <f t="shared" si="1"/>
        <v>8765.83</v>
      </c>
      <c r="I36" s="1505">
        <f t="shared" si="1"/>
        <v>521740.95</v>
      </c>
      <c r="J36" s="1468">
        <v>11.0</v>
      </c>
      <c r="K36" s="1511">
        <v>5.0</v>
      </c>
      <c r="L36" s="1511"/>
      <c r="M36" s="1501"/>
      <c r="N36" s="1515"/>
      <c r="O36" s="1468">
        <f>SUM(O6:O34)</f>
        <v>0</v>
      </c>
      <c r="P36" s="1515"/>
      <c r="Q36" s="1515"/>
      <c r="R36" s="1520"/>
      <c r="S36" s="1520"/>
      <c r="T36" s="1520"/>
      <c r="U36" s="1520"/>
      <c r="V36" s="1520"/>
      <c r="W36" s="1520"/>
      <c r="X36" s="749"/>
      <c r="Y36" s="749"/>
      <c r="Z36" s="749"/>
    </row>
    <row r="37" ht="15.75" customHeight="1">
      <c r="A37" s="1525"/>
      <c r="B37" s="1529" t="s">
        <v>390</v>
      </c>
      <c r="C37" s="1533"/>
      <c r="D37" s="1533"/>
      <c r="E37" s="1533"/>
      <c r="F37" s="1533"/>
      <c r="G37" s="1537"/>
      <c r="H37" s="1533"/>
      <c r="I37" s="1533"/>
      <c r="J37" s="1541"/>
      <c r="K37" s="1533"/>
      <c r="L37" s="1533"/>
      <c r="M37" s="1533"/>
      <c r="N37" s="1545"/>
      <c r="O37" s="1549"/>
      <c r="P37" s="1553"/>
      <c r="Q37" s="1557"/>
      <c r="R37" s="1561"/>
      <c r="S37" s="1561"/>
      <c r="T37" s="1561"/>
      <c r="U37" s="1561"/>
      <c r="V37" s="1561"/>
      <c r="W37" s="1561"/>
      <c r="X37" s="749"/>
      <c r="Y37" s="749"/>
      <c r="Z37" s="749"/>
    </row>
    <row r="38" ht="15.75" customHeight="1">
      <c r="A38" s="1213">
        <v>1.0</v>
      </c>
      <c r="B38" s="1206" t="s">
        <v>4825</v>
      </c>
      <c r="C38" s="1209" t="s">
        <v>4826</v>
      </c>
      <c r="D38" s="1209" t="s">
        <v>4827</v>
      </c>
      <c r="E38" s="1209" t="s">
        <v>557</v>
      </c>
      <c r="F38" s="1209" t="s">
        <v>4828</v>
      </c>
      <c r="G38" s="1211">
        <v>0.61</v>
      </c>
      <c r="H38" s="1209">
        <v>260.0</v>
      </c>
      <c r="I38" s="1213" t="s">
        <v>4829</v>
      </c>
      <c r="J38" s="1213"/>
      <c r="K38" s="1209"/>
      <c r="L38" s="1209"/>
      <c r="M38" s="1045" t="s">
        <v>1247</v>
      </c>
      <c r="N38" s="883"/>
      <c r="O38" s="1564"/>
      <c r="P38" s="883" t="s">
        <v>4830</v>
      </c>
      <c r="Q38" s="1213" t="s">
        <v>4831</v>
      </c>
      <c r="R38" s="1406"/>
      <c r="S38" s="1406"/>
      <c r="T38" s="1406"/>
      <c r="U38" s="1406"/>
      <c r="V38" s="1406"/>
      <c r="W38" s="1406"/>
      <c r="X38" s="749"/>
      <c r="Y38" s="749"/>
      <c r="Z38" s="749"/>
    </row>
    <row r="39" ht="15.75" customHeight="1">
      <c r="A39" s="1213">
        <v>1.0</v>
      </c>
      <c r="B39" s="1206" t="s">
        <v>4832</v>
      </c>
      <c r="C39" s="1209" t="s">
        <v>4826</v>
      </c>
      <c r="D39" s="1209" t="s">
        <v>4827</v>
      </c>
      <c r="E39" s="1209" t="s">
        <v>557</v>
      </c>
      <c r="F39" s="1209" t="s">
        <v>3202</v>
      </c>
      <c r="G39" s="1211"/>
      <c r="H39" s="1209">
        <v>60.0</v>
      </c>
      <c r="I39" s="1570">
        <v>3000.0</v>
      </c>
      <c r="J39" s="1213"/>
      <c r="K39" s="1209"/>
      <c r="L39" s="1209"/>
      <c r="M39" s="1045" t="s">
        <v>1247</v>
      </c>
      <c r="N39" s="883"/>
      <c r="O39" s="1431" t="s">
        <v>3496</v>
      </c>
      <c r="P39" s="883" t="s">
        <v>4634</v>
      </c>
      <c r="Q39" s="1213" t="s">
        <v>4859</v>
      </c>
      <c r="R39" s="1406" t="s">
        <v>4860</v>
      </c>
      <c r="S39" s="1406" t="s">
        <v>4861</v>
      </c>
      <c r="T39" s="1406" t="s">
        <v>4862</v>
      </c>
      <c r="U39" s="1406"/>
      <c r="V39" s="1406"/>
      <c r="W39" s="1406"/>
      <c r="X39" s="749"/>
      <c r="Y39" s="749"/>
      <c r="Z39" s="749"/>
    </row>
    <row r="40" ht="15.75" customHeight="1">
      <c r="A40" s="1213">
        <v>1.0</v>
      </c>
      <c r="B40" s="1206" t="s">
        <v>4863</v>
      </c>
      <c r="C40" s="1045" t="s">
        <v>4864</v>
      </c>
      <c r="D40" s="1045" t="s">
        <v>4865</v>
      </c>
      <c r="E40" s="1045" t="s">
        <v>557</v>
      </c>
      <c r="F40" s="1209" t="s">
        <v>4866</v>
      </c>
      <c r="G40" s="1211">
        <v>0.367</v>
      </c>
      <c r="H40" s="1546">
        <v>156.0</v>
      </c>
      <c r="I40" s="1211"/>
      <c r="J40" s="1574"/>
      <c r="K40" s="1213"/>
      <c r="L40" s="1209"/>
      <c r="M40" s="883" t="s">
        <v>4869</v>
      </c>
      <c r="N40" s="883"/>
      <c r="O40" s="1431" t="s">
        <v>3496</v>
      </c>
      <c r="P40" s="883" t="s">
        <v>4870</v>
      </c>
      <c r="Q40" s="1213" t="s">
        <v>4871</v>
      </c>
      <c r="R40" s="1466">
        <v>45705.0</v>
      </c>
      <c r="S40" s="1406" t="s">
        <v>4872</v>
      </c>
      <c r="T40" s="1466">
        <v>45593.0</v>
      </c>
      <c r="U40" s="1406"/>
      <c r="V40" s="1406"/>
      <c r="W40" s="1406"/>
      <c r="X40" s="749"/>
      <c r="Y40" s="749"/>
      <c r="Z40" s="749"/>
    </row>
    <row r="41" ht="15.75" customHeight="1">
      <c r="A41" s="1213">
        <v>1.0</v>
      </c>
      <c r="B41" s="1206" t="s">
        <v>4873</v>
      </c>
      <c r="C41" s="1045" t="s">
        <v>4874</v>
      </c>
      <c r="D41" s="1045" t="s">
        <v>4805</v>
      </c>
      <c r="E41" s="1209" t="s">
        <v>557</v>
      </c>
      <c r="F41" s="1045" t="s">
        <v>4875</v>
      </c>
      <c r="G41" s="1211">
        <v>0.67</v>
      </c>
      <c r="H41" s="1546">
        <v>288.0</v>
      </c>
      <c r="I41" s="1211"/>
      <c r="J41" s="1574"/>
      <c r="K41" s="1213"/>
      <c r="L41" s="1209"/>
      <c r="M41" s="1045" t="s">
        <v>4876</v>
      </c>
      <c r="N41" s="883"/>
      <c r="O41" s="1424"/>
      <c r="P41" s="883" t="s">
        <v>4877</v>
      </c>
      <c r="Q41" s="1219">
        <v>45357.0</v>
      </c>
      <c r="R41" s="1406"/>
      <c r="S41" s="1406"/>
      <c r="T41" s="1406"/>
      <c r="U41" s="1406"/>
      <c r="V41" s="1406"/>
      <c r="W41" s="1406"/>
      <c r="X41" s="749"/>
      <c r="Y41" s="749"/>
      <c r="Z41" s="749"/>
    </row>
    <row r="42" ht="15.75" customHeight="1">
      <c r="A42" s="1213">
        <v>1.0</v>
      </c>
      <c r="B42" s="1206" t="s">
        <v>4878</v>
      </c>
      <c r="C42" s="1045" t="s">
        <v>4879</v>
      </c>
      <c r="D42" s="1045" t="s">
        <v>4880</v>
      </c>
      <c r="E42" s="1045" t="s">
        <v>4881</v>
      </c>
      <c r="F42" s="1582" t="s">
        <v>4882</v>
      </c>
      <c r="G42" s="1211">
        <v>1.03</v>
      </c>
      <c r="H42" s="1211">
        <v>438.0</v>
      </c>
      <c r="I42" s="1211">
        <v>21900.0</v>
      </c>
      <c r="J42" s="1574"/>
      <c r="K42" s="1213"/>
      <c r="L42" s="1209"/>
      <c r="M42" s="1045" t="s">
        <v>4892</v>
      </c>
      <c r="N42" s="883"/>
      <c r="O42" s="1424"/>
      <c r="P42" s="883" t="s">
        <v>4893</v>
      </c>
      <c r="Q42" s="1219">
        <v>45443.0</v>
      </c>
      <c r="R42" s="1406"/>
      <c r="S42" s="1406"/>
      <c r="T42" s="1406"/>
      <c r="U42" s="1406"/>
      <c r="V42" s="1406"/>
      <c r="W42" s="1406"/>
      <c r="X42" s="749"/>
      <c r="Y42" s="749"/>
      <c r="Z42" s="749"/>
    </row>
    <row r="43" ht="15.75" customHeight="1">
      <c r="A43" s="1213">
        <v>1.0</v>
      </c>
      <c r="B43" s="1206" t="s">
        <v>4895</v>
      </c>
      <c r="C43" s="1045" t="s">
        <v>4897</v>
      </c>
      <c r="D43" s="1045" t="s">
        <v>299</v>
      </c>
      <c r="E43" s="1045" t="s">
        <v>557</v>
      </c>
      <c r="F43" s="1582" t="s">
        <v>4899</v>
      </c>
      <c r="G43" s="1211">
        <v>0.313</v>
      </c>
      <c r="H43" s="1211">
        <v>133.0</v>
      </c>
      <c r="I43" s="1211">
        <v>13300.0</v>
      </c>
      <c r="J43" s="1574"/>
      <c r="K43" s="1213"/>
      <c r="L43" s="1209"/>
      <c r="M43" s="1045" t="s">
        <v>4900</v>
      </c>
      <c r="N43" s="883"/>
      <c r="O43" s="1431" t="s">
        <v>3496</v>
      </c>
      <c r="P43" s="883" t="s">
        <v>4901</v>
      </c>
      <c r="Q43" s="1219">
        <v>45443.0</v>
      </c>
      <c r="R43" s="1466">
        <v>45705.0</v>
      </c>
      <c r="S43" s="1406" t="s">
        <v>4902</v>
      </c>
      <c r="T43" s="1466">
        <v>45589.0</v>
      </c>
      <c r="U43" s="1406"/>
      <c r="V43" s="1406"/>
      <c r="W43" s="1406"/>
      <c r="X43" s="749"/>
      <c r="Y43" s="749"/>
      <c r="Z43" s="749"/>
    </row>
    <row r="44" ht="15.75" customHeight="1">
      <c r="A44" s="1247">
        <v>1.0</v>
      </c>
      <c r="B44" s="1274" t="s">
        <v>4903</v>
      </c>
      <c r="C44" s="1041" t="s">
        <v>4906</v>
      </c>
      <c r="D44" s="1041" t="s">
        <v>299</v>
      </c>
      <c r="E44" s="1041" t="s">
        <v>557</v>
      </c>
      <c r="F44" s="1586" t="s">
        <v>4909</v>
      </c>
      <c r="G44" s="1277">
        <v>0.54</v>
      </c>
      <c r="H44" s="1277">
        <v>231.0</v>
      </c>
      <c r="I44" s="1277"/>
      <c r="J44" s="1589"/>
      <c r="K44" s="1247"/>
      <c r="L44" s="1275"/>
      <c r="M44" s="1041" t="s">
        <v>4900</v>
      </c>
      <c r="N44" s="609"/>
      <c r="O44" s="1592"/>
      <c r="P44" s="609" t="s">
        <v>4830</v>
      </c>
      <c r="Q44" s="1596">
        <v>45414.0</v>
      </c>
      <c r="R44" s="609" t="s">
        <v>4941</v>
      </c>
      <c r="S44" s="609" t="s">
        <v>4942</v>
      </c>
      <c r="T44" s="609" t="s">
        <v>4755</v>
      </c>
      <c r="U44" s="1601" t="s">
        <v>4943</v>
      </c>
      <c r="V44" s="571" t="s">
        <v>4952</v>
      </c>
      <c r="W44" s="609" t="s">
        <v>4814</v>
      </c>
      <c r="X44" s="749"/>
      <c r="Y44" s="749"/>
      <c r="Z44" s="749"/>
    </row>
    <row r="45" ht="15.75" customHeight="1">
      <c r="A45" s="1213">
        <v>1.0</v>
      </c>
      <c r="B45" s="1206" t="s">
        <v>4953</v>
      </c>
      <c r="C45" s="1045" t="s">
        <v>4954</v>
      </c>
      <c r="D45" s="1045" t="s">
        <v>4955</v>
      </c>
      <c r="E45" s="1045" t="s">
        <v>557</v>
      </c>
      <c r="F45" s="1045" t="s">
        <v>4956</v>
      </c>
      <c r="G45" s="1211">
        <v>1.12</v>
      </c>
      <c r="H45" s="1605">
        <v>478.0</v>
      </c>
      <c r="I45" s="1211"/>
      <c r="J45" s="1574"/>
      <c r="K45" s="1213"/>
      <c r="L45" s="1209"/>
      <c r="M45" s="1045" t="s">
        <v>4957</v>
      </c>
      <c r="N45" s="883"/>
      <c r="O45" s="1431" t="s">
        <v>3496</v>
      </c>
      <c r="P45" s="883" t="s">
        <v>4830</v>
      </c>
      <c r="Q45" s="1219">
        <v>45414.0</v>
      </c>
      <c r="R45" s="883" t="s">
        <v>4449</v>
      </c>
      <c r="S45" s="883" t="s">
        <v>4958</v>
      </c>
      <c r="T45" s="883" t="s">
        <v>4959</v>
      </c>
      <c r="U45" s="883"/>
      <c r="V45" s="883"/>
      <c r="W45" s="883"/>
      <c r="X45" s="749"/>
      <c r="Y45" s="749"/>
      <c r="Z45" s="749"/>
    </row>
    <row r="46" ht="15.75" customHeight="1">
      <c r="A46" s="1213">
        <v>1.0</v>
      </c>
      <c r="B46" s="1206" t="s">
        <v>4960</v>
      </c>
      <c r="C46" s="1209" t="s">
        <v>4961</v>
      </c>
      <c r="D46" s="1045" t="s">
        <v>4827</v>
      </c>
      <c r="E46" s="1209"/>
      <c r="F46" s="1209" t="s">
        <v>4962</v>
      </c>
      <c r="G46" s="1211">
        <v>0.69</v>
      </c>
      <c r="H46" s="1605">
        <v>293.0</v>
      </c>
      <c r="I46" s="1211"/>
      <c r="J46" s="1574"/>
      <c r="K46" s="1209"/>
      <c r="L46" s="1209"/>
      <c r="M46" s="1045" t="s">
        <v>4966</v>
      </c>
      <c r="N46" s="883"/>
      <c r="O46" s="1424"/>
      <c r="P46" s="1564"/>
      <c r="Q46" s="1219"/>
      <c r="R46" s="1406"/>
      <c r="S46" s="1406"/>
      <c r="T46" s="1406"/>
      <c r="U46" s="1406"/>
      <c r="V46" s="1406"/>
      <c r="W46" s="1406"/>
      <c r="X46" s="749"/>
      <c r="Y46" s="749"/>
      <c r="Z46" s="749"/>
    </row>
    <row r="47" ht="15.75" customHeight="1">
      <c r="A47" s="1213">
        <v>1.0</v>
      </c>
      <c r="B47" s="1206" t="s">
        <v>4967</v>
      </c>
      <c r="C47" s="1209" t="s">
        <v>4961</v>
      </c>
      <c r="D47" s="1045" t="s">
        <v>4827</v>
      </c>
      <c r="E47" s="1209" t="s">
        <v>557</v>
      </c>
      <c r="F47" s="1209" t="s">
        <v>4969</v>
      </c>
      <c r="G47" s="1211">
        <v>0.94</v>
      </c>
      <c r="H47" s="1605">
        <v>400.0</v>
      </c>
      <c r="I47" s="1211">
        <v>24000.0</v>
      </c>
      <c r="J47" s="1574"/>
      <c r="K47" s="1209"/>
      <c r="L47" s="1209"/>
      <c r="M47" s="1045" t="s">
        <v>4966</v>
      </c>
      <c r="N47" s="883"/>
      <c r="O47" s="1424"/>
      <c r="P47" s="883" t="s">
        <v>4893</v>
      </c>
      <c r="Q47" s="1219">
        <v>45443.0</v>
      </c>
      <c r="R47" s="1406"/>
      <c r="S47" s="1406"/>
      <c r="T47" s="1406"/>
      <c r="U47" s="1406"/>
      <c r="V47" s="1406"/>
      <c r="W47" s="1406"/>
      <c r="X47" s="749"/>
      <c r="Y47" s="749"/>
      <c r="Z47" s="749"/>
    </row>
    <row r="48" ht="15.75" customHeight="1">
      <c r="A48" s="1213">
        <v>1.0</v>
      </c>
      <c r="B48" s="1206" t="s">
        <v>4971</v>
      </c>
      <c r="C48" s="1045" t="s">
        <v>4972</v>
      </c>
      <c r="D48" s="1045" t="s">
        <v>1780</v>
      </c>
      <c r="E48" s="1209"/>
      <c r="F48" s="1209"/>
      <c r="G48" s="1211"/>
      <c r="H48" s="1605"/>
      <c r="I48" s="1211"/>
      <c r="J48" s="1427"/>
      <c r="K48" s="1611" t="s">
        <v>4608</v>
      </c>
      <c r="L48" s="1016"/>
      <c r="M48" s="1045" t="s">
        <v>4978</v>
      </c>
      <c r="N48" s="883"/>
      <c r="O48" s="1424"/>
      <c r="P48" s="883" t="s">
        <v>4979</v>
      </c>
      <c r="Q48" s="1219">
        <v>45489.0</v>
      </c>
      <c r="R48" s="1406"/>
      <c r="S48" s="1406"/>
      <c r="T48" s="1406"/>
      <c r="U48" s="1406"/>
      <c r="V48" s="1406"/>
      <c r="W48" s="1406"/>
      <c r="X48" s="749"/>
      <c r="Y48" s="749"/>
      <c r="Z48" s="749"/>
    </row>
    <row r="49" ht="15.75" customHeight="1">
      <c r="A49" s="1213">
        <v>1.0</v>
      </c>
      <c r="B49" s="1206" t="s">
        <v>4980</v>
      </c>
      <c r="C49" s="1045" t="s">
        <v>4981</v>
      </c>
      <c r="D49" s="1045" t="s">
        <v>4827</v>
      </c>
      <c r="E49" s="1209" t="s">
        <v>557</v>
      </c>
      <c r="F49" s="1209" t="s">
        <v>4982</v>
      </c>
      <c r="G49" s="1211">
        <v>0.377</v>
      </c>
      <c r="H49" s="1605">
        <v>160.0</v>
      </c>
      <c r="I49" s="1211"/>
      <c r="J49" s="891" t="s">
        <v>4983</v>
      </c>
      <c r="K49" s="1611"/>
      <c r="L49" s="1016"/>
      <c r="M49" s="1045" t="s">
        <v>4984</v>
      </c>
      <c r="N49" s="883"/>
      <c r="O49" s="1431" t="s">
        <v>3496</v>
      </c>
      <c r="P49" s="883" t="s">
        <v>4985</v>
      </c>
      <c r="Q49" s="1219">
        <v>45504.0</v>
      </c>
      <c r="R49" s="1406" t="s">
        <v>4449</v>
      </c>
      <c r="S49" s="1406" t="s">
        <v>4986</v>
      </c>
      <c r="T49" s="1406" t="s">
        <v>4987</v>
      </c>
      <c r="U49" s="1406"/>
      <c r="V49" s="1406"/>
      <c r="W49" s="1406"/>
      <c r="X49" s="749"/>
      <c r="Y49" s="749"/>
      <c r="Z49" s="749"/>
    </row>
    <row r="50" ht="15.75" customHeight="1">
      <c r="A50" s="1213">
        <v>1.0</v>
      </c>
      <c r="B50" s="1206" t="s">
        <v>4988</v>
      </c>
      <c r="C50" s="883" t="s">
        <v>4989</v>
      </c>
      <c r="D50" s="1045" t="s">
        <v>4865</v>
      </c>
      <c r="E50" s="1045" t="s">
        <v>557</v>
      </c>
      <c r="F50" s="1209" t="s">
        <v>4990</v>
      </c>
      <c r="G50" s="1211">
        <v>0.32</v>
      </c>
      <c r="H50" s="1605">
        <v>138.0</v>
      </c>
      <c r="I50" s="1211">
        <v>8280.0</v>
      </c>
      <c r="J50" s="1574"/>
      <c r="K50" s="1209"/>
      <c r="L50" s="1209"/>
      <c r="M50" s="1045" t="s">
        <v>4984</v>
      </c>
      <c r="N50" s="883"/>
      <c r="O50" s="1431" t="s">
        <v>3496</v>
      </c>
      <c r="P50" s="883" t="s">
        <v>4979</v>
      </c>
      <c r="Q50" s="1213" t="s">
        <v>4991</v>
      </c>
      <c r="R50" s="1406" t="s">
        <v>4605</v>
      </c>
      <c r="S50" s="1406" t="s">
        <v>4992</v>
      </c>
      <c r="T50" s="1406" t="s">
        <v>4849</v>
      </c>
      <c r="U50" s="1406"/>
      <c r="V50" s="1406"/>
      <c r="W50" s="1406"/>
      <c r="X50" s="749"/>
      <c r="Y50" s="749"/>
      <c r="Z50" s="749"/>
    </row>
    <row r="51" ht="15.75" customHeight="1">
      <c r="A51" s="1213">
        <v>1.0</v>
      </c>
      <c r="B51" s="1206" t="s">
        <v>4993</v>
      </c>
      <c r="C51" s="883" t="s">
        <v>4994</v>
      </c>
      <c r="D51" s="1045" t="s">
        <v>4865</v>
      </c>
      <c r="E51" s="1045" t="s">
        <v>557</v>
      </c>
      <c r="F51" s="1209" t="s">
        <v>4995</v>
      </c>
      <c r="G51" s="1211">
        <v>0.16</v>
      </c>
      <c r="H51" s="1605">
        <v>72.0</v>
      </c>
      <c r="I51" s="1211">
        <v>7200.0</v>
      </c>
      <c r="J51" s="1427"/>
      <c r="K51" s="1045"/>
      <c r="L51" s="1045"/>
      <c r="M51" s="883" t="s">
        <v>4996</v>
      </c>
      <c r="N51" s="883"/>
      <c r="O51" s="1424"/>
      <c r="P51" s="883" t="s">
        <v>4997</v>
      </c>
      <c r="Q51" s="1219">
        <v>45443.0</v>
      </c>
      <c r="R51" s="1406"/>
      <c r="S51" s="1406"/>
      <c r="T51" s="1406"/>
      <c r="U51" s="1406"/>
      <c r="V51" s="1406"/>
      <c r="W51" s="1406"/>
      <c r="X51" s="749"/>
      <c r="Y51" s="749"/>
      <c r="Z51" s="749"/>
    </row>
    <row r="52" ht="15.75" customHeight="1">
      <c r="A52" s="1213">
        <v>1.0</v>
      </c>
      <c r="B52" s="1206" t="s">
        <v>4998</v>
      </c>
      <c r="C52" s="883" t="s">
        <v>4999</v>
      </c>
      <c r="D52" s="1045" t="s">
        <v>4827</v>
      </c>
      <c r="E52" s="1045" t="s">
        <v>557</v>
      </c>
      <c r="F52" s="1209" t="s">
        <v>5000</v>
      </c>
      <c r="G52" s="1211">
        <v>0.13</v>
      </c>
      <c r="H52" s="1605">
        <v>57.0</v>
      </c>
      <c r="I52" s="1211">
        <v>2850.0</v>
      </c>
      <c r="J52" s="1427"/>
      <c r="K52" s="1045"/>
      <c r="L52" s="1045"/>
      <c r="M52" s="1045" t="s">
        <v>4984</v>
      </c>
      <c r="N52" s="1036"/>
      <c r="O52" s="1431" t="s">
        <v>3496</v>
      </c>
      <c r="P52" s="883" t="s">
        <v>4985</v>
      </c>
      <c r="Q52" s="1617" t="s">
        <v>5001</v>
      </c>
      <c r="R52" s="1406" t="s">
        <v>4860</v>
      </c>
      <c r="S52" s="1406" t="s">
        <v>5013</v>
      </c>
      <c r="T52" s="1621">
        <v>45424.0</v>
      </c>
      <c r="U52" s="1406"/>
      <c r="V52" s="1406"/>
      <c r="W52" s="1406"/>
      <c r="X52" s="749"/>
      <c r="Y52" s="749"/>
      <c r="Z52" s="749"/>
    </row>
    <row r="53" ht="15.75" customHeight="1">
      <c r="A53" s="1213">
        <v>1.0</v>
      </c>
      <c r="B53" s="1206" t="s">
        <v>5044</v>
      </c>
      <c r="C53" s="1045" t="s">
        <v>5049</v>
      </c>
      <c r="D53" s="1045" t="s">
        <v>5053</v>
      </c>
      <c r="E53" s="1209" t="s">
        <v>5055</v>
      </c>
      <c r="F53" s="1045"/>
      <c r="G53" s="1211"/>
      <c r="H53" s="1211"/>
      <c r="I53" s="1211"/>
      <c r="J53" s="1574"/>
      <c r="K53" s="1574" t="s">
        <v>1839</v>
      </c>
      <c r="L53" s="1209"/>
      <c r="M53" s="1209"/>
      <c r="N53" s="883"/>
      <c r="O53" s="1424"/>
      <c r="P53" s="883" t="s">
        <v>5059</v>
      </c>
      <c r="Q53" s="1617">
        <v>45481.0</v>
      </c>
      <c r="R53" s="1406"/>
      <c r="S53" s="1406"/>
      <c r="T53" s="1406"/>
      <c r="U53" s="1406"/>
      <c r="V53" s="1406"/>
      <c r="W53" s="1406"/>
      <c r="X53" s="749"/>
      <c r="Y53" s="749"/>
      <c r="Z53" s="749"/>
    </row>
    <row r="54" ht="15.75" customHeight="1">
      <c r="A54" s="1213">
        <v>1.0</v>
      </c>
      <c r="B54" s="1206" t="s">
        <v>5066</v>
      </c>
      <c r="C54" s="1045" t="s">
        <v>5068</v>
      </c>
      <c r="D54" s="1045" t="s">
        <v>5069</v>
      </c>
      <c r="E54" s="1045" t="s">
        <v>5070</v>
      </c>
      <c r="F54" s="1045" t="s">
        <v>5072</v>
      </c>
      <c r="G54" s="1211">
        <v>0.9</v>
      </c>
      <c r="H54" s="1211">
        <v>382.0</v>
      </c>
      <c r="I54" s="1211"/>
      <c r="J54" s="1627"/>
      <c r="K54" s="1627" t="s">
        <v>5100</v>
      </c>
      <c r="L54" s="1209"/>
      <c r="M54" s="1045" t="s">
        <v>2256</v>
      </c>
      <c r="N54" s="883"/>
      <c r="O54" s="1431" t="s">
        <v>3496</v>
      </c>
      <c r="P54" s="883" t="s">
        <v>5105</v>
      </c>
      <c r="Q54" s="1617" t="s">
        <v>4740</v>
      </c>
      <c r="R54" s="1621">
        <v>45964.0</v>
      </c>
      <c r="S54" s="1406" t="s">
        <v>5108</v>
      </c>
      <c r="T54" s="1406" t="s">
        <v>3629</v>
      </c>
      <c r="U54" s="1406"/>
      <c r="V54" s="1406"/>
      <c r="W54" s="1406"/>
      <c r="X54" s="749"/>
      <c r="Y54" s="749"/>
      <c r="Z54" s="749"/>
    </row>
    <row r="55" ht="15.75" customHeight="1">
      <c r="A55" s="1213">
        <v>1.0</v>
      </c>
      <c r="B55" s="1630" t="s">
        <v>5119</v>
      </c>
      <c r="C55" s="1213" t="s">
        <v>2048</v>
      </c>
      <c r="D55" s="1045" t="s">
        <v>5130</v>
      </c>
      <c r="E55" s="883" t="s">
        <v>5131</v>
      </c>
      <c r="F55" s="1045" t="s">
        <v>5132</v>
      </c>
      <c r="G55" s="1554">
        <v>3.65</v>
      </c>
      <c r="H55" s="1634" t="s">
        <v>5133</v>
      </c>
      <c r="I55" s="1634" t="s">
        <v>5152</v>
      </c>
      <c r="J55" s="883" t="s">
        <v>5153</v>
      </c>
      <c r="K55" s="883"/>
      <c r="L55" s="1209"/>
      <c r="M55" s="1209"/>
      <c r="N55" s="883"/>
      <c r="O55" s="1424"/>
      <c r="P55" s="883" t="s">
        <v>5154</v>
      </c>
      <c r="Q55" s="1617">
        <v>45481.0</v>
      </c>
      <c r="R55" s="1406"/>
      <c r="S55" s="1406"/>
      <c r="T55" s="1406"/>
      <c r="U55" s="1406"/>
      <c r="V55" s="1406"/>
      <c r="W55" s="1406"/>
      <c r="X55" s="749"/>
      <c r="Y55" s="749"/>
      <c r="Z55" s="749"/>
    </row>
    <row r="56" ht="15.75" customHeight="1">
      <c r="A56" s="1213">
        <v>1.0</v>
      </c>
      <c r="B56" s="1630" t="s">
        <v>5155</v>
      </c>
      <c r="C56" s="883" t="s">
        <v>2015</v>
      </c>
      <c r="D56" s="1045" t="s">
        <v>4865</v>
      </c>
      <c r="E56" s="883" t="s">
        <v>557</v>
      </c>
      <c r="F56" s="1045" t="s">
        <v>5156</v>
      </c>
      <c r="G56" s="1554"/>
      <c r="H56" s="1634">
        <v>84.0</v>
      </c>
      <c r="I56" s="1638">
        <v>4200.0</v>
      </c>
      <c r="J56" s="1642"/>
      <c r="K56" s="883"/>
      <c r="L56" s="1209"/>
      <c r="M56" s="1209"/>
      <c r="N56" s="883"/>
      <c r="O56" s="1431" t="s">
        <v>3496</v>
      </c>
      <c r="P56" s="883" t="s">
        <v>5180</v>
      </c>
      <c r="Q56" s="1617"/>
      <c r="R56" s="1466">
        <v>45705.0</v>
      </c>
      <c r="S56" s="1406" t="s">
        <v>5182</v>
      </c>
      <c r="T56" s="1466">
        <v>45616.0</v>
      </c>
      <c r="U56" s="1406"/>
      <c r="V56" s="1406"/>
      <c r="W56" s="1406"/>
      <c r="X56" s="749"/>
      <c r="Y56" s="749"/>
      <c r="Z56" s="749"/>
    </row>
    <row r="57" ht="15.75" customHeight="1">
      <c r="A57" s="1213">
        <v>1.0</v>
      </c>
      <c r="B57" s="1630" t="s">
        <v>5187</v>
      </c>
      <c r="C57" s="883" t="s">
        <v>5188</v>
      </c>
      <c r="D57" s="1045" t="s">
        <v>4827</v>
      </c>
      <c r="E57" s="883" t="s">
        <v>557</v>
      </c>
      <c r="F57" s="1045" t="s">
        <v>5189</v>
      </c>
      <c r="G57" s="1554"/>
      <c r="H57" s="1634">
        <v>94.0</v>
      </c>
      <c r="I57" s="1638">
        <v>4700.0</v>
      </c>
      <c r="J57" s="1642"/>
      <c r="K57" s="883"/>
      <c r="L57" s="1209"/>
      <c r="M57" s="1045" t="s">
        <v>4984</v>
      </c>
      <c r="N57" s="883"/>
      <c r="O57" s="1646" t="s">
        <v>3496</v>
      </c>
      <c r="P57" s="883" t="s">
        <v>5197</v>
      </c>
      <c r="Q57" s="1617"/>
      <c r="R57" s="1466">
        <v>46204.0</v>
      </c>
      <c r="S57" s="1406" t="s">
        <v>5198</v>
      </c>
      <c r="T57" s="1466">
        <v>46196.0</v>
      </c>
      <c r="U57" s="1406"/>
      <c r="V57" s="1406"/>
      <c r="W57" s="1406"/>
      <c r="X57" s="749"/>
      <c r="Y57" s="749"/>
      <c r="Z57" s="749"/>
    </row>
    <row r="58" ht="15.75" customHeight="1">
      <c r="A58" s="1213">
        <v>1.0</v>
      </c>
      <c r="B58" s="1206" t="s">
        <v>5199</v>
      </c>
      <c r="C58" s="1045" t="s">
        <v>5200</v>
      </c>
      <c r="D58" s="1045" t="s">
        <v>535</v>
      </c>
      <c r="E58" s="1209" t="s">
        <v>5201</v>
      </c>
      <c r="F58" s="1045" t="s">
        <v>5202</v>
      </c>
      <c r="G58" s="1211">
        <v>0.71</v>
      </c>
      <c r="H58" s="1550">
        <v>302.0</v>
      </c>
      <c r="I58" s="1211">
        <v>32240.0</v>
      </c>
      <c r="J58" s="1574"/>
      <c r="K58" s="1209"/>
      <c r="L58" s="1209"/>
      <c r="M58" s="1045" t="s">
        <v>2256</v>
      </c>
      <c r="N58" s="883"/>
      <c r="O58" s="1424"/>
      <c r="P58" s="883" t="s">
        <v>5204</v>
      </c>
      <c r="Q58" s="1560" t="s">
        <v>4991</v>
      </c>
      <c r="R58" s="1406"/>
      <c r="S58" s="1406"/>
      <c r="T58" s="1406"/>
      <c r="U58" s="1406"/>
      <c r="V58" s="1406"/>
      <c r="W58" s="1406"/>
      <c r="X58" s="749"/>
      <c r="Y58" s="749"/>
      <c r="Z58" s="749"/>
    </row>
    <row r="59" ht="15.75" customHeight="1">
      <c r="A59" s="1213">
        <v>1.0</v>
      </c>
      <c r="B59" s="1206" t="s">
        <v>4814</v>
      </c>
      <c r="C59" s="1045" t="s">
        <v>5205</v>
      </c>
      <c r="D59" s="1045" t="s">
        <v>4827</v>
      </c>
      <c r="E59" s="1209" t="s">
        <v>557</v>
      </c>
      <c r="F59" s="1045" t="s">
        <v>5206</v>
      </c>
      <c r="G59" s="1211"/>
      <c r="H59" s="1550">
        <v>48.0</v>
      </c>
      <c r="I59" s="1211">
        <v>2880.0</v>
      </c>
      <c r="J59" s="1574"/>
      <c r="K59" s="1209"/>
      <c r="L59" s="1209"/>
      <c r="M59" s="1045" t="s">
        <v>1247</v>
      </c>
      <c r="N59" s="883"/>
      <c r="O59" s="1431" t="s">
        <v>3496</v>
      </c>
      <c r="P59" s="883" t="s">
        <v>5197</v>
      </c>
      <c r="Q59" s="1560"/>
      <c r="R59" s="1466">
        <v>46182.0</v>
      </c>
      <c r="S59" s="1406" t="s">
        <v>5208</v>
      </c>
      <c r="T59" s="1466">
        <v>46167.0</v>
      </c>
      <c r="U59" s="1406"/>
      <c r="V59" s="1406"/>
      <c r="W59" s="1406"/>
      <c r="X59" s="749"/>
      <c r="Y59" s="749"/>
      <c r="Z59" s="749"/>
    </row>
    <row r="60" ht="15.75" customHeight="1">
      <c r="A60" s="1213">
        <v>1.0</v>
      </c>
      <c r="B60" s="1206" t="s">
        <v>5211</v>
      </c>
      <c r="C60" s="1045" t="s">
        <v>5213</v>
      </c>
      <c r="D60" s="1045" t="s">
        <v>4865</v>
      </c>
      <c r="E60" s="1045" t="s">
        <v>557</v>
      </c>
      <c r="F60" s="1045" t="s">
        <v>5214</v>
      </c>
      <c r="G60" s="1211">
        <v>1.511</v>
      </c>
      <c r="H60" s="1550">
        <v>641.0</v>
      </c>
      <c r="I60" s="1211">
        <v>35255.0</v>
      </c>
      <c r="J60" s="1574"/>
      <c r="K60" s="1209"/>
      <c r="L60" s="1209"/>
      <c r="M60" s="1045" t="s">
        <v>1247</v>
      </c>
      <c r="N60" s="883"/>
      <c r="O60" s="1431" t="s">
        <v>3496</v>
      </c>
      <c r="P60" s="883" t="s">
        <v>5216</v>
      </c>
      <c r="Q60" s="1560" t="s">
        <v>5217</v>
      </c>
      <c r="R60" s="1621">
        <v>45964.0</v>
      </c>
      <c r="S60" s="1406" t="s">
        <v>5218</v>
      </c>
      <c r="T60" s="1406" t="s">
        <v>3629</v>
      </c>
      <c r="U60" s="1406"/>
      <c r="V60" s="1406"/>
      <c r="W60" s="1406"/>
      <c r="X60" s="749"/>
      <c r="Y60" s="749"/>
      <c r="Z60" s="749"/>
    </row>
    <row r="61" ht="15.75" customHeight="1">
      <c r="A61" s="1213">
        <v>1.0</v>
      </c>
      <c r="B61" s="1206" t="s">
        <v>5220</v>
      </c>
      <c r="C61" s="1045" t="s">
        <v>5223</v>
      </c>
      <c r="D61" s="1045" t="s">
        <v>1780</v>
      </c>
      <c r="E61" s="1045" t="s">
        <v>5225</v>
      </c>
      <c r="F61" s="1045" t="s">
        <v>5227</v>
      </c>
      <c r="G61" s="1211"/>
      <c r="H61" s="1550">
        <v>120.0</v>
      </c>
      <c r="I61" s="1211">
        <v>5400.0</v>
      </c>
      <c r="J61" s="1045" t="s">
        <v>5229</v>
      </c>
      <c r="K61" s="1045"/>
      <c r="L61" s="1209"/>
      <c r="M61" s="1045" t="s">
        <v>1780</v>
      </c>
      <c r="N61" s="883"/>
      <c r="O61" s="1424"/>
      <c r="P61" s="883" t="s">
        <v>5230</v>
      </c>
      <c r="Q61" s="1560"/>
      <c r="R61" s="1406"/>
      <c r="S61" s="1406"/>
      <c r="T61" s="1406"/>
      <c r="U61" s="1406"/>
      <c r="V61" s="1406"/>
      <c r="W61" s="1406"/>
      <c r="X61" s="749"/>
      <c r="Y61" s="749"/>
      <c r="Z61" s="749"/>
    </row>
    <row r="62" ht="15.75" customHeight="1">
      <c r="A62" s="1213">
        <v>1.0</v>
      </c>
      <c r="B62" s="1206" t="s">
        <v>5240</v>
      </c>
      <c r="C62" s="1045" t="s">
        <v>5242</v>
      </c>
      <c r="D62" s="1045" t="s">
        <v>4865</v>
      </c>
      <c r="E62" s="1045" t="s">
        <v>557</v>
      </c>
      <c r="F62" s="1045" t="s">
        <v>5244</v>
      </c>
      <c r="G62" s="1211">
        <v>0.54</v>
      </c>
      <c r="H62" s="1550">
        <v>230.0</v>
      </c>
      <c r="I62" s="1211">
        <v>23000.0</v>
      </c>
      <c r="J62" s="1574"/>
      <c r="K62" s="1209"/>
      <c r="L62" s="1209"/>
      <c r="M62" s="1045" t="s">
        <v>2256</v>
      </c>
      <c r="N62" s="883"/>
      <c r="O62" s="1431" t="s">
        <v>3496</v>
      </c>
      <c r="P62" s="883" t="s">
        <v>5248</v>
      </c>
      <c r="Q62" s="1560" t="s">
        <v>5217</v>
      </c>
      <c r="R62" s="1406" t="s">
        <v>5249</v>
      </c>
      <c r="S62" s="1406" t="s">
        <v>5251</v>
      </c>
      <c r="T62" s="1406" t="s">
        <v>5252</v>
      </c>
      <c r="U62" s="1406"/>
      <c r="V62" s="1406"/>
      <c r="W62" s="1406"/>
      <c r="X62" s="749"/>
      <c r="Y62" s="749"/>
      <c r="Z62" s="749"/>
    </row>
    <row r="63" ht="15.75" customHeight="1">
      <c r="A63" s="1213">
        <v>1.0</v>
      </c>
      <c r="B63" s="1206" t="s">
        <v>5254</v>
      </c>
      <c r="C63" s="1045" t="s">
        <v>5061</v>
      </c>
      <c r="D63" s="1045" t="s">
        <v>4827</v>
      </c>
      <c r="E63" s="1045" t="s">
        <v>557</v>
      </c>
      <c r="F63" s="1045" t="s">
        <v>5256</v>
      </c>
      <c r="G63" s="1211"/>
      <c r="H63" s="1550">
        <v>319.0</v>
      </c>
      <c r="I63" s="1211">
        <v>23925.0</v>
      </c>
      <c r="J63" s="1574"/>
      <c r="K63" s="1209"/>
      <c r="L63" s="1209"/>
      <c r="M63" s="1045" t="s">
        <v>1247</v>
      </c>
      <c r="N63" s="883"/>
      <c r="O63" s="1424"/>
      <c r="P63" s="883" t="s">
        <v>5262</v>
      </c>
      <c r="Q63" s="1560"/>
      <c r="R63" s="1406"/>
      <c r="S63" s="1406"/>
      <c r="T63" s="1406"/>
      <c r="U63" s="1406"/>
      <c r="V63" s="1406"/>
      <c r="W63" s="1406"/>
      <c r="X63" s="749"/>
      <c r="Y63" s="749"/>
      <c r="Z63" s="749"/>
    </row>
    <row r="64" ht="15.75" customHeight="1">
      <c r="A64" s="1213">
        <v>1.0</v>
      </c>
      <c r="B64" s="1206" t="s">
        <v>5264</v>
      </c>
      <c r="C64" s="1045" t="s">
        <v>5265</v>
      </c>
      <c r="D64" s="1045" t="s">
        <v>1780</v>
      </c>
      <c r="E64" s="1045" t="s">
        <v>5266</v>
      </c>
      <c r="F64" s="1045" t="s">
        <v>5267</v>
      </c>
      <c r="G64" s="1211">
        <v>0.71</v>
      </c>
      <c r="H64" s="1550">
        <v>300.0</v>
      </c>
      <c r="I64" s="1211">
        <v>13500.0</v>
      </c>
      <c r="J64" s="1574"/>
      <c r="K64" s="1209"/>
      <c r="L64" s="1209"/>
      <c r="M64" s="1045"/>
      <c r="N64" s="883"/>
      <c r="O64" s="1424"/>
      <c r="P64" s="883" t="s">
        <v>5180</v>
      </c>
      <c r="Q64" s="1560" t="s">
        <v>5268</v>
      </c>
      <c r="R64" s="1406"/>
      <c r="S64" s="1406"/>
      <c r="T64" s="1406"/>
      <c r="U64" s="1406"/>
      <c r="V64" s="1406"/>
      <c r="W64" s="1406"/>
      <c r="X64" s="749"/>
      <c r="Y64" s="749"/>
      <c r="Z64" s="749"/>
    </row>
    <row r="65" ht="15.75" customHeight="1">
      <c r="A65" s="1213">
        <v>1.0</v>
      </c>
      <c r="B65" s="1206" t="s">
        <v>5269</v>
      </c>
      <c r="C65" s="1045" t="s">
        <v>3392</v>
      </c>
      <c r="D65" s="1045" t="s">
        <v>4865</v>
      </c>
      <c r="E65" s="1045" t="s">
        <v>557</v>
      </c>
      <c r="F65" s="1045" t="s">
        <v>685</v>
      </c>
      <c r="G65" s="1211"/>
      <c r="H65" s="1550">
        <v>86.0</v>
      </c>
      <c r="I65" s="1211">
        <v>8600.0</v>
      </c>
      <c r="J65" s="1574"/>
      <c r="K65" s="1209"/>
      <c r="L65" s="1209"/>
      <c r="M65" s="1045" t="s">
        <v>5271</v>
      </c>
      <c r="N65" s="883"/>
      <c r="O65" s="1431" t="s">
        <v>3496</v>
      </c>
      <c r="P65" s="883" t="s">
        <v>5180</v>
      </c>
      <c r="Q65" s="1560"/>
      <c r="R65" s="1406" t="s">
        <v>4449</v>
      </c>
      <c r="S65" s="1406" t="s">
        <v>5272</v>
      </c>
      <c r="T65" s="1406" t="s">
        <v>5018</v>
      </c>
      <c r="U65" s="1406"/>
      <c r="V65" s="1406"/>
      <c r="W65" s="1406"/>
      <c r="X65" s="749"/>
      <c r="Y65" s="749"/>
      <c r="Z65" s="749"/>
    </row>
    <row r="66" ht="15.75" customHeight="1">
      <c r="A66" s="1213">
        <v>1.0</v>
      </c>
      <c r="B66" s="1206" t="s">
        <v>5269</v>
      </c>
      <c r="C66" s="1045" t="s">
        <v>3392</v>
      </c>
      <c r="D66" s="1045" t="s">
        <v>4865</v>
      </c>
      <c r="E66" s="1045" t="s">
        <v>557</v>
      </c>
      <c r="F66" s="1045" t="s">
        <v>1330</v>
      </c>
      <c r="G66" s="1211"/>
      <c r="H66" s="1550">
        <v>224.0</v>
      </c>
      <c r="I66" s="1211">
        <v>22400.0</v>
      </c>
      <c r="J66" s="1574"/>
      <c r="K66" s="1209"/>
      <c r="L66" s="1209"/>
      <c r="M66" s="1045" t="s">
        <v>5271</v>
      </c>
      <c r="N66" s="883"/>
      <c r="O66" s="1424"/>
      <c r="P66" s="883" t="s">
        <v>5180</v>
      </c>
      <c r="Q66" s="1560"/>
      <c r="R66" s="1406"/>
      <c r="S66" s="1406"/>
      <c r="T66" s="1406"/>
      <c r="U66" s="1406"/>
      <c r="V66" s="1406"/>
      <c r="W66" s="1406"/>
      <c r="X66" s="749"/>
      <c r="Y66" s="749"/>
      <c r="Z66" s="749"/>
    </row>
    <row r="67" ht="15.75" customHeight="1">
      <c r="A67" s="1213">
        <v>1.0</v>
      </c>
      <c r="B67" s="1206" t="s">
        <v>5278</v>
      </c>
      <c r="C67" s="1045" t="s">
        <v>5279</v>
      </c>
      <c r="D67" s="1045" t="s">
        <v>4827</v>
      </c>
      <c r="E67" s="1045" t="s">
        <v>557</v>
      </c>
      <c r="F67" s="1045" t="s">
        <v>558</v>
      </c>
      <c r="G67" s="1211"/>
      <c r="H67" s="1550">
        <v>240.0</v>
      </c>
      <c r="I67" s="1211">
        <v>16800.0</v>
      </c>
      <c r="J67" s="1574"/>
      <c r="K67" s="1209"/>
      <c r="L67" s="1209"/>
      <c r="M67" s="1045" t="s">
        <v>1247</v>
      </c>
      <c r="N67" s="883"/>
      <c r="O67" s="1424"/>
      <c r="P67" s="883" t="s">
        <v>5281</v>
      </c>
      <c r="Q67" s="1560"/>
      <c r="R67" s="1406"/>
      <c r="S67" s="1406"/>
      <c r="T67" s="1406"/>
      <c r="U67" s="1406"/>
      <c r="V67" s="1406"/>
      <c r="W67" s="1406"/>
      <c r="X67" s="749"/>
      <c r="Y67" s="749"/>
      <c r="Z67" s="749"/>
    </row>
    <row r="68" ht="15.75" customHeight="1">
      <c r="A68" s="1213">
        <v>1.0</v>
      </c>
      <c r="B68" s="1206" t="s">
        <v>5283</v>
      </c>
      <c r="C68" s="914" t="s">
        <v>5285</v>
      </c>
      <c r="D68" s="914" t="s">
        <v>4865</v>
      </c>
      <c r="E68" s="914" t="s">
        <v>557</v>
      </c>
      <c r="F68" s="914" t="s">
        <v>5287</v>
      </c>
      <c r="G68" s="1265">
        <v>0.85</v>
      </c>
      <c r="H68" s="1265">
        <v>362.0</v>
      </c>
      <c r="I68" s="1269">
        <v>20865.0</v>
      </c>
      <c r="J68" s="1658"/>
      <c r="K68" s="1265"/>
      <c r="L68" s="1265"/>
      <c r="M68" s="914" t="s">
        <v>1780</v>
      </c>
      <c r="N68" s="824"/>
      <c r="O68" s="1662" t="s">
        <v>3496</v>
      </c>
      <c r="P68" s="824" t="s">
        <v>5301</v>
      </c>
      <c r="Q68" s="1666">
        <v>45600.0</v>
      </c>
      <c r="R68" s="1670">
        <v>46218.0</v>
      </c>
      <c r="S68" s="1225" t="s">
        <v>5313</v>
      </c>
      <c r="T68" s="1670">
        <v>46160.0</v>
      </c>
      <c r="U68" s="1225"/>
      <c r="V68" s="1225"/>
      <c r="W68" s="1225"/>
      <c r="X68" s="749"/>
      <c r="Y68" s="749"/>
      <c r="Z68" s="749"/>
    </row>
    <row r="69" ht="15.75" customHeight="1">
      <c r="A69" s="1213">
        <v>1.0</v>
      </c>
      <c r="B69" s="1206" t="s">
        <v>5314</v>
      </c>
      <c r="C69" s="1045" t="s">
        <v>5315</v>
      </c>
      <c r="D69" s="1045" t="s">
        <v>736</v>
      </c>
      <c r="E69" s="1045" t="s">
        <v>557</v>
      </c>
      <c r="F69" s="1045" t="s">
        <v>5316</v>
      </c>
      <c r="G69" s="1209"/>
      <c r="H69" s="1209">
        <v>185.0</v>
      </c>
      <c r="I69" s="1211">
        <v>5550.0</v>
      </c>
      <c r="J69" s="1427"/>
      <c r="K69" s="1209"/>
      <c r="L69" s="1209"/>
      <c r="M69" s="1045"/>
      <c r="N69" s="883"/>
      <c r="O69" s="1431" t="s">
        <v>3496</v>
      </c>
      <c r="P69" s="883"/>
      <c r="Q69" s="1560"/>
      <c r="R69" s="1406" t="s">
        <v>5317</v>
      </c>
      <c r="S69" s="1406" t="s">
        <v>5318</v>
      </c>
      <c r="T69" s="1621">
        <v>45931.0</v>
      </c>
      <c r="U69" s="1406"/>
      <c r="V69" s="1406"/>
      <c r="W69" s="1406"/>
      <c r="X69" s="749"/>
      <c r="Y69" s="749"/>
      <c r="Z69" s="749"/>
    </row>
    <row r="70" ht="15.75" customHeight="1">
      <c r="A70" s="1213">
        <v>1.0</v>
      </c>
      <c r="B70" s="1206" t="s">
        <v>5319</v>
      </c>
      <c r="C70" s="1045" t="s">
        <v>3261</v>
      </c>
      <c r="D70" s="1045" t="s">
        <v>4865</v>
      </c>
      <c r="E70" s="1045" t="s">
        <v>557</v>
      </c>
      <c r="F70" s="1045" t="s">
        <v>5320</v>
      </c>
      <c r="G70" s="1209"/>
      <c r="H70" s="1209">
        <v>464.0</v>
      </c>
      <c r="I70" s="1211">
        <v>27840.0</v>
      </c>
      <c r="J70" s="1427"/>
      <c r="K70" s="1209"/>
      <c r="L70" s="1209"/>
      <c r="M70" s="1045" t="s">
        <v>1247</v>
      </c>
      <c r="N70" s="883"/>
      <c r="O70" s="1424"/>
      <c r="P70" s="883" t="s">
        <v>5321</v>
      </c>
      <c r="Q70" s="1560"/>
      <c r="R70" s="1406"/>
      <c r="S70" s="1406"/>
      <c r="T70" s="1406"/>
      <c r="U70" s="1406"/>
      <c r="V70" s="1406"/>
      <c r="W70" s="1406"/>
      <c r="X70" s="749"/>
      <c r="Y70" s="749"/>
      <c r="Z70" s="749"/>
    </row>
    <row r="71" ht="15.75" customHeight="1">
      <c r="A71" s="1213">
        <v>1.0</v>
      </c>
      <c r="B71" s="1206" t="s">
        <v>5322</v>
      </c>
      <c r="C71" s="1045" t="s">
        <v>5323</v>
      </c>
      <c r="D71" s="1045" t="s">
        <v>5324</v>
      </c>
      <c r="E71" s="1045" t="s">
        <v>557</v>
      </c>
      <c r="F71" s="1045" t="s">
        <v>5189</v>
      </c>
      <c r="G71" s="1209"/>
      <c r="H71" s="1209">
        <v>45.0</v>
      </c>
      <c r="I71" s="1211">
        <v>2925.0</v>
      </c>
      <c r="J71" s="1427"/>
      <c r="K71" s="1209"/>
      <c r="L71" s="1209"/>
      <c r="M71" s="1045"/>
      <c r="N71" s="883"/>
      <c r="O71" s="1424"/>
      <c r="P71" s="883" t="s">
        <v>5321</v>
      </c>
      <c r="Q71" s="1560"/>
      <c r="R71" s="1406"/>
      <c r="S71" s="1406"/>
      <c r="T71" s="1406"/>
      <c r="U71" s="1406"/>
      <c r="V71" s="1406"/>
      <c r="W71" s="1406"/>
      <c r="X71" s="749"/>
      <c r="Y71" s="749"/>
      <c r="Z71" s="749"/>
    </row>
    <row r="72" ht="15.75" customHeight="1">
      <c r="A72" s="1213">
        <v>1.0</v>
      </c>
      <c r="B72" s="1206" t="s">
        <v>5325</v>
      </c>
      <c r="C72" s="1045" t="s">
        <v>5326</v>
      </c>
      <c r="D72" s="1045" t="s">
        <v>4865</v>
      </c>
      <c r="E72" s="1045" t="s">
        <v>5327</v>
      </c>
      <c r="F72" s="1045" t="s">
        <v>5328</v>
      </c>
      <c r="G72" s="1211"/>
      <c r="H72" s="1550"/>
      <c r="I72" s="1211">
        <v>14000.0</v>
      </c>
      <c r="J72" s="1675" t="s">
        <v>5329</v>
      </c>
      <c r="K72" s="1209"/>
      <c r="L72" s="1209"/>
      <c r="M72" s="1045"/>
      <c r="N72" s="883"/>
      <c r="O72" s="1431" t="s">
        <v>3496</v>
      </c>
      <c r="P72" s="883" t="s">
        <v>5349</v>
      </c>
      <c r="Q72" s="1617">
        <v>45586.0</v>
      </c>
      <c r="R72" s="1406" t="s">
        <v>3629</v>
      </c>
      <c r="S72" s="1406" t="s">
        <v>5354</v>
      </c>
      <c r="T72" s="1621" t="s">
        <v>5357</v>
      </c>
      <c r="U72" s="1406"/>
      <c r="V72" s="1406"/>
      <c r="W72" s="1406"/>
      <c r="X72" s="749"/>
      <c r="Y72" s="749"/>
      <c r="Z72" s="749"/>
    </row>
    <row r="73" ht="15.75" customHeight="1">
      <c r="A73" s="1247">
        <v>1.0</v>
      </c>
      <c r="B73" s="1275" t="s">
        <v>5358</v>
      </c>
      <c r="C73" s="1041" t="s">
        <v>5099</v>
      </c>
      <c r="D73" s="1041" t="s">
        <v>4865</v>
      </c>
      <c r="E73" s="1041" t="s">
        <v>557</v>
      </c>
      <c r="F73" s="1041" t="s">
        <v>5362</v>
      </c>
      <c r="G73" s="1277"/>
      <c r="H73" s="1639">
        <v>76.0</v>
      </c>
      <c r="I73" s="1277">
        <v>3800.0</v>
      </c>
      <c r="J73" s="1589"/>
      <c r="K73" s="1275"/>
      <c r="L73" s="1275"/>
      <c r="M73" s="1041"/>
      <c r="N73" s="609"/>
      <c r="O73" s="1592"/>
      <c r="P73" s="609" t="s">
        <v>5368</v>
      </c>
      <c r="Q73" s="1679"/>
      <c r="R73" s="1332"/>
      <c r="S73" s="1332"/>
      <c r="T73" s="1332"/>
      <c r="U73" s="1332" t="s">
        <v>5383</v>
      </c>
      <c r="V73" s="1684" t="s">
        <v>5354</v>
      </c>
      <c r="W73" s="1332" t="s">
        <v>5385</v>
      </c>
      <c r="X73" s="749"/>
      <c r="Y73" s="749"/>
      <c r="Z73" s="749"/>
    </row>
    <row r="74" ht="15.75" customHeight="1">
      <c r="A74" s="1247">
        <v>1.0</v>
      </c>
      <c r="B74" s="1275" t="s">
        <v>5386</v>
      </c>
      <c r="C74" s="1041" t="s">
        <v>5387</v>
      </c>
      <c r="D74" s="1041" t="s">
        <v>4865</v>
      </c>
      <c r="E74" s="1041" t="s">
        <v>557</v>
      </c>
      <c r="F74" s="1041" t="s">
        <v>207</v>
      </c>
      <c r="G74" s="1277"/>
      <c r="H74" s="1639">
        <v>206.0</v>
      </c>
      <c r="I74" s="1277">
        <v>20600.0</v>
      </c>
      <c r="J74" s="1589"/>
      <c r="K74" s="1275"/>
      <c r="L74" s="1275"/>
      <c r="M74" s="1041"/>
      <c r="N74" s="609"/>
      <c r="O74" s="1592"/>
      <c r="P74" s="609" t="s">
        <v>5368</v>
      </c>
      <c r="Q74" s="1679"/>
      <c r="R74" s="1332"/>
      <c r="S74" s="1332"/>
      <c r="T74" s="1688"/>
      <c r="U74" s="1332" t="s">
        <v>3871</v>
      </c>
      <c r="V74" s="1684" t="s">
        <v>5392</v>
      </c>
      <c r="W74" s="1332" t="s">
        <v>5393</v>
      </c>
      <c r="X74" s="749"/>
      <c r="Y74" s="749"/>
      <c r="Z74" s="749"/>
    </row>
    <row r="75" ht="15.75" customHeight="1">
      <c r="A75" s="1692">
        <v>1.0</v>
      </c>
      <c r="B75" s="1341" t="s">
        <v>5396</v>
      </c>
      <c r="C75" s="1696" t="s">
        <v>5397</v>
      </c>
      <c r="D75" s="1700" t="s">
        <v>1780</v>
      </c>
      <c r="E75" s="1700" t="s">
        <v>5398</v>
      </c>
      <c r="F75" s="1696" t="s">
        <v>5399</v>
      </c>
      <c r="G75" s="1211"/>
      <c r="H75" s="1704">
        <v>1203.0</v>
      </c>
      <c r="I75" s="1211">
        <v>60150.0</v>
      </c>
      <c r="J75" s="1709"/>
      <c r="K75" s="1712"/>
      <c r="L75" s="1712"/>
      <c r="M75" s="1714"/>
      <c r="N75" s="883"/>
      <c r="O75" s="1709"/>
      <c r="P75" s="883" t="s">
        <v>5450</v>
      </c>
      <c r="Q75" s="1716"/>
      <c r="R75" s="1718"/>
      <c r="S75" s="1718"/>
      <c r="T75" s="1718"/>
      <c r="U75" s="1718"/>
      <c r="V75" s="1718"/>
      <c r="W75" s="1718"/>
      <c r="X75" s="749"/>
      <c r="Y75" s="749"/>
      <c r="Z75" s="749"/>
    </row>
    <row r="76" ht="15.75" customHeight="1">
      <c r="A76" s="1692">
        <v>1.0</v>
      </c>
      <c r="B76" s="1341" t="s">
        <v>5499</v>
      </c>
      <c r="C76" s="1696" t="s">
        <v>5500</v>
      </c>
      <c r="D76" s="1700" t="s">
        <v>1780</v>
      </c>
      <c r="E76" s="1700" t="s">
        <v>5501</v>
      </c>
      <c r="F76" s="1696" t="s">
        <v>5503</v>
      </c>
      <c r="G76" s="1211"/>
      <c r="H76" s="1704" t="s">
        <v>5507</v>
      </c>
      <c r="I76" s="1211">
        <v>9100.0</v>
      </c>
      <c r="J76" s="1722" t="s">
        <v>5509</v>
      </c>
      <c r="K76" s="1712"/>
      <c r="L76" s="1712"/>
      <c r="M76" s="1714"/>
      <c r="N76" s="883"/>
      <c r="O76" s="1709"/>
      <c r="P76" s="883" t="s">
        <v>5450</v>
      </c>
      <c r="Q76" s="1716"/>
      <c r="R76" s="1718"/>
      <c r="S76" s="1718"/>
      <c r="T76" s="1718"/>
      <c r="U76" s="1718"/>
      <c r="V76" s="1718"/>
      <c r="W76" s="1718"/>
      <c r="X76" s="749"/>
      <c r="Y76" s="749"/>
      <c r="Z76" s="749"/>
    </row>
    <row r="77" ht="15.75" customHeight="1">
      <c r="A77" s="1692">
        <v>1.0</v>
      </c>
      <c r="B77" s="1341" t="s">
        <v>5499</v>
      </c>
      <c r="C77" s="1696" t="s">
        <v>2956</v>
      </c>
      <c r="D77" s="1700" t="s">
        <v>1780</v>
      </c>
      <c r="E77" s="1700" t="s">
        <v>5529</v>
      </c>
      <c r="F77" s="1696"/>
      <c r="G77" s="1211"/>
      <c r="H77" s="1704"/>
      <c r="I77" s="1211"/>
      <c r="J77" s="1722"/>
      <c r="K77" s="1728" t="s">
        <v>5530</v>
      </c>
      <c r="L77" s="1712"/>
      <c r="M77" s="1714"/>
      <c r="N77" s="883"/>
      <c r="O77" s="1709"/>
      <c r="P77" s="883" t="s">
        <v>5450</v>
      </c>
      <c r="Q77" s="1716"/>
      <c r="R77" s="1718"/>
      <c r="S77" s="1718"/>
      <c r="T77" s="1718"/>
      <c r="U77" s="1718"/>
      <c r="V77" s="1718"/>
      <c r="W77" s="1718"/>
      <c r="X77" s="749"/>
      <c r="Y77" s="749"/>
      <c r="Z77" s="749"/>
    </row>
    <row r="78" ht="15.75" customHeight="1">
      <c r="A78" s="1733">
        <v>1.0</v>
      </c>
      <c r="B78" s="1353" t="s">
        <v>5546</v>
      </c>
      <c r="C78" s="1737" t="s">
        <v>5547</v>
      </c>
      <c r="D78" s="1740" t="s">
        <v>1780</v>
      </c>
      <c r="E78" s="1740"/>
      <c r="F78" s="1737" t="s">
        <v>5571</v>
      </c>
      <c r="G78" s="1277"/>
      <c r="H78" s="1744"/>
      <c r="I78" s="1277"/>
      <c r="J78" s="1748" t="s">
        <v>5584</v>
      </c>
      <c r="K78" s="1753"/>
      <c r="L78" s="1755"/>
      <c r="M78" s="1759"/>
      <c r="N78" s="609"/>
      <c r="O78" s="1763"/>
      <c r="P78" s="609"/>
      <c r="Q78" s="1766"/>
      <c r="R78" s="1771"/>
      <c r="S78" s="1771"/>
      <c r="T78" s="1771"/>
      <c r="U78" s="1332" t="s">
        <v>5647</v>
      </c>
      <c r="V78" s="1586" t="s">
        <v>5648</v>
      </c>
      <c r="W78" s="1332" t="s">
        <v>5385</v>
      </c>
      <c r="X78" s="749"/>
      <c r="Y78" s="749"/>
      <c r="Z78" s="749"/>
    </row>
    <row r="79" ht="15.75" customHeight="1">
      <c r="A79" s="1692">
        <v>1.0</v>
      </c>
      <c r="B79" s="1341" t="s">
        <v>5649</v>
      </c>
      <c r="C79" s="1696" t="s">
        <v>5650</v>
      </c>
      <c r="D79" s="1700" t="s">
        <v>2882</v>
      </c>
      <c r="E79" s="1700" t="s">
        <v>663</v>
      </c>
      <c r="F79" s="1696" t="s">
        <v>5651</v>
      </c>
      <c r="G79" s="1211"/>
      <c r="H79" s="1704" t="s">
        <v>5652</v>
      </c>
      <c r="I79" s="1211"/>
      <c r="J79" s="1722"/>
      <c r="K79" s="1728"/>
      <c r="L79" s="1712"/>
      <c r="M79" s="1714"/>
      <c r="N79" s="883"/>
      <c r="O79" s="1431" t="s">
        <v>3496</v>
      </c>
      <c r="P79" s="883"/>
      <c r="Q79" s="1716"/>
      <c r="R79" s="1718" t="s">
        <v>5653</v>
      </c>
      <c r="S79" s="1718" t="s">
        <v>5654</v>
      </c>
      <c r="T79" s="1776" t="s">
        <v>5655</v>
      </c>
      <c r="U79" s="1718"/>
      <c r="V79" s="1718"/>
      <c r="W79" s="1718"/>
      <c r="X79" s="749"/>
      <c r="Y79" s="749"/>
      <c r="Z79" s="749"/>
    </row>
    <row r="80" ht="15.75" customHeight="1">
      <c r="A80" s="1692">
        <v>1.0</v>
      </c>
      <c r="B80" s="1341">
        <v>45535.0</v>
      </c>
      <c r="C80" s="1045" t="s">
        <v>5656</v>
      </c>
      <c r="D80" s="1209" t="s">
        <v>1780</v>
      </c>
      <c r="E80" s="1209" t="s">
        <v>663</v>
      </c>
      <c r="F80" s="1045" t="s">
        <v>5657</v>
      </c>
      <c r="G80" s="1211">
        <f>SUM(G38:G79)</f>
        <v>16.138</v>
      </c>
      <c r="H80" s="1704" t="s">
        <v>5660</v>
      </c>
      <c r="I80" s="1211">
        <v>20865.0</v>
      </c>
      <c r="J80" s="1722"/>
      <c r="K80" s="1728"/>
      <c r="L80" s="1712"/>
      <c r="M80" s="1714"/>
      <c r="N80" s="883" t="s">
        <v>5402</v>
      </c>
      <c r="O80" s="1431" t="s">
        <v>3496</v>
      </c>
      <c r="P80" s="883"/>
      <c r="Q80" s="1716"/>
      <c r="R80" s="1784">
        <v>46167.0</v>
      </c>
      <c r="S80" s="1718" t="s">
        <v>5666</v>
      </c>
      <c r="T80" s="1784">
        <v>45795.0</v>
      </c>
      <c r="U80" s="1718"/>
      <c r="V80" s="1718"/>
      <c r="W80" s="1718"/>
      <c r="X80" s="749"/>
      <c r="Y80" s="749"/>
      <c r="Z80" s="749"/>
    </row>
    <row r="81" ht="15.75" customHeight="1">
      <c r="A81" s="1511">
        <f>COUNTA(A38:A80)</f>
        <v>43</v>
      </c>
      <c r="B81" s="1497" t="s">
        <v>200</v>
      </c>
      <c r="C81" s="1501"/>
      <c r="D81" s="1501"/>
      <c r="E81" s="1501"/>
      <c r="F81" s="1501"/>
      <c r="G81" s="1505">
        <f>SUM(G40:G74)</f>
        <v>15.528</v>
      </c>
      <c r="H81" s="1505">
        <f>SUM(H38:H80)</f>
        <v>8775</v>
      </c>
      <c r="I81" s="1505">
        <f>SUM(I39:I80)</f>
        <v>459125</v>
      </c>
      <c r="J81" s="1511">
        <v>6.0</v>
      </c>
      <c r="K81" s="1790">
        <v>4.0</v>
      </c>
      <c r="L81" s="1790"/>
      <c r="M81" s="1501"/>
      <c r="N81" s="1794"/>
      <c r="O81" s="1511"/>
      <c r="P81" s="1468"/>
      <c r="Q81" s="1259"/>
      <c r="R81" s="1520"/>
      <c r="S81" s="1520"/>
      <c r="T81" s="1520"/>
      <c r="U81" s="1520"/>
      <c r="V81" s="1520"/>
      <c r="W81" s="1520"/>
      <c r="X81" s="749"/>
      <c r="Y81" s="749"/>
      <c r="Z81" s="749"/>
    </row>
    <row r="82" ht="15.75" customHeight="1">
      <c r="A82" s="1525"/>
      <c r="B82" s="1529" t="s">
        <v>312</v>
      </c>
      <c r="C82" s="1533"/>
      <c r="D82" s="1533"/>
      <c r="E82" s="1533"/>
      <c r="F82" s="1533"/>
      <c r="G82" s="1537"/>
      <c r="H82" s="1533"/>
      <c r="I82" s="1533"/>
      <c r="J82" s="1541"/>
      <c r="K82" s="1533"/>
      <c r="L82" s="1533"/>
      <c r="M82" s="1533"/>
      <c r="N82" s="1545"/>
      <c r="O82" s="1549"/>
      <c r="P82" s="1799"/>
      <c r="Q82" s="1802"/>
      <c r="R82" s="1561"/>
      <c r="S82" s="1561"/>
      <c r="T82" s="1561"/>
      <c r="U82" s="1561"/>
      <c r="V82" s="1561"/>
      <c r="W82" s="1561"/>
      <c r="X82" s="749"/>
      <c r="Y82" s="749"/>
      <c r="Z82" s="749"/>
    </row>
    <row r="83" ht="15.75" customHeight="1">
      <c r="A83" s="883">
        <v>1.0</v>
      </c>
      <c r="B83" s="1458" t="s">
        <v>5685</v>
      </c>
      <c r="C83" s="1045" t="s">
        <v>5686</v>
      </c>
      <c r="D83" s="1045" t="s">
        <v>5687</v>
      </c>
      <c r="E83" s="1045" t="s">
        <v>5688</v>
      </c>
      <c r="F83" s="1045" t="s">
        <v>5689</v>
      </c>
      <c r="G83" s="1421">
        <v>0.4</v>
      </c>
      <c r="H83" s="1045">
        <v>170.0</v>
      </c>
      <c r="I83" s="1045"/>
      <c r="J83" s="883"/>
      <c r="K83" s="1045" t="s">
        <v>5690</v>
      </c>
      <c r="L83" s="1045"/>
      <c r="M83" s="1209" t="s">
        <v>4194</v>
      </c>
      <c r="N83" s="883" t="s">
        <v>5691</v>
      </c>
      <c r="O83" s="1582"/>
      <c r="P83" s="1582"/>
      <c r="Q83" s="1807">
        <v>45415.0</v>
      </c>
      <c r="R83" s="1406"/>
      <c r="S83" s="1406"/>
      <c r="T83" s="1406"/>
      <c r="U83" s="1406"/>
      <c r="V83" s="1406"/>
      <c r="W83" s="1406"/>
      <c r="X83" s="749"/>
      <c r="Y83" s="749"/>
      <c r="Z83" s="749"/>
    </row>
    <row r="84" ht="15.75" customHeight="1">
      <c r="A84" s="1213">
        <v>1.0</v>
      </c>
      <c r="B84" s="1206" t="s">
        <v>5693</v>
      </c>
      <c r="C84" s="1209" t="s">
        <v>5694</v>
      </c>
      <c r="D84" s="1045" t="s">
        <v>5695</v>
      </c>
      <c r="E84" s="1045" t="s">
        <v>5696</v>
      </c>
      <c r="F84" s="1045" t="s">
        <v>5697</v>
      </c>
      <c r="G84" s="1211">
        <v>0.71</v>
      </c>
      <c r="H84" s="1209">
        <v>304.0</v>
      </c>
      <c r="I84" s="1211">
        <v>18240.0</v>
      </c>
      <c r="J84" s="1574"/>
      <c r="K84" s="883"/>
      <c r="L84" s="883"/>
      <c r="M84" s="1209" t="s">
        <v>4194</v>
      </c>
      <c r="N84" s="883" t="s">
        <v>4893</v>
      </c>
      <c r="O84" s="1646" t="s">
        <v>3496</v>
      </c>
      <c r="P84" s="1564"/>
      <c r="Q84" s="1617">
        <v>45384.0</v>
      </c>
      <c r="R84" s="1466">
        <v>46204.0</v>
      </c>
      <c r="S84" s="1406" t="s">
        <v>5700</v>
      </c>
      <c r="T84" s="1466">
        <v>46188.0</v>
      </c>
      <c r="U84" s="1406"/>
      <c r="V84" s="1406"/>
      <c r="W84" s="1406"/>
      <c r="X84" s="749"/>
      <c r="Y84" s="749"/>
      <c r="Z84" s="749"/>
    </row>
    <row r="85" ht="15.75" customHeight="1">
      <c r="A85" s="1213">
        <v>1.0</v>
      </c>
      <c r="B85" s="1206" t="s">
        <v>5702</v>
      </c>
      <c r="C85" s="1045" t="s">
        <v>5703</v>
      </c>
      <c r="D85" s="1045" t="s">
        <v>5704</v>
      </c>
      <c r="E85" s="1209"/>
      <c r="F85" s="1209" t="s">
        <v>5497</v>
      </c>
      <c r="G85" s="1211">
        <v>6.98</v>
      </c>
      <c r="H85" s="1812">
        <v>2959.52</v>
      </c>
      <c r="I85" s="1211">
        <v>222423.0</v>
      </c>
      <c r="J85" s="1574"/>
      <c r="K85" s="1209"/>
      <c r="L85" s="1209"/>
      <c r="M85" s="1045" t="s">
        <v>5708</v>
      </c>
      <c r="N85" s="883" t="s">
        <v>4634</v>
      </c>
      <c r="O85" s="1424"/>
      <c r="P85" s="1564"/>
      <c r="Q85" s="1560"/>
      <c r="R85" s="1406"/>
      <c r="S85" s="1406"/>
      <c r="T85" s="1406"/>
      <c r="U85" s="1406"/>
      <c r="V85" s="1406"/>
      <c r="W85" s="1406"/>
      <c r="X85" s="749"/>
      <c r="Y85" s="749"/>
      <c r="Z85" s="749"/>
    </row>
    <row r="86" ht="15.75" customHeight="1">
      <c r="A86" s="1213">
        <v>1.0</v>
      </c>
      <c r="B86" s="1341" t="s">
        <v>5709</v>
      </c>
      <c r="C86" s="1045" t="s">
        <v>5710</v>
      </c>
      <c r="D86" s="1045" t="s">
        <v>5711</v>
      </c>
      <c r="E86" s="1209"/>
      <c r="F86" s="1209" t="s">
        <v>5712</v>
      </c>
      <c r="G86" s="1814">
        <v>4.0</v>
      </c>
      <c r="H86" s="1211">
        <v>1696.0</v>
      </c>
      <c r="I86" s="1211">
        <v>93407.0</v>
      </c>
      <c r="J86" s="1574"/>
      <c r="K86" s="1209"/>
      <c r="L86" s="1209"/>
      <c r="M86" s="1045" t="s">
        <v>5713</v>
      </c>
      <c r="N86" s="883" t="s">
        <v>5714</v>
      </c>
      <c r="O86" s="1424"/>
      <c r="P86" s="1564"/>
      <c r="Q86" s="1560"/>
      <c r="R86" s="1406"/>
      <c r="S86" s="1406"/>
      <c r="T86" s="1406"/>
      <c r="U86" s="1406"/>
      <c r="V86" s="1406"/>
      <c r="W86" s="1406"/>
      <c r="X86" s="749"/>
      <c r="Y86" s="749"/>
      <c r="Z86" s="749"/>
    </row>
    <row r="87" ht="15.75" customHeight="1">
      <c r="A87" s="1213">
        <v>1.0</v>
      </c>
      <c r="B87" s="1341" t="s">
        <v>5715</v>
      </c>
      <c r="C87" s="1045" t="s">
        <v>5716</v>
      </c>
      <c r="D87" s="1045" t="s">
        <v>5687</v>
      </c>
      <c r="E87" s="1209" t="s">
        <v>5717</v>
      </c>
      <c r="F87" s="1045" t="s">
        <v>5718</v>
      </c>
      <c r="G87" s="1211">
        <v>0.33</v>
      </c>
      <c r="H87" s="1211">
        <v>139.92</v>
      </c>
      <c r="I87" s="1211">
        <v>11240.0</v>
      </c>
      <c r="J87" s="1427"/>
      <c r="K87" s="1045" t="s">
        <v>5719</v>
      </c>
      <c r="L87" s="1045"/>
      <c r="M87" s="1045" t="s">
        <v>5720</v>
      </c>
      <c r="N87" s="883" t="s">
        <v>5721</v>
      </c>
      <c r="O87" s="1424">
        <v>1.0</v>
      </c>
      <c r="P87" s="1564"/>
      <c r="Q87" s="1617">
        <v>45463.0</v>
      </c>
      <c r="R87" s="1406"/>
      <c r="S87" s="1424" t="s">
        <v>5722</v>
      </c>
      <c r="T87" s="1406"/>
      <c r="U87" s="1406"/>
      <c r="V87" s="1424" t="s">
        <v>5722</v>
      </c>
      <c r="W87" s="1406"/>
      <c r="X87" s="749"/>
      <c r="Y87" s="749"/>
      <c r="Z87" s="749"/>
    </row>
    <row r="88" ht="15.75" customHeight="1">
      <c r="A88" s="1213">
        <v>1.0</v>
      </c>
      <c r="B88" s="1341" t="s">
        <v>5715</v>
      </c>
      <c r="C88" s="1045" t="s">
        <v>5723</v>
      </c>
      <c r="D88" s="1045" t="s">
        <v>5687</v>
      </c>
      <c r="E88" s="1209"/>
      <c r="F88" s="1045" t="s">
        <v>5724</v>
      </c>
      <c r="G88" s="1211">
        <v>0.38</v>
      </c>
      <c r="H88" s="1211">
        <v>161.12</v>
      </c>
      <c r="I88" s="1211">
        <v>6930.0</v>
      </c>
      <c r="J88" s="1427">
        <v>1.0</v>
      </c>
      <c r="K88" s="1045" t="s">
        <v>5725</v>
      </c>
      <c r="L88" s="1045"/>
      <c r="M88" s="1045" t="s">
        <v>5726</v>
      </c>
      <c r="N88" s="883" t="s">
        <v>5727</v>
      </c>
      <c r="O88" s="1424">
        <v>1.0</v>
      </c>
      <c r="P88" s="883" t="s">
        <v>5728</v>
      </c>
      <c r="Q88" s="1560" t="s">
        <v>5729</v>
      </c>
      <c r="R88" s="1406"/>
      <c r="S88" s="1424" t="s">
        <v>5722</v>
      </c>
      <c r="T88" s="1406" t="s">
        <v>5730</v>
      </c>
      <c r="U88" s="1406"/>
      <c r="V88" s="1424" t="s">
        <v>5722</v>
      </c>
      <c r="W88" s="1406" t="s">
        <v>5730</v>
      </c>
      <c r="X88" s="749"/>
      <c r="Y88" s="749"/>
      <c r="Z88" s="749"/>
    </row>
    <row r="89" ht="15.75" customHeight="1">
      <c r="A89" s="1213">
        <v>1.0</v>
      </c>
      <c r="B89" s="1341" t="s">
        <v>5731</v>
      </c>
      <c r="C89" s="1045" t="s">
        <v>5732</v>
      </c>
      <c r="D89" s="1045" t="s">
        <v>5733</v>
      </c>
      <c r="E89" s="1045" t="s">
        <v>5735</v>
      </c>
      <c r="F89" s="1045" t="s">
        <v>5736</v>
      </c>
      <c r="G89" s="1211">
        <v>0.2</v>
      </c>
      <c r="H89" s="1211">
        <v>85.0</v>
      </c>
      <c r="I89" s="1211" t="s">
        <v>5738</v>
      </c>
      <c r="J89" s="1045" t="s">
        <v>5739</v>
      </c>
      <c r="K89" s="1045"/>
      <c r="L89" s="1045"/>
      <c r="M89" s="1045" t="s">
        <v>5740</v>
      </c>
      <c r="N89" s="883" t="s">
        <v>4604</v>
      </c>
      <c r="O89" s="1424"/>
      <c r="P89" s="883"/>
      <c r="Q89" s="1560"/>
      <c r="R89" s="1406"/>
      <c r="S89" s="1424"/>
      <c r="T89" s="1406"/>
      <c r="U89" s="1406"/>
      <c r="V89" s="1424"/>
      <c r="W89" s="1406"/>
      <c r="X89" s="749"/>
      <c r="Y89" s="749"/>
      <c r="Z89" s="749"/>
    </row>
    <row r="90" ht="15.75" customHeight="1">
      <c r="A90" s="1213">
        <v>1.0</v>
      </c>
      <c r="B90" s="1341" t="s">
        <v>5744</v>
      </c>
      <c r="C90" s="1045" t="s">
        <v>5745</v>
      </c>
      <c r="D90" s="1045" t="s">
        <v>5733</v>
      </c>
      <c r="E90" s="1209"/>
      <c r="F90" s="1045" t="s">
        <v>5746</v>
      </c>
      <c r="G90" s="1211">
        <v>0.2</v>
      </c>
      <c r="H90" s="1419">
        <v>137.0</v>
      </c>
      <c r="I90" s="1211">
        <v>3825.0</v>
      </c>
      <c r="J90" s="883" t="s">
        <v>5748</v>
      </c>
      <c r="K90" s="883"/>
      <c r="L90" s="1209"/>
      <c r="M90" s="1458" t="s">
        <v>5750</v>
      </c>
      <c r="N90" s="883" t="s">
        <v>5751</v>
      </c>
      <c r="O90" s="1431" t="s">
        <v>3496</v>
      </c>
      <c r="P90" s="1564"/>
      <c r="Q90" s="1560"/>
      <c r="R90" s="1406" t="s">
        <v>4449</v>
      </c>
      <c r="S90" s="1406" t="s">
        <v>5752</v>
      </c>
      <c r="T90" s="1406" t="s">
        <v>4816</v>
      </c>
      <c r="U90" s="1406"/>
      <c r="V90" s="1406"/>
      <c r="W90" s="1406"/>
      <c r="X90" s="749"/>
      <c r="Y90" s="749"/>
      <c r="Z90" s="749"/>
    </row>
    <row r="91" ht="15.75" customHeight="1">
      <c r="A91" s="1213">
        <v>1.0</v>
      </c>
      <c r="B91" s="1341" t="s">
        <v>5744</v>
      </c>
      <c r="C91" s="1045" t="s">
        <v>5745</v>
      </c>
      <c r="D91" s="1045" t="s">
        <v>5754</v>
      </c>
      <c r="E91" s="1209" t="s">
        <v>557</v>
      </c>
      <c r="F91" s="1045" t="s">
        <v>5756</v>
      </c>
      <c r="G91" s="1211">
        <v>0.32</v>
      </c>
      <c r="H91" s="1419">
        <v>85.0</v>
      </c>
      <c r="I91" s="1211">
        <v>6850.0</v>
      </c>
      <c r="J91" s="1574"/>
      <c r="K91" s="1209"/>
      <c r="L91" s="1209"/>
      <c r="M91" s="1045" t="s">
        <v>5740</v>
      </c>
      <c r="N91" s="883" t="s">
        <v>5751</v>
      </c>
      <c r="O91" s="1424"/>
      <c r="P91" s="1564"/>
      <c r="Q91" s="1560"/>
      <c r="R91" s="1406"/>
      <c r="S91" s="1406"/>
      <c r="T91" s="1406"/>
      <c r="U91" s="1406"/>
      <c r="V91" s="1406"/>
      <c r="W91" s="1406"/>
      <c r="X91" s="749"/>
      <c r="Y91" s="749"/>
      <c r="Z91" s="749"/>
    </row>
    <row r="92" ht="15.75" customHeight="1">
      <c r="A92" s="883">
        <v>1.0</v>
      </c>
      <c r="B92" s="1402" t="s">
        <v>4706</v>
      </c>
      <c r="C92" s="1045" t="s">
        <v>5763</v>
      </c>
      <c r="D92" s="1045" t="s">
        <v>698</v>
      </c>
      <c r="E92" s="1209" t="s">
        <v>557</v>
      </c>
      <c r="F92" s="1045" t="s">
        <v>5766</v>
      </c>
      <c r="G92" s="1421">
        <v>1.17</v>
      </c>
      <c r="H92" s="1045">
        <v>497.0</v>
      </c>
      <c r="I92" s="1421" t="s">
        <v>5767</v>
      </c>
      <c r="J92" s="1675"/>
      <c r="K92" s="1045"/>
      <c r="L92" s="1045"/>
      <c r="M92" s="1045" t="s">
        <v>5740</v>
      </c>
      <c r="N92" s="883" t="s">
        <v>5059</v>
      </c>
      <c r="O92" s="1431" t="s">
        <v>3496</v>
      </c>
      <c r="P92" s="1582"/>
      <c r="Q92" s="895"/>
      <c r="R92" s="1821" t="s">
        <v>4605</v>
      </c>
      <c r="S92" s="1406" t="s">
        <v>5779</v>
      </c>
      <c r="T92" s="1821" t="s">
        <v>4849</v>
      </c>
      <c r="U92" s="1821"/>
      <c r="V92" s="1821"/>
      <c r="W92" s="1821"/>
      <c r="X92" s="749"/>
      <c r="Y92" s="749"/>
      <c r="Z92" s="749"/>
    </row>
    <row r="93" ht="15.75" customHeight="1">
      <c r="A93" s="883">
        <v>1.0</v>
      </c>
      <c r="B93" s="1402" t="s">
        <v>5780</v>
      </c>
      <c r="C93" s="1045" t="s">
        <v>5781</v>
      </c>
      <c r="D93" s="1045" t="s">
        <v>698</v>
      </c>
      <c r="E93" s="1045" t="s">
        <v>5782</v>
      </c>
      <c r="F93" s="1045" t="s">
        <v>5783</v>
      </c>
      <c r="G93" s="1421">
        <v>0.14</v>
      </c>
      <c r="H93" s="1826">
        <v>63.0</v>
      </c>
      <c r="I93" s="1421">
        <v>3465.0</v>
      </c>
      <c r="J93" s="1830">
        <v>2.0</v>
      </c>
      <c r="K93" s="1045" t="s">
        <v>5801</v>
      </c>
      <c r="L93" s="1045"/>
      <c r="M93" s="1045" t="s">
        <v>5740</v>
      </c>
      <c r="N93" s="883" t="s">
        <v>5802</v>
      </c>
      <c r="O93" s="1431" t="s">
        <v>3496</v>
      </c>
      <c r="P93" s="1582"/>
      <c r="Q93" s="895"/>
      <c r="R93" s="1821" t="s">
        <v>4605</v>
      </c>
      <c r="S93" s="1406" t="s">
        <v>5803</v>
      </c>
      <c r="T93" s="1821" t="s">
        <v>4849</v>
      </c>
      <c r="U93" s="1821"/>
      <c r="V93" s="1821"/>
      <c r="W93" s="1821"/>
      <c r="X93" s="749"/>
      <c r="Y93" s="749"/>
      <c r="Z93" s="749"/>
    </row>
    <row r="94" ht="15.75" customHeight="1">
      <c r="A94" s="1213">
        <v>1.0</v>
      </c>
      <c r="B94" s="1834" t="s">
        <v>5804</v>
      </c>
      <c r="C94" s="883" t="s">
        <v>5817</v>
      </c>
      <c r="D94" s="1045" t="s">
        <v>354</v>
      </c>
      <c r="E94" s="1045" t="s">
        <v>5818</v>
      </c>
      <c r="F94" s="1045" t="s">
        <v>5819</v>
      </c>
      <c r="G94" s="1211">
        <v>0.94</v>
      </c>
      <c r="H94" s="1419">
        <v>402.5</v>
      </c>
      <c r="I94" s="1627">
        <v>20125.0</v>
      </c>
      <c r="J94" s="1675" t="s">
        <v>5823</v>
      </c>
      <c r="K94" s="1209"/>
      <c r="L94" s="1211">
        <v>90000.0</v>
      </c>
      <c r="M94" s="1045" t="s">
        <v>354</v>
      </c>
      <c r="N94" s="883" t="s">
        <v>5216</v>
      </c>
      <c r="O94" s="1424"/>
      <c r="P94" s="1564"/>
      <c r="Q94" s="1560"/>
      <c r="R94" s="1406"/>
      <c r="S94" s="1445"/>
      <c r="T94" s="1406"/>
      <c r="U94" s="1406"/>
      <c r="V94" s="1406"/>
      <c r="W94" s="1406"/>
      <c r="X94" s="749"/>
      <c r="Y94" s="749"/>
      <c r="Z94" s="749"/>
    </row>
    <row r="95" ht="15.75" customHeight="1">
      <c r="A95" s="1213">
        <v>1.0</v>
      </c>
      <c r="B95" s="1341" t="s">
        <v>5825</v>
      </c>
      <c r="C95" s="883" t="s">
        <v>5826</v>
      </c>
      <c r="D95" s="1045" t="s">
        <v>5733</v>
      </c>
      <c r="E95" s="1209" t="s">
        <v>5827</v>
      </c>
      <c r="F95" s="1045" t="s">
        <v>5828</v>
      </c>
      <c r="G95" s="1211">
        <v>0.26</v>
      </c>
      <c r="H95" s="1209">
        <v>125.5</v>
      </c>
      <c r="I95" s="1211">
        <v>5625.0</v>
      </c>
      <c r="J95" s="1574"/>
      <c r="K95" s="1045" t="s">
        <v>5831</v>
      </c>
      <c r="L95" s="1209"/>
      <c r="M95" s="1209"/>
      <c r="N95" s="883" t="s">
        <v>5216</v>
      </c>
      <c r="O95" s="1424"/>
      <c r="P95" s="1564"/>
      <c r="Q95" s="1560"/>
      <c r="R95" s="1406"/>
      <c r="S95" s="1406"/>
      <c r="T95" s="1406"/>
      <c r="U95" s="1406"/>
      <c r="V95" s="1406"/>
      <c r="W95" s="1406"/>
      <c r="X95" s="749"/>
      <c r="Y95" s="749"/>
      <c r="Z95" s="749"/>
    </row>
    <row r="96" ht="15.75" customHeight="1">
      <c r="A96" s="1213">
        <v>1.0</v>
      </c>
      <c r="B96" s="1341" t="s">
        <v>5833</v>
      </c>
      <c r="C96" s="883" t="s">
        <v>5834</v>
      </c>
      <c r="D96" s="1045" t="s">
        <v>371</v>
      </c>
      <c r="E96" s="1045" t="s">
        <v>5835</v>
      </c>
      <c r="F96" s="1045" t="s">
        <v>5836</v>
      </c>
      <c r="G96" s="1211">
        <v>1.34</v>
      </c>
      <c r="H96" s="1209">
        <v>568.5</v>
      </c>
      <c r="I96" s="1211">
        <v>45480.0</v>
      </c>
      <c r="J96" s="1675" t="s">
        <v>5838</v>
      </c>
      <c r="K96" s="1045"/>
      <c r="L96" s="1209"/>
      <c r="M96" s="1209"/>
      <c r="N96" s="883" t="s">
        <v>5839</v>
      </c>
      <c r="O96" s="1424"/>
      <c r="P96" s="1564"/>
      <c r="Q96" s="1560" t="s">
        <v>5840</v>
      </c>
      <c r="R96" s="1406"/>
      <c r="S96" s="1406"/>
      <c r="T96" s="1406"/>
      <c r="U96" s="1406"/>
      <c r="V96" s="1406"/>
      <c r="W96" s="1406"/>
      <c r="X96" s="749"/>
      <c r="Y96" s="749"/>
      <c r="Z96" s="749"/>
    </row>
    <row r="97" ht="15.75" customHeight="1">
      <c r="A97" s="1213">
        <v>1.0</v>
      </c>
      <c r="B97" s="1341" t="s">
        <v>4755</v>
      </c>
      <c r="C97" s="883" t="s">
        <v>5844</v>
      </c>
      <c r="D97" s="1045" t="s">
        <v>698</v>
      </c>
      <c r="E97" s="1045" t="s">
        <v>5846</v>
      </c>
      <c r="F97" s="1045" t="s">
        <v>5847</v>
      </c>
      <c r="G97" s="1211">
        <v>0.89</v>
      </c>
      <c r="H97" s="1209">
        <v>381.5</v>
      </c>
      <c r="I97" s="1211">
        <v>30520.0</v>
      </c>
      <c r="J97" s="1675"/>
      <c r="K97" s="1045"/>
      <c r="L97" s="1209"/>
      <c r="M97" s="1045" t="s">
        <v>5740</v>
      </c>
      <c r="N97" s="883" t="s">
        <v>5849</v>
      </c>
      <c r="O97" s="1424"/>
      <c r="P97" s="1564"/>
      <c r="Q97" s="1560"/>
      <c r="R97" s="1406"/>
      <c r="S97" s="1406"/>
      <c r="T97" s="1406"/>
      <c r="U97" s="1406"/>
      <c r="V97" s="1406"/>
      <c r="W97" s="1406"/>
      <c r="X97" s="749"/>
      <c r="Y97" s="749"/>
      <c r="Z97" s="749"/>
    </row>
    <row r="98" ht="15.75" customHeight="1">
      <c r="A98" s="1213">
        <v>1.0</v>
      </c>
      <c r="B98" s="1341" t="s">
        <v>5853</v>
      </c>
      <c r="C98" s="883" t="s">
        <v>5781</v>
      </c>
      <c r="D98" s="1045" t="s">
        <v>5854</v>
      </c>
      <c r="E98" s="1045" t="s">
        <v>5855</v>
      </c>
      <c r="F98" s="1045" t="s">
        <v>5856</v>
      </c>
      <c r="G98" s="1211">
        <v>0.99</v>
      </c>
      <c r="H98" s="1209">
        <v>423.0</v>
      </c>
      <c r="I98" s="1211">
        <v>23265.0</v>
      </c>
      <c r="J98" s="1675"/>
      <c r="K98" s="1045"/>
      <c r="L98" s="1209"/>
      <c r="M98" s="1045" t="s">
        <v>5740</v>
      </c>
      <c r="N98" s="883" t="s">
        <v>5858</v>
      </c>
      <c r="O98" s="1424"/>
      <c r="P98" s="1564"/>
      <c r="Q98" s="1560"/>
      <c r="R98" s="1406"/>
      <c r="S98" s="1406"/>
      <c r="T98" s="1406"/>
      <c r="U98" s="1406"/>
      <c r="V98" s="1406"/>
      <c r="W98" s="1406"/>
      <c r="X98" s="749"/>
      <c r="Y98" s="749"/>
      <c r="Z98" s="749"/>
    </row>
    <row r="99" ht="15.75" customHeight="1">
      <c r="A99" s="1213">
        <v>1.0</v>
      </c>
      <c r="B99" s="1341" t="s">
        <v>5211</v>
      </c>
      <c r="C99" s="883" t="s">
        <v>5859</v>
      </c>
      <c r="D99" s="1045" t="s">
        <v>5854</v>
      </c>
      <c r="E99" s="1045" t="s">
        <v>5860</v>
      </c>
      <c r="F99" s="1045" t="s">
        <v>5861</v>
      </c>
      <c r="G99" s="1211">
        <v>2.25</v>
      </c>
      <c r="H99" s="1209">
        <v>955.5</v>
      </c>
      <c r="I99" s="1211">
        <v>16975.0</v>
      </c>
      <c r="J99" s="1675"/>
      <c r="K99" s="1045"/>
      <c r="L99" s="1209"/>
      <c r="M99" s="1045" t="s">
        <v>5740</v>
      </c>
      <c r="N99" s="883" t="s">
        <v>5862</v>
      </c>
      <c r="O99" s="1424"/>
      <c r="P99" s="1564"/>
      <c r="Q99" s="1560"/>
      <c r="R99" s="1406"/>
      <c r="S99" s="1406"/>
      <c r="T99" s="1406"/>
      <c r="U99" s="1406"/>
      <c r="V99" s="1406"/>
      <c r="W99" s="1406"/>
      <c r="X99" s="749"/>
      <c r="Y99" s="749"/>
      <c r="Z99" s="749"/>
    </row>
    <row r="100" ht="15.75" customHeight="1">
      <c r="A100" s="1213">
        <v>1.0</v>
      </c>
      <c r="B100" s="1341" t="s">
        <v>5863</v>
      </c>
      <c r="C100" s="883" t="s">
        <v>5864</v>
      </c>
      <c r="D100" s="1045" t="s">
        <v>354</v>
      </c>
      <c r="E100" s="1045" t="s">
        <v>5865</v>
      </c>
      <c r="F100" s="1045" t="s">
        <v>5866</v>
      </c>
      <c r="G100" s="1211">
        <v>0.58</v>
      </c>
      <c r="H100" s="1209">
        <v>246.75</v>
      </c>
      <c r="I100" s="1211">
        <v>7380.0</v>
      </c>
      <c r="J100" s="1574"/>
      <c r="K100" s="1045" t="s">
        <v>5867</v>
      </c>
      <c r="L100" s="1209">
        <v>3500.0</v>
      </c>
      <c r="M100" s="1045"/>
      <c r="N100" s="883" t="s">
        <v>5868</v>
      </c>
      <c r="O100" s="1424"/>
      <c r="P100" s="1564"/>
      <c r="Q100" s="1560" t="s">
        <v>5869</v>
      </c>
      <c r="R100" s="1406"/>
      <c r="S100" s="1406"/>
      <c r="T100" s="1406"/>
      <c r="U100" s="1406"/>
      <c r="V100" s="1406"/>
      <c r="W100" s="1406"/>
      <c r="X100" s="749"/>
      <c r="Y100" s="749"/>
      <c r="Z100" s="749"/>
    </row>
    <row r="101" ht="15.75" customHeight="1">
      <c r="A101" s="1213">
        <v>1.0</v>
      </c>
      <c r="B101" s="1341" t="s">
        <v>5240</v>
      </c>
      <c r="C101" s="883" t="s">
        <v>3261</v>
      </c>
      <c r="D101" s="1045"/>
      <c r="E101" s="1045"/>
      <c r="F101" s="1045" t="s">
        <v>5870</v>
      </c>
      <c r="G101" s="1211"/>
      <c r="H101" s="1209">
        <v>230.0</v>
      </c>
      <c r="I101" s="1211"/>
      <c r="J101" s="1574"/>
      <c r="K101" s="1045"/>
      <c r="L101" s="1209"/>
      <c r="M101" s="1045"/>
      <c r="N101" s="883"/>
      <c r="O101" s="1431" t="s">
        <v>3496</v>
      </c>
      <c r="P101" s="1564"/>
      <c r="Q101" s="1560"/>
      <c r="R101" s="1406" t="s">
        <v>4449</v>
      </c>
      <c r="S101" s="1406" t="s">
        <v>5251</v>
      </c>
      <c r="T101" s="1406" t="s">
        <v>4816</v>
      </c>
      <c r="U101" s="1406"/>
      <c r="V101" s="1406"/>
      <c r="W101" s="1406"/>
      <c r="X101" s="749"/>
      <c r="Y101" s="749"/>
      <c r="Z101" s="749"/>
    </row>
    <row r="102" ht="15.75" customHeight="1">
      <c r="A102" s="1213">
        <v>1.0</v>
      </c>
      <c r="B102" s="1341" t="s">
        <v>5871</v>
      </c>
      <c r="C102" s="883" t="s">
        <v>5872</v>
      </c>
      <c r="D102" s="1045" t="s">
        <v>1780</v>
      </c>
      <c r="E102" s="1045" t="s">
        <v>5873</v>
      </c>
      <c r="F102" s="1045" t="s">
        <v>5874</v>
      </c>
      <c r="G102" s="1211"/>
      <c r="H102" s="1209">
        <v>321.0</v>
      </c>
      <c r="I102" s="1211">
        <v>32100.0</v>
      </c>
      <c r="J102" s="1675" t="s">
        <v>5875</v>
      </c>
      <c r="K102" s="1045"/>
      <c r="L102" s="1209"/>
      <c r="M102" s="1045"/>
      <c r="N102" s="883" t="s">
        <v>5876</v>
      </c>
      <c r="O102" s="1424"/>
      <c r="P102" s="1564"/>
      <c r="Q102" s="1560"/>
      <c r="R102" s="1406"/>
      <c r="S102" s="1406"/>
      <c r="T102" s="1406"/>
      <c r="U102" s="1406"/>
      <c r="V102" s="1406"/>
      <c r="W102" s="1406"/>
      <c r="X102" s="749"/>
      <c r="Y102" s="749"/>
      <c r="Z102" s="749"/>
    </row>
    <row r="103" ht="15.75" customHeight="1">
      <c r="A103" s="1213">
        <v>1.0</v>
      </c>
      <c r="B103" s="1341" t="s">
        <v>5877</v>
      </c>
      <c r="C103" s="883" t="s">
        <v>5844</v>
      </c>
      <c r="D103" s="1045" t="s">
        <v>5854</v>
      </c>
      <c r="E103" s="1045" t="s">
        <v>557</v>
      </c>
      <c r="F103" s="1045" t="s">
        <v>957</v>
      </c>
      <c r="G103" s="1211">
        <v>0.84</v>
      </c>
      <c r="H103" s="1209">
        <v>360.0</v>
      </c>
      <c r="I103" s="1211">
        <v>23400.0</v>
      </c>
      <c r="J103" s="1574"/>
      <c r="K103" s="1045"/>
      <c r="L103" s="1209"/>
      <c r="M103" s="1045" t="s">
        <v>5740</v>
      </c>
      <c r="N103" s="883" t="s">
        <v>5862</v>
      </c>
      <c r="O103" s="1431" t="s">
        <v>3496</v>
      </c>
      <c r="P103" s="1564"/>
      <c r="Q103" s="1560"/>
      <c r="R103" s="1406" t="s">
        <v>5878</v>
      </c>
      <c r="S103" s="1406" t="s">
        <v>5879</v>
      </c>
      <c r="T103" s="1466">
        <v>45630.0</v>
      </c>
      <c r="U103" s="1406"/>
      <c r="V103" s="1406"/>
      <c r="W103" s="1406"/>
      <c r="X103" s="749"/>
      <c r="Y103" s="749"/>
      <c r="Z103" s="749"/>
    </row>
    <row r="104" ht="15.75" customHeight="1">
      <c r="A104" s="1213">
        <v>1.0</v>
      </c>
      <c r="B104" s="1341" t="s">
        <v>5881</v>
      </c>
      <c r="C104" s="883" t="s">
        <v>5882</v>
      </c>
      <c r="D104" s="1045" t="s">
        <v>3059</v>
      </c>
      <c r="E104" s="1209" t="s">
        <v>557</v>
      </c>
      <c r="F104" s="1045" t="s">
        <v>5883</v>
      </c>
      <c r="G104" s="1211"/>
      <c r="H104" s="1209">
        <v>94.5</v>
      </c>
      <c r="I104" s="1211">
        <v>3780.0</v>
      </c>
      <c r="J104" s="1427"/>
      <c r="K104" s="1045"/>
      <c r="L104" s="1045"/>
      <c r="M104" s="1045"/>
      <c r="N104" s="883" t="s">
        <v>5884</v>
      </c>
      <c r="O104" s="1424"/>
      <c r="P104" s="1564"/>
      <c r="Q104" s="1617">
        <v>45586.0</v>
      </c>
      <c r="R104" s="1406"/>
      <c r="S104" s="1406"/>
      <c r="T104" s="1406"/>
      <c r="U104" s="1406"/>
      <c r="V104" s="1406"/>
      <c r="W104" s="1406"/>
      <c r="X104" s="749"/>
      <c r="Y104" s="749"/>
      <c r="Z104" s="749"/>
    </row>
    <row r="105" ht="15.75" customHeight="1">
      <c r="A105" s="1213">
        <v>1.0</v>
      </c>
      <c r="B105" s="1341" t="s">
        <v>5885</v>
      </c>
      <c r="C105" s="883" t="s">
        <v>5886</v>
      </c>
      <c r="D105" s="1045" t="s">
        <v>698</v>
      </c>
      <c r="E105" s="1045" t="s">
        <v>5887</v>
      </c>
      <c r="F105" s="1045" t="s">
        <v>5888</v>
      </c>
      <c r="G105" s="1211">
        <v>0.6</v>
      </c>
      <c r="H105" s="1209">
        <v>256.0</v>
      </c>
      <c r="I105" s="1211">
        <v>15360.0</v>
      </c>
      <c r="J105" s="1574"/>
      <c r="K105" s="1045"/>
      <c r="L105" s="1045"/>
      <c r="M105" s="1045" t="s">
        <v>5740</v>
      </c>
      <c r="N105" s="883" t="s">
        <v>5889</v>
      </c>
      <c r="O105" s="1424"/>
      <c r="P105" s="1564"/>
      <c r="Q105" s="1560"/>
      <c r="R105" s="1406"/>
      <c r="S105" s="1406"/>
      <c r="T105" s="1406"/>
      <c r="U105" s="1406"/>
      <c r="V105" s="1406"/>
      <c r="W105" s="1406"/>
      <c r="X105" s="749"/>
      <c r="Y105" s="749"/>
      <c r="Z105" s="749"/>
    </row>
    <row r="106" ht="15.75" customHeight="1">
      <c r="A106" s="1213">
        <v>1.0</v>
      </c>
      <c r="B106" s="1206" t="s">
        <v>5890</v>
      </c>
      <c r="C106" s="883" t="s">
        <v>5891</v>
      </c>
      <c r="D106" s="1045" t="s">
        <v>698</v>
      </c>
      <c r="E106" s="1045" t="s">
        <v>5892</v>
      </c>
      <c r="F106" s="1045" t="s">
        <v>5280</v>
      </c>
      <c r="G106" s="1211">
        <v>0.16</v>
      </c>
      <c r="H106" s="1209">
        <v>68.0</v>
      </c>
      <c r="I106" s="1211">
        <v>4080.0</v>
      </c>
      <c r="J106" s="1574"/>
      <c r="K106" s="1045"/>
      <c r="L106" s="1045"/>
      <c r="M106" s="1045" t="s">
        <v>5740</v>
      </c>
      <c r="N106" s="883" t="s">
        <v>5889</v>
      </c>
      <c r="O106" s="1424"/>
      <c r="P106" s="1564"/>
      <c r="Q106" s="1560"/>
      <c r="R106" s="1406"/>
      <c r="S106" s="1406"/>
      <c r="T106" s="1406"/>
      <c r="U106" s="1406"/>
      <c r="V106" s="1406"/>
      <c r="W106" s="1406"/>
      <c r="X106" s="749"/>
      <c r="Y106" s="749"/>
      <c r="Z106" s="749"/>
    </row>
    <row r="107" ht="15.75" customHeight="1">
      <c r="A107" s="1213">
        <v>1.0</v>
      </c>
      <c r="B107" s="1206" t="s">
        <v>5893</v>
      </c>
      <c r="C107" s="1045" t="s">
        <v>5512</v>
      </c>
      <c r="D107" s="1045" t="s">
        <v>698</v>
      </c>
      <c r="E107" s="1045" t="s">
        <v>557</v>
      </c>
      <c r="F107" s="1045" t="s">
        <v>4047</v>
      </c>
      <c r="G107" s="1211">
        <v>0.22</v>
      </c>
      <c r="H107" s="1209">
        <v>94.0</v>
      </c>
      <c r="I107" s="1211">
        <v>4920.0</v>
      </c>
      <c r="J107" s="1574"/>
      <c r="K107" s="1045"/>
      <c r="L107" s="1410"/>
      <c r="M107" s="1045" t="s">
        <v>5740</v>
      </c>
      <c r="N107" s="883" t="s">
        <v>5889</v>
      </c>
      <c r="O107" s="1424"/>
      <c r="P107" s="1564"/>
      <c r="Q107" s="1560"/>
      <c r="R107" s="1406"/>
      <c r="S107" s="1406"/>
      <c r="T107" s="1406"/>
      <c r="U107" s="1406"/>
      <c r="V107" s="1406"/>
      <c r="W107" s="1406"/>
      <c r="X107" s="749"/>
      <c r="Y107" s="749"/>
      <c r="Z107" s="749"/>
    </row>
    <row r="108" ht="15.75" customHeight="1">
      <c r="A108" s="1843">
        <v>1.0</v>
      </c>
      <c r="B108" s="1341" t="s">
        <v>5894</v>
      </c>
      <c r="C108" s="1696" t="s">
        <v>5763</v>
      </c>
      <c r="D108" s="1045" t="s">
        <v>698</v>
      </c>
      <c r="E108" s="1700" t="s">
        <v>5895</v>
      </c>
      <c r="F108" s="1696" t="s">
        <v>5896</v>
      </c>
      <c r="G108" s="1211">
        <v>0.45</v>
      </c>
      <c r="H108" s="1211">
        <v>190.8</v>
      </c>
      <c r="I108" s="1211">
        <v>14310.0</v>
      </c>
      <c r="J108" s="1692"/>
      <c r="K108" s="1211"/>
      <c r="L108" s="1211"/>
      <c r="M108" s="1045" t="s">
        <v>5740</v>
      </c>
      <c r="N108" s="883" t="s">
        <v>5897</v>
      </c>
      <c r="O108" s="1847"/>
      <c r="P108" s="1642"/>
      <c r="Q108" s="1716"/>
      <c r="R108" s="1406"/>
      <c r="S108" s="1406"/>
      <c r="T108" s="1406"/>
      <c r="U108" s="1406"/>
      <c r="V108" s="1406"/>
      <c r="W108" s="1406"/>
      <c r="X108" s="749"/>
      <c r="Y108" s="749"/>
      <c r="Z108" s="749"/>
    </row>
    <row r="109" ht="15.75" customHeight="1">
      <c r="A109" s="1851">
        <v>1.0</v>
      </c>
      <c r="B109" s="1855" t="s">
        <v>5906</v>
      </c>
      <c r="C109" s="1700" t="s">
        <v>5817</v>
      </c>
      <c r="D109" s="1700" t="s">
        <v>354</v>
      </c>
      <c r="E109" s="1700" t="s">
        <v>5921</v>
      </c>
      <c r="F109" s="1696" t="s">
        <v>5922</v>
      </c>
      <c r="G109" s="1211">
        <v>0.16</v>
      </c>
      <c r="H109" s="1211">
        <v>67.8</v>
      </c>
      <c r="I109" s="1211">
        <v>3051.0</v>
      </c>
      <c r="J109" s="1692"/>
      <c r="K109" s="1211"/>
      <c r="L109" s="1211"/>
      <c r="M109" s="1700" t="s">
        <v>354</v>
      </c>
      <c r="N109" s="883" t="s">
        <v>5928</v>
      </c>
      <c r="O109" s="1211"/>
      <c r="P109" s="1642"/>
      <c r="Q109" s="1716"/>
      <c r="R109" s="1718"/>
      <c r="S109" s="1718"/>
      <c r="T109" s="1718"/>
      <c r="U109" s="1718"/>
      <c r="V109" s="1718"/>
      <c r="W109" s="1718"/>
      <c r="X109" s="749"/>
      <c r="Y109" s="749"/>
      <c r="Z109" s="749"/>
    </row>
    <row r="110" ht="15.75" customHeight="1">
      <c r="A110" s="1859">
        <f>COUNTA(A83:A109)</f>
        <v>27</v>
      </c>
      <c r="B110" s="1497" t="s">
        <v>200</v>
      </c>
      <c r="C110" s="1501"/>
      <c r="D110" s="1501"/>
      <c r="E110" s="1501"/>
      <c r="F110" s="1501"/>
      <c r="G110" s="1505">
        <f t="shared" ref="G110:I110" si="2">SUM(G83:G109)</f>
        <v>24.51</v>
      </c>
      <c r="H110" s="1505">
        <f t="shared" si="2"/>
        <v>11082.91</v>
      </c>
      <c r="I110" s="1505">
        <f t="shared" si="2"/>
        <v>616751</v>
      </c>
      <c r="J110" s="1511">
        <v>6.0</v>
      </c>
      <c r="K110" s="1505">
        <v>6.0</v>
      </c>
      <c r="L110" s="1505"/>
      <c r="M110" s="1501"/>
      <c r="N110" s="1794"/>
      <c r="O110" s="1505">
        <f>SUM(O84:O107)</f>
        <v>2</v>
      </c>
      <c r="P110" s="1468"/>
      <c r="Q110" s="1259"/>
      <c r="R110" s="1520"/>
      <c r="S110" s="1520"/>
      <c r="T110" s="1520"/>
      <c r="U110" s="1520"/>
      <c r="V110" s="1520"/>
      <c r="W110" s="1520"/>
      <c r="X110" s="749"/>
      <c r="Y110" s="749"/>
      <c r="Z110" s="749"/>
    </row>
    <row r="111" ht="15.75" customHeight="1">
      <c r="A111" s="1525"/>
      <c r="B111" s="1529" t="s">
        <v>456</v>
      </c>
      <c r="C111" s="1533"/>
      <c r="D111" s="1533"/>
      <c r="E111" s="1533"/>
      <c r="F111" s="1533"/>
      <c r="G111" s="1537"/>
      <c r="H111" s="1864"/>
      <c r="I111" s="1864"/>
      <c r="J111" s="1541"/>
      <c r="K111" s="1533"/>
      <c r="L111" s="1533"/>
      <c r="M111" s="1533"/>
      <c r="N111" s="1545"/>
      <c r="O111" s="1549"/>
      <c r="P111" s="1553"/>
      <c r="Q111" s="1802"/>
      <c r="R111" s="1561"/>
      <c r="S111" s="1561"/>
      <c r="T111" s="1561"/>
      <c r="U111" s="1561"/>
      <c r="V111" s="1561"/>
      <c r="W111" s="1561"/>
      <c r="X111" s="749"/>
      <c r="Y111" s="749"/>
      <c r="Z111" s="749"/>
    </row>
    <row r="112" ht="15.75" customHeight="1">
      <c r="A112" s="1247">
        <v>1.0</v>
      </c>
      <c r="B112" s="1274" t="s">
        <v>5948</v>
      </c>
      <c r="C112" s="1041" t="s">
        <v>5949</v>
      </c>
      <c r="D112" s="1041" t="s">
        <v>5950</v>
      </c>
      <c r="E112" s="1275" t="s">
        <v>5951</v>
      </c>
      <c r="F112" s="1866" t="s">
        <v>5952</v>
      </c>
      <c r="G112" s="1277"/>
      <c r="H112" s="1275"/>
      <c r="I112" s="1277">
        <v>200000.0</v>
      </c>
      <c r="J112" s="609" t="s">
        <v>5953</v>
      </c>
      <c r="K112" s="609"/>
      <c r="L112" s="1275"/>
      <c r="M112" s="1041" t="s">
        <v>5954</v>
      </c>
      <c r="N112" s="609" t="s">
        <v>5955</v>
      </c>
      <c r="O112" s="609" t="s">
        <v>5956</v>
      </c>
      <c r="P112" s="1668"/>
      <c r="Q112" s="1870">
        <v>45384.0</v>
      </c>
      <c r="R112" s="1332" t="s">
        <v>5973</v>
      </c>
      <c r="S112" s="1332" t="s">
        <v>5977</v>
      </c>
      <c r="T112" s="1332" t="s">
        <v>5978</v>
      </c>
      <c r="U112" s="1786">
        <v>46232.0</v>
      </c>
      <c r="V112" s="1332" t="s">
        <v>5977</v>
      </c>
      <c r="W112" s="1786">
        <v>46224.0</v>
      </c>
      <c r="X112" s="749"/>
      <c r="Y112" s="749"/>
      <c r="Z112" s="749"/>
    </row>
    <row r="113" ht="15.75" customHeight="1">
      <c r="A113" s="1213">
        <v>1.0</v>
      </c>
      <c r="B113" s="1206" t="s">
        <v>5985</v>
      </c>
      <c r="C113" s="1045" t="s">
        <v>5989</v>
      </c>
      <c r="D113" s="883" t="s">
        <v>1560</v>
      </c>
      <c r="E113" s="1045" t="s">
        <v>663</v>
      </c>
      <c r="F113" s="1213" t="s">
        <v>5995</v>
      </c>
      <c r="G113" s="1211">
        <v>0.44</v>
      </c>
      <c r="H113" s="1419">
        <v>186.75</v>
      </c>
      <c r="I113" s="1211">
        <v>8403.75</v>
      </c>
      <c r="J113" s="1874"/>
      <c r="K113" s="1045"/>
      <c r="L113" s="1045"/>
      <c r="M113" s="1045" t="s">
        <v>6004</v>
      </c>
      <c r="N113" s="883" t="s">
        <v>6005</v>
      </c>
      <c r="O113" s="1431" t="s">
        <v>3496</v>
      </c>
      <c r="P113" s="1564"/>
      <c r="Q113" s="1617">
        <v>45393.0</v>
      </c>
      <c r="R113" s="1621">
        <v>45964.0</v>
      </c>
      <c r="S113" s="1406" t="s">
        <v>6006</v>
      </c>
      <c r="T113" s="1621">
        <v>45393.0</v>
      </c>
      <c r="U113" s="1406"/>
      <c r="V113" s="1406"/>
      <c r="W113" s="1406"/>
      <c r="X113" s="749"/>
      <c r="Y113" s="749"/>
      <c r="Z113" s="749"/>
    </row>
    <row r="114" ht="15.75" customHeight="1">
      <c r="A114" s="1816">
        <v>1.0</v>
      </c>
      <c r="B114" s="1879" t="s">
        <v>6007</v>
      </c>
      <c r="C114" s="1595" t="s">
        <v>6012</v>
      </c>
      <c r="D114" s="976" t="s">
        <v>6013</v>
      </c>
      <c r="E114" s="1045" t="s">
        <v>663</v>
      </c>
      <c r="F114" s="976" t="s">
        <v>6014</v>
      </c>
      <c r="G114" s="1612">
        <v>3.21</v>
      </c>
      <c r="H114" s="1881">
        <v>1363.0</v>
      </c>
      <c r="I114" s="1612">
        <v>55475.0</v>
      </c>
      <c r="J114" s="1884"/>
      <c r="K114" s="1595"/>
      <c r="L114" s="1595"/>
      <c r="M114" s="1595" t="s">
        <v>6017</v>
      </c>
      <c r="N114" s="883" t="s">
        <v>6018</v>
      </c>
      <c r="O114" s="1887"/>
      <c r="P114" s="1892"/>
      <c r="Q114" s="1896"/>
      <c r="R114" s="1406"/>
      <c r="S114" s="1406"/>
      <c r="T114" s="1406"/>
      <c r="U114" s="1406"/>
      <c r="V114" s="1406"/>
      <c r="W114" s="1406"/>
      <c r="X114" s="749"/>
      <c r="Y114" s="749"/>
      <c r="Z114" s="749"/>
    </row>
    <row r="115" ht="15.75" customHeight="1">
      <c r="A115" s="1816">
        <v>1.0</v>
      </c>
      <c r="B115" s="1879" t="s">
        <v>6047</v>
      </c>
      <c r="C115" s="1595" t="s">
        <v>6048</v>
      </c>
      <c r="D115" s="976" t="s">
        <v>1560</v>
      </c>
      <c r="E115" s="1595" t="s">
        <v>663</v>
      </c>
      <c r="F115" s="1816" t="s">
        <v>6049</v>
      </c>
      <c r="G115" s="1612">
        <v>0.53</v>
      </c>
      <c r="H115" s="1881">
        <v>225.8</v>
      </c>
      <c r="I115" s="1901"/>
      <c r="J115" s="1884"/>
      <c r="K115" s="1600"/>
      <c r="L115" s="1600"/>
      <c r="M115" s="1595" t="s">
        <v>6060</v>
      </c>
      <c r="N115" s="883" t="s">
        <v>6061</v>
      </c>
      <c r="O115" s="1431" t="s">
        <v>3496</v>
      </c>
      <c r="P115" s="1892"/>
      <c r="Q115" s="1896">
        <v>45393.0</v>
      </c>
      <c r="R115" s="1406" t="s">
        <v>5742</v>
      </c>
      <c r="S115" s="1406" t="s">
        <v>6063</v>
      </c>
      <c r="T115" s="1406" t="s">
        <v>5093</v>
      </c>
      <c r="U115" s="1406"/>
      <c r="V115" s="1406"/>
      <c r="W115" s="1406"/>
      <c r="X115" s="749"/>
      <c r="Y115" s="749"/>
      <c r="Z115" s="749"/>
    </row>
    <row r="116" ht="15.75" customHeight="1">
      <c r="A116" s="1213">
        <v>1.0</v>
      </c>
      <c r="B116" s="1206" t="s">
        <v>6065</v>
      </c>
      <c r="C116" s="1045" t="s">
        <v>6066</v>
      </c>
      <c r="D116" s="976" t="s">
        <v>1560</v>
      </c>
      <c r="E116" s="1595" t="s">
        <v>663</v>
      </c>
      <c r="F116" s="1213" t="s">
        <v>6068</v>
      </c>
      <c r="G116" s="1211">
        <v>0.3</v>
      </c>
      <c r="H116" s="1419">
        <v>127.33</v>
      </c>
      <c r="I116" s="1343">
        <v>6366.5</v>
      </c>
      <c r="J116" s="1874"/>
      <c r="K116" s="1209"/>
      <c r="L116" s="1209"/>
      <c r="M116" s="1045" t="s">
        <v>6004</v>
      </c>
      <c r="N116" s="883" t="s">
        <v>6071</v>
      </c>
      <c r="O116" s="1431" t="s">
        <v>3496</v>
      </c>
      <c r="P116" s="1564"/>
      <c r="Q116" s="1617">
        <v>45393.0</v>
      </c>
      <c r="R116" s="1621">
        <v>45870.0</v>
      </c>
      <c r="S116" s="1406" t="s">
        <v>6073</v>
      </c>
      <c r="T116" s="1621">
        <v>45454.0</v>
      </c>
      <c r="U116" s="1406"/>
      <c r="V116" s="1406"/>
      <c r="W116" s="1406"/>
      <c r="X116" s="749"/>
      <c r="Y116" s="749"/>
      <c r="Z116" s="749"/>
    </row>
    <row r="117" ht="15.75" customHeight="1">
      <c r="A117" s="1213">
        <v>1.0</v>
      </c>
      <c r="B117" s="1206" t="s">
        <v>6075</v>
      </c>
      <c r="C117" s="1045" t="s">
        <v>4103</v>
      </c>
      <c r="D117" s="976" t="s">
        <v>3945</v>
      </c>
      <c r="E117" s="1595" t="s">
        <v>6078</v>
      </c>
      <c r="F117" s="883" t="s">
        <v>6079</v>
      </c>
      <c r="G117" s="1211"/>
      <c r="H117" s="1419">
        <v>429.85</v>
      </c>
      <c r="I117" s="1343">
        <v>15044.75</v>
      </c>
      <c r="J117" s="1874"/>
      <c r="K117" s="1209"/>
      <c r="L117" s="1209"/>
      <c r="M117" s="1045" t="s">
        <v>3945</v>
      </c>
      <c r="N117" s="883" t="s">
        <v>6081</v>
      </c>
      <c r="O117" s="1424"/>
      <c r="P117" s="1564"/>
      <c r="Q117" s="1617"/>
      <c r="R117" s="1406"/>
      <c r="S117" s="1406"/>
      <c r="T117" s="1406"/>
      <c r="U117" s="1406"/>
      <c r="V117" s="1406"/>
      <c r="W117" s="1406"/>
      <c r="X117" s="749"/>
      <c r="Y117" s="749"/>
      <c r="Z117" s="749"/>
    </row>
    <row r="118" ht="15.75" customHeight="1">
      <c r="A118" s="1213">
        <v>1.0</v>
      </c>
      <c r="B118" s="1206" t="s">
        <v>4725</v>
      </c>
      <c r="C118" s="1045" t="s">
        <v>4103</v>
      </c>
      <c r="D118" s="1045" t="s">
        <v>3945</v>
      </c>
      <c r="E118" s="1821" t="s">
        <v>6082</v>
      </c>
      <c r="F118" s="330" t="s">
        <v>6083</v>
      </c>
      <c r="G118" s="1211"/>
      <c r="H118" s="1211">
        <v>153.75</v>
      </c>
      <c r="I118" s="1343">
        <v>4612.5</v>
      </c>
      <c r="J118" s="1874"/>
      <c r="K118" s="1406"/>
      <c r="L118" s="1406"/>
      <c r="M118" s="1045"/>
      <c r="N118" s="883" t="s">
        <v>6084</v>
      </c>
      <c r="O118" s="1424"/>
      <c r="P118" s="1564"/>
      <c r="Q118" s="1560" t="s">
        <v>6085</v>
      </c>
      <c r="R118" s="1406"/>
      <c r="S118" s="1406"/>
      <c r="T118" s="1406"/>
      <c r="U118" s="1406"/>
      <c r="V118" s="1406"/>
      <c r="W118" s="1406"/>
      <c r="X118" s="749"/>
      <c r="Y118" s="749"/>
      <c r="Z118" s="749"/>
    </row>
    <row r="119" ht="15.75" customHeight="1">
      <c r="A119" s="1213">
        <v>1.0</v>
      </c>
      <c r="B119" s="1206" t="s">
        <v>6086</v>
      </c>
      <c r="C119" s="1045" t="s">
        <v>6087</v>
      </c>
      <c r="D119" s="1045" t="s">
        <v>6089</v>
      </c>
      <c r="E119" s="1406" t="s">
        <v>557</v>
      </c>
      <c r="F119" s="330" t="s">
        <v>6049</v>
      </c>
      <c r="G119" s="1211"/>
      <c r="H119" s="1211">
        <v>270.0</v>
      </c>
      <c r="I119" s="1343">
        <v>13500.0</v>
      </c>
      <c r="J119" s="1874"/>
      <c r="K119" s="1406"/>
      <c r="L119" s="1406"/>
      <c r="M119" s="1045"/>
      <c r="N119" s="1912" t="s">
        <v>6095</v>
      </c>
      <c r="O119" s="1424"/>
      <c r="P119" s="1564"/>
      <c r="Q119" s="1560" t="s">
        <v>6085</v>
      </c>
      <c r="R119" s="1406"/>
      <c r="S119" s="1406"/>
      <c r="T119" s="1406"/>
      <c r="U119" s="1406"/>
      <c r="V119" s="1406"/>
      <c r="W119" s="1406"/>
      <c r="X119" s="749"/>
      <c r="Y119" s="749"/>
      <c r="Z119" s="749"/>
    </row>
    <row r="120" ht="15.75" customHeight="1">
      <c r="A120" s="1914">
        <v>1.0</v>
      </c>
      <c r="B120" s="1916" t="s">
        <v>6118</v>
      </c>
      <c r="C120" s="1917"/>
      <c r="D120" s="1917"/>
      <c r="E120" s="1406" t="s">
        <v>557</v>
      </c>
      <c r="F120" s="1920" t="s">
        <v>6127</v>
      </c>
      <c r="G120" s="1921"/>
      <c r="H120" s="1921">
        <v>59.99</v>
      </c>
      <c r="I120" s="1925"/>
      <c r="J120" s="1927"/>
      <c r="K120" s="1928"/>
      <c r="L120" s="1928"/>
      <c r="M120" s="1917"/>
      <c r="N120" s="1930" t="s">
        <v>6151</v>
      </c>
      <c r="O120" s="1933"/>
      <c r="P120" s="1582" t="s">
        <v>6176</v>
      </c>
      <c r="Q120" s="1936"/>
      <c r="R120" s="1406"/>
      <c r="S120" s="1406"/>
      <c r="T120" s="1406"/>
      <c r="U120" s="1406"/>
      <c r="V120" s="1406"/>
      <c r="W120" s="1406"/>
      <c r="X120" s="749"/>
      <c r="Y120" s="749"/>
      <c r="Z120" s="749"/>
    </row>
    <row r="121" ht="15.75" customHeight="1">
      <c r="A121" s="1914">
        <v>1.0</v>
      </c>
      <c r="B121" s="1916" t="s">
        <v>6185</v>
      </c>
      <c r="C121" s="1917" t="s">
        <v>6186</v>
      </c>
      <c r="D121" s="1917" t="s">
        <v>6187</v>
      </c>
      <c r="E121" s="1406" t="s">
        <v>6188</v>
      </c>
      <c r="F121" s="1920" t="s">
        <v>6189</v>
      </c>
      <c r="G121" s="1921"/>
      <c r="H121" s="1921"/>
      <c r="I121" s="1925">
        <v>180000.0</v>
      </c>
      <c r="J121" s="1941" t="s">
        <v>6190</v>
      </c>
      <c r="K121" s="1928"/>
      <c r="L121" s="1928"/>
      <c r="M121" s="1917"/>
      <c r="N121" s="1930" t="s">
        <v>6194</v>
      </c>
      <c r="O121" s="1933"/>
      <c r="P121" s="1564"/>
      <c r="Q121" s="1936"/>
      <c r="R121" s="1406"/>
      <c r="S121" s="1406"/>
      <c r="T121" s="1406"/>
      <c r="U121" s="1406"/>
      <c r="V121" s="1406"/>
      <c r="W121" s="1406"/>
      <c r="X121" s="749"/>
      <c r="Y121" s="749"/>
      <c r="Z121" s="749"/>
    </row>
    <row r="122" ht="15.75" customHeight="1">
      <c r="A122" s="1657">
        <v>1.0</v>
      </c>
      <c r="B122" s="1945" t="s">
        <v>6195</v>
      </c>
      <c r="C122" s="1940" t="s">
        <v>3320</v>
      </c>
      <c r="D122" s="1940"/>
      <c r="E122" s="1332"/>
      <c r="F122" s="1950" t="s">
        <v>6198</v>
      </c>
      <c r="G122" s="1954"/>
      <c r="H122" s="1954">
        <v>1031.0</v>
      </c>
      <c r="I122" s="1957"/>
      <c r="J122" s="1958"/>
      <c r="K122" s="1661"/>
      <c r="L122" s="1661"/>
      <c r="M122" s="1940"/>
      <c r="N122" s="1962"/>
      <c r="O122" s="1966"/>
      <c r="P122" s="1668"/>
      <c r="Q122" s="1970"/>
      <c r="R122" s="1332"/>
      <c r="S122" s="1332"/>
      <c r="T122" s="1332"/>
      <c r="U122" s="1332" t="s">
        <v>6260</v>
      </c>
      <c r="V122" s="1332" t="s">
        <v>6261</v>
      </c>
      <c r="W122" s="1332" t="s">
        <v>6262</v>
      </c>
      <c r="X122" s="749"/>
      <c r="Y122" s="749"/>
      <c r="Z122" s="749"/>
    </row>
    <row r="123" ht="15.75" customHeight="1">
      <c r="A123" s="1657"/>
      <c r="B123" s="1945" t="s">
        <v>6263</v>
      </c>
      <c r="C123" s="1940" t="s">
        <v>6264</v>
      </c>
      <c r="D123" s="1940" t="s">
        <v>6266</v>
      </c>
      <c r="E123" s="1332"/>
      <c r="F123" s="1950" t="s">
        <v>6267</v>
      </c>
      <c r="G123" s="1954">
        <f>66/424</f>
        <v>0.1556603774</v>
      </c>
      <c r="H123" s="1954">
        <v>66.0</v>
      </c>
      <c r="I123" s="1957"/>
      <c r="J123" s="1958"/>
      <c r="K123" s="1665" t="s">
        <v>6268</v>
      </c>
      <c r="L123" s="1661"/>
      <c r="M123" s="1940"/>
      <c r="N123" s="1962"/>
      <c r="O123" s="1966"/>
      <c r="P123" s="1668"/>
      <c r="Q123" s="1970"/>
      <c r="R123" s="1332"/>
      <c r="S123" s="1332"/>
      <c r="T123" s="1332"/>
      <c r="U123" s="1332" t="s">
        <v>6269</v>
      </c>
      <c r="V123" s="1684" t="s">
        <v>6270</v>
      </c>
      <c r="W123" s="1332" t="s">
        <v>6271</v>
      </c>
      <c r="X123" s="749"/>
      <c r="Y123" s="749"/>
      <c r="Z123" s="749"/>
    </row>
    <row r="124" ht="15.75" customHeight="1">
      <c r="A124" s="1468">
        <f>COUNTA(B112:B123)</f>
        <v>12</v>
      </c>
      <c r="B124" s="1497" t="s">
        <v>200</v>
      </c>
      <c r="C124" s="1501"/>
      <c r="D124" s="1975"/>
      <c r="E124" s="1975"/>
      <c r="F124" s="1975"/>
      <c r="G124" s="1980">
        <f t="shared" ref="G124:I124" si="3">SUM(G112:G123)</f>
        <v>4.635660377</v>
      </c>
      <c r="H124" s="1980">
        <f t="shared" si="3"/>
        <v>3913.47</v>
      </c>
      <c r="I124" s="1468">
        <f t="shared" si="3"/>
        <v>483402.5</v>
      </c>
      <c r="J124" s="1468">
        <v>2.0</v>
      </c>
      <c r="K124" s="1983">
        <v>1.0</v>
      </c>
      <c r="L124" s="1987"/>
      <c r="M124" s="1975"/>
      <c r="N124" s="1794"/>
      <c r="O124" s="1468">
        <f>SUM(O112:O120)</f>
        <v>0</v>
      </c>
      <c r="P124" s="1468"/>
      <c r="Q124" s="1067"/>
      <c r="R124" s="1963"/>
      <c r="S124" s="1963"/>
      <c r="T124" s="1963"/>
      <c r="U124" s="1963"/>
      <c r="V124" s="1963"/>
      <c r="W124" s="1963"/>
      <c r="X124" s="749"/>
      <c r="Y124" s="749"/>
      <c r="Z124" s="749"/>
    </row>
    <row r="125" ht="15.75" customHeight="1">
      <c r="A125" s="1990"/>
      <c r="B125" s="1994" t="s">
        <v>4060</v>
      </c>
      <c r="C125" s="1998"/>
      <c r="D125" s="1998"/>
      <c r="E125" s="1998"/>
      <c r="F125" s="1998"/>
      <c r="G125" s="2002"/>
      <c r="H125" s="2006"/>
      <c r="I125" s="2006"/>
      <c r="J125" s="2010"/>
      <c r="K125" s="1998"/>
      <c r="L125" s="1998"/>
      <c r="M125" s="1998"/>
      <c r="N125" s="1545"/>
      <c r="O125" s="1549"/>
      <c r="P125" s="1553"/>
      <c r="Q125" s="1802"/>
      <c r="R125" s="1561"/>
      <c r="S125" s="1561"/>
      <c r="T125" s="1561"/>
      <c r="U125" s="1561"/>
      <c r="V125" s="1561"/>
      <c r="W125" s="1561"/>
      <c r="X125" s="749"/>
      <c r="Y125" s="749"/>
      <c r="Z125" s="749"/>
    </row>
    <row r="126" ht="15.75" customHeight="1">
      <c r="A126" s="1851">
        <v>1.0</v>
      </c>
      <c r="B126" s="1700" t="s">
        <v>6361</v>
      </c>
      <c r="C126" s="1700" t="s">
        <v>3444</v>
      </c>
      <c r="D126" s="1696" t="s">
        <v>6362</v>
      </c>
      <c r="E126" s="1700" t="s">
        <v>557</v>
      </c>
      <c r="F126" s="1700" t="s">
        <v>6363</v>
      </c>
      <c r="G126" s="1211"/>
      <c r="H126" s="1419">
        <v>70.0</v>
      </c>
      <c r="I126" s="1419">
        <v>8400.0</v>
      </c>
      <c r="J126" s="1173"/>
      <c r="K126" s="1700"/>
      <c r="L126" s="1700"/>
      <c r="M126" s="1700"/>
      <c r="N126" s="883" t="s">
        <v>6364</v>
      </c>
      <c r="O126" s="1564"/>
      <c r="P126" s="1564"/>
      <c r="Q126" s="1560"/>
      <c r="R126" s="1406"/>
      <c r="S126" s="1406"/>
      <c r="T126" s="1406"/>
      <c r="U126" s="1406"/>
      <c r="V126" s="1406"/>
      <c r="W126" s="1406"/>
      <c r="X126" s="749"/>
      <c r="Y126" s="749"/>
      <c r="Z126" s="749"/>
    </row>
    <row r="127" ht="15.75" customHeight="1">
      <c r="A127" s="1213">
        <v>1.0</v>
      </c>
      <c r="B127" s="1341" t="s">
        <v>6365</v>
      </c>
      <c r="C127" s="1696" t="s">
        <v>3621</v>
      </c>
      <c r="D127" s="1696" t="s">
        <v>6366</v>
      </c>
      <c r="E127" s="1696" t="s">
        <v>6367</v>
      </c>
      <c r="F127" s="1696" t="s">
        <v>6368</v>
      </c>
      <c r="G127" s="1211">
        <v>1.21</v>
      </c>
      <c r="H127" s="1419">
        <v>513.04</v>
      </c>
      <c r="I127" s="1211"/>
      <c r="J127" s="1642"/>
      <c r="K127" s="891" t="s">
        <v>3473</v>
      </c>
      <c r="L127" s="1696"/>
      <c r="M127" s="1696" t="s">
        <v>6370</v>
      </c>
      <c r="N127" s="883" t="s">
        <v>4220</v>
      </c>
      <c r="O127" s="1424">
        <v>1.0</v>
      </c>
      <c r="P127" s="1564"/>
      <c r="Q127" s="1560" t="s">
        <v>6372</v>
      </c>
      <c r="R127" s="1406"/>
      <c r="S127" s="1406"/>
      <c r="T127" s="1406"/>
      <c r="U127" s="1406"/>
      <c r="V127" s="1406"/>
      <c r="W127" s="1406"/>
      <c r="X127" s="749"/>
      <c r="Y127" s="749"/>
      <c r="Z127" s="749"/>
    </row>
    <row r="128" ht="15.75" customHeight="1">
      <c r="A128" s="1247">
        <v>1.0</v>
      </c>
      <c r="B128" s="1353" t="s">
        <v>5863</v>
      </c>
      <c r="C128" s="1737" t="s">
        <v>6375</v>
      </c>
      <c r="D128" s="1737" t="s">
        <v>1693</v>
      </c>
      <c r="E128" s="1737" t="s">
        <v>6376</v>
      </c>
      <c r="F128" s="1737" t="s">
        <v>6377</v>
      </c>
      <c r="G128" s="1277"/>
      <c r="H128" s="1276">
        <v>358.49</v>
      </c>
      <c r="I128" s="1277"/>
      <c r="J128" s="1782"/>
      <c r="K128" s="929" t="s">
        <v>6378</v>
      </c>
      <c r="L128" s="1737"/>
      <c r="M128" s="1737" t="s">
        <v>6370</v>
      </c>
      <c r="N128" s="609" t="s">
        <v>6379</v>
      </c>
      <c r="O128" s="1247" t="s">
        <v>6380</v>
      </c>
      <c r="P128" s="1668"/>
      <c r="Q128" s="1679"/>
      <c r="R128" s="2016">
        <v>46267.0</v>
      </c>
      <c r="S128" s="1332" t="s">
        <v>6383</v>
      </c>
      <c r="T128" s="2016">
        <v>46175.0</v>
      </c>
      <c r="U128" s="1786">
        <v>46210.0</v>
      </c>
      <c r="V128" s="1332" t="s">
        <v>6383</v>
      </c>
      <c r="W128" s="1786">
        <v>46051.0</v>
      </c>
      <c r="X128" s="749"/>
      <c r="Y128" s="749"/>
      <c r="Z128" s="749"/>
    </row>
    <row r="129" ht="15.75" customHeight="1">
      <c r="A129" s="1213">
        <v>1.0</v>
      </c>
      <c r="B129" s="1341" t="s">
        <v>5644</v>
      </c>
      <c r="C129" s="1696" t="s">
        <v>6384</v>
      </c>
      <c r="D129" s="1045" t="s">
        <v>6385</v>
      </c>
      <c r="E129" s="1418" t="s">
        <v>6386</v>
      </c>
      <c r="F129" s="1418" t="s">
        <v>6387</v>
      </c>
      <c r="G129" s="1435"/>
      <c r="H129" s="2017">
        <v>360.5</v>
      </c>
      <c r="I129" s="1435">
        <v>30360.0</v>
      </c>
      <c r="J129" s="1718"/>
      <c r="K129" s="1406"/>
      <c r="L129" s="1406"/>
      <c r="M129" s="1696"/>
      <c r="N129" s="883" t="s">
        <v>6388</v>
      </c>
      <c r="O129" s="1424"/>
      <c r="P129" s="1564"/>
      <c r="Q129" s="1560" t="s">
        <v>6389</v>
      </c>
      <c r="R129" s="1406"/>
      <c r="S129" s="1406"/>
      <c r="T129" s="1406"/>
      <c r="U129" s="1406"/>
      <c r="V129" s="1406"/>
      <c r="W129" s="1406"/>
      <c r="X129" s="749"/>
      <c r="Y129" s="749"/>
      <c r="Z129" s="749"/>
    </row>
    <row r="130" ht="15.75" customHeight="1">
      <c r="A130" s="1213">
        <v>1.0</v>
      </c>
      <c r="B130" s="1341" t="s">
        <v>6390</v>
      </c>
      <c r="C130" s="1696" t="s">
        <v>3444</v>
      </c>
      <c r="D130" s="1045" t="s">
        <v>6366</v>
      </c>
      <c r="E130" s="1406" t="s">
        <v>6391</v>
      </c>
      <c r="F130" s="1696"/>
      <c r="G130" s="1211"/>
      <c r="H130" s="1419"/>
      <c r="I130" s="1211"/>
      <c r="J130" s="1642"/>
      <c r="K130" s="1045" t="s">
        <v>2413</v>
      </c>
      <c r="L130" s="1209"/>
      <c r="M130" s="1696"/>
      <c r="N130" s="883" t="s">
        <v>6388</v>
      </c>
      <c r="O130" s="1424"/>
      <c r="P130" s="1564"/>
      <c r="Q130" s="1560"/>
      <c r="R130" s="1406"/>
      <c r="S130" s="1406"/>
      <c r="T130" s="1406"/>
      <c r="U130" s="1406"/>
      <c r="V130" s="1406"/>
      <c r="W130" s="1406"/>
      <c r="X130" s="749"/>
      <c r="Y130" s="749"/>
      <c r="Z130" s="749"/>
    </row>
    <row r="131" ht="15.75" customHeight="1">
      <c r="A131" s="1511">
        <f>COUNTA(B126:B130)</f>
        <v>5</v>
      </c>
      <c r="B131" s="2022" t="s">
        <v>200</v>
      </c>
      <c r="C131" s="1975"/>
      <c r="D131" s="1975"/>
      <c r="E131" s="1975"/>
      <c r="F131" s="1975"/>
      <c r="G131" s="1505">
        <f>SUM(G127:G130)</f>
        <v>1.21</v>
      </c>
      <c r="H131" s="2023">
        <f t="shared" ref="H131:I131" si="4">SUM(H126:H130)</f>
        <v>1302.03</v>
      </c>
      <c r="I131" s="2023">
        <f t="shared" si="4"/>
        <v>38760</v>
      </c>
      <c r="J131" s="2025">
        <f>SUM(J127:J130)</f>
        <v>0</v>
      </c>
      <c r="K131" s="1199">
        <v>3.0</v>
      </c>
      <c r="L131" s="2023"/>
      <c r="M131" s="2023"/>
      <c r="N131" s="2029"/>
      <c r="O131" s="2025">
        <f>SUM(O127:O130)</f>
        <v>1</v>
      </c>
      <c r="P131" s="2025"/>
      <c r="Q131" s="1067"/>
      <c r="R131" s="1963"/>
      <c r="S131" s="1963"/>
      <c r="T131" s="1963"/>
      <c r="U131" s="1963"/>
      <c r="V131" s="1963"/>
      <c r="W131" s="1963"/>
      <c r="X131" s="749"/>
      <c r="Y131" s="749"/>
      <c r="Z131" s="749"/>
    </row>
    <row r="132" ht="15.75" customHeight="1">
      <c r="A132" s="2032">
        <f>SUM(A124,A131,A110,A81,A36)</f>
        <v>116</v>
      </c>
      <c r="B132" s="2037" t="s">
        <v>518</v>
      </c>
      <c r="C132" s="290"/>
      <c r="D132" s="2040"/>
      <c r="E132" s="2040"/>
      <c r="F132" s="2040"/>
      <c r="G132" s="2043">
        <f t="shared" ref="G132:K132" si="5">G131+G124+G110+G81+G36</f>
        <v>65.94495755</v>
      </c>
      <c r="H132" s="2047">
        <f t="shared" si="5"/>
        <v>33839.24</v>
      </c>
      <c r="I132" s="2047">
        <f t="shared" si="5"/>
        <v>2119779.45</v>
      </c>
      <c r="J132" s="2051">
        <f t="shared" si="5"/>
        <v>25</v>
      </c>
      <c r="K132" s="2055">
        <f t="shared" si="5"/>
        <v>19</v>
      </c>
      <c r="L132" s="2055"/>
      <c r="M132" s="2059"/>
      <c r="N132" s="2060"/>
      <c r="O132" s="2055">
        <f>O131+O124+O110+O81+O36</f>
        <v>3</v>
      </c>
      <c r="P132" s="2055"/>
      <c r="Q132" s="2065"/>
      <c r="R132" s="1963"/>
      <c r="S132" s="1963"/>
      <c r="T132" s="1963"/>
      <c r="U132" s="1963"/>
      <c r="V132" s="1963"/>
      <c r="W132" s="1963"/>
      <c r="X132" s="749"/>
      <c r="Y132" s="749"/>
      <c r="Z132" s="749"/>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P3:P4"/>
    <mergeCell ref="Q3:Q4"/>
    <mergeCell ref="B132:C132"/>
    <mergeCell ref="R3:T3"/>
    <mergeCell ref="U3:W3"/>
    <mergeCell ref="A1:W1"/>
    <mergeCell ref="A2:W2"/>
    <mergeCell ref="C3:C4"/>
    <mergeCell ref="F3:I3"/>
    <mergeCell ref="J3:K4"/>
    <mergeCell ref="M3:M4"/>
    <mergeCell ref="N3:O3"/>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2.0"/>
    <col customWidth="1" min="2" max="2" width="20.63"/>
    <col customWidth="1" min="3" max="3" width="23.0"/>
    <col customWidth="1" min="4" max="4" width="16.88"/>
    <col customWidth="1" min="5" max="5" width="20.25"/>
    <col customWidth="1" min="6" max="6" width="18.38"/>
    <col customWidth="1" min="8" max="8" width="19.38"/>
    <col customWidth="1" min="9" max="9" width="23.13"/>
    <col customWidth="1" min="10" max="10" width="18.0"/>
    <col customWidth="1" min="11" max="11" width="20.63"/>
    <col customWidth="1" min="12" max="12" width="21.0"/>
    <col customWidth="1" min="13" max="13" width="15.25"/>
    <col customWidth="1" min="14" max="14" width="21.25"/>
    <col customWidth="1" min="15" max="15" width="18.75"/>
    <col customWidth="1" min="16" max="16" width="17.63"/>
    <col customWidth="1" min="17" max="17" width="15.38"/>
    <col customWidth="1" min="18" max="18" width="25.13"/>
    <col customWidth="1" min="19" max="19" width="20.38"/>
    <col customWidth="1" min="20" max="20" width="16.63"/>
    <col customWidth="1" min="21" max="21" width="26.0"/>
    <col customWidth="1" min="22" max="23" width="8.63"/>
    <col customWidth="1" min="24" max="24" width="15.75"/>
    <col customWidth="1" min="25" max="25" width="21.25"/>
    <col customWidth="1" min="26" max="34" width="29.63"/>
  </cols>
  <sheetData>
    <row r="1">
      <c r="A1" s="1324" t="s">
        <v>916</v>
      </c>
      <c r="Y1" s="1412"/>
      <c r="Z1" s="1416"/>
      <c r="AA1" s="1416"/>
    </row>
    <row r="2">
      <c r="A2" s="1327" t="s">
        <v>4589</v>
      </c>
      <c r="B2" s="770"/>
      <c r="C2" s="770"/>
      <c r="D2" s="770"/>
      <c r="E2" s="770"/>
      <c r="F2" s="770"/>
      <c r="G2" s="770"/>
      <c r="H2" s="770"/>
      <c r="I2" s="770"/>
      <c r="J2" s="770"/>
      <c r="K2" s="770"/>
      <c r="L2" s="770"/>
      <c r="M2" s="770"/>
      <c r="N2" s="770"/>
      <c r="O2" s="770"/>
      <c r="P2" s="770"/>
      <c r="Q2" s="770"/>
      <c r="R2" s="770"/>
      <c r="S2" s="770"/>
      <c r="T2" s="770"/>
      <c r="U2" s="770"/>
      <c r="V2" s="770"/>
      <c r="W2" s="770"/>
      <c r="X2" s="770"/>
      <c r="Y2" s="1420"/>
      <c r="Z2" s="1416"/>
      <c r="AA2" s="1416"/>
    </row>
    <row r="3" ht="26.25" customHeight="1">
      <c r="A3" s="1423" t="s">
        <v>3034</v>
      </c>
      <c r="B3" s="1423" t="s">
        <v>3037</v>
      </c>
      <c r="C3" s="1428" t="s">
        <v>954</v>
      </c>
      <c r="D3" s="1433" t="s">
        <v>962</v>
      </c>
      <c r="E3" s="1433" t="s">
        <v>3043</v>
      </c>
      <c r="F3" s="1437" t="s">
        <v>965</v>
      </c>
      <c r="G3" s="289"/>
      <c r="H3" s="289"/>
      <c r="I3" s="636"/>
      <c r="J3" s="1441" t="s">
        <v>1841</v>
      </c>
      <c r="K3" s="1346"/>
      <c r="L3" s="1443" t="s">
        <v>4616</v>
      </c>
      <c r="M3" s="1447" t="s">
        <v>3049</v>
      </c>
      <c r="N3" s="1450" t="s">
        <v>22</v>
      </c>
      <c r="O3" s="1346"/>
      <c r="P3" s="1433" t="s">
        <v>3065</v>
      </c>
      <c r="Q3" s="1433" t="s">
        <v>4464</v>
      </c>
      <c r="R3" s="1453" t="s">
        <v>3066</v>
      </c>
      <c r="S3" s="289"/>
      <c r="T3" s="636"/>
      <c r="U3" s="1453" t="s">
        <v>3070</v>
      </c>
      <c r="V3" s="289"/>
      <c r="W3" s="289"/>
      <c r="X3" s="1455"/>
      <c r="Y3" s="1457" t="s">
        <v>4654</v>
      </c>
      <c r="Z3" s="1459" t="s">
        <v>4662</v>
      </c>
      <c r="AA3" s="27"/>
      <c r="AB3" s="28"/>
      <c r="AC3" s="1461" t="s">
        <v>4671</v>
      </c>
      <c r="AD3" s="1463" t="s">
        <v>4681</v>
      </c>
      <c r="AE3" s="1467"/>
      <c r="AF3" s="1459" t="s">
        <v>4723</v>
      </c>
      <c r="AG3" s="28"/>
      <c r="AH3" s="1461" t="s">
        <v>4728</v>
      </c>
    </row>
    <row r="4" ht="45.75" customHeight="1">
      <c r="A4" s="1472"/>
      <c r="B4" s="1472"/>
      <c r="C4" s="779"/>
      <c r="D4" s="779"/>
      <c r="E4" s="779"/>
      <c r="F4" s="1474" t="s">
        <v>3124</v>
      </c>
      <c r="G4" s="1478" t="s">
        <v>3126</v>
      </c>
      <c r="H4" s="1481" t="s">
        <v>3140</v>
      </c>
      <c r="I4" s="1485" t="s">
        <v>986</v>
      </c>
      <c r="J4" s="1384"/>
      <c r="K4" s="1385"/>
      <c r="L4" s="1487"/>
      <c r="M4" s="437"/>
      <c r="N4" s="1384"/>
      <c r="O4" s="1385"/>
      <c r="P4" s="779"/>
      <c r="Q4" s="779"/>
      <c r="R4" s="1490" t="s">
        <v>3193</v>
      </c>
      <c r="S4" s="1493" t="s">
        <v>3213</v>
      </c>
      <c r="T4" s="1490" t="s">
        <v>3217</v>
      </c>
      <c r="U4" s="1490" t="s">
        <v>3193</v>
      </c>
      <c r="V4" s="1437" t="s">
        <v>3213</v>
      </c>
      <c r="W4" s="636"/>
      <c r="X4" s="1496" t="s">
        <v>3217</v>
      </c>
      <c r="Y4" s="1500"/>
      <c r="Z4" s="1503" t="s">
        <v>4789</v>
      </c>
      <c r="AA4" s="1503" t="s">
        <v>3213</v>
      </c>
      <c r="AB4" s="1508" t="s">
        <v>4790</v>
      </c>
      <c r="AC4" s="31"/>
      <c r="AD4" s="1503" t="s">
        <v>4793</v>
      </c>
      <c r="AE4" s="1512" t="s">
        <v>4794</v>
      </c>
      <c r="AF4" s="1512" t="s">
        <v>4799</v>
      </c>
      <c r="AG4" s="1503" t="s">
        <v>4800</v>
      </c>
      <c r="AH4" s="31"/>
    </row>
    <row r="5">
      <c r="A5" s="1516" t="s">
        <v>27</v>
      </c>
      <c r="B5" s="1519"/>
      <c r="C5" s="1524"/>
      <c r="D5" s="1524"/>
      <c r="E5" s="1524"/>
      <c r="F5" s="1524"/>
      <c r="G5" s="1528"/>
      <c r="H5" s="1524"/>
      <c r="I5" s="1528"/>
      <c r="J5" s="1532" t="s">
        <v>4559</v>
      </c>
      <c r="K5" s="1524" t="s">
        <v>4802</v>
      </c>
      <c r="L5" s="1524"/>
      <c r="M5" s="1524"/>
      <c r="N5" s="1536"/>
      <c r="O5" s="1532"/>
      <c r="P5" s="1540"/>
      <c r="Q5" s="1544"/>
      <c r="R5" s="1548"/>
      <c r="S5" s="1548"/>
      <c r="T5" s="1548"/>
      <c r="U5" s="1548"/>
      <c r="V5" s="1552"/>
      <c r="W5" s="427"/>
      <c r="X5" s="1556"/>
      <c r="Y5" s="1548"/>
      <c r="Z5" s="1559"/>
      <c r="AA5" s="1559"/>
      <c r="AB5" s="1563"/>
      <c r="AC5" s="1563"/>
      <c r="AD5" s="1563"/>
      <c r="AE5" s="1563"/>
      <c r="AF5" s="1563"/>
      <c r="AG5" s="1563"/>
      <c r="AH5" s="1563"/>
    </row>
    <row r="6" ht="81.0" customHeight="1">
      <c r="A6" s="1565">
        <v>1.0</v>
      </c>
      <c r="B6" s="1565" t="s">
        <v>4833</v>
      </c>
      <c r="C6" s="1565" t="s">
        <v>4834</v>
      </c>
      <c r="D6" s="1565" t="s">
        <v>4835</v>
      </c>
      <c r="E6" s="1565" t="s">
        <v>4836</v>
      </c>
      <c r="F6" s="1565" t="s">
        <v>4837</v>
      </c>
      <c r="G6" s="1565">
        <v>1.51</v>
      </c>
      <c r="H6" s="1565">
        <v>640.24</v>
      </c>
      <c r="I6" s="1567">
        <v>38414.0</v>
      </c>
      <c r="J6" s="1565"/>
      <c r="K6" s="1565"/>
      <c r="L6" s="1567"/>
      <c r="M6" s="1565" t="s">
        <v>4842</v>
      </c>
      <c r="N6" s="1488"/>
      <c r="O6" s="1571"/>
      <c r="P6" s="1575"/>
      <c r="Q6" s="1198"/>
      <c r="R6" s="1201"/>
      <c r="S6" s="1201"/>
      <c r="T6" s="1201"/>
      <c r="U6" s="1201"/>
      <c r="V6" s="1580"/>
      <c r="W6" s="28"/>
      <c r="X6" s="1584"/>
      <c r="Y6" s="1225"/>
      <c r="Z6" s="1416"/>
      <c r="AA6" s="1416"/>
    </row>
    <row r="7" ht="54.0" customHeight="1">
      <c r="A7" s="1565">
        <v>2.0</v>
      </c>
      <c r="B7" s="1565" t="s">
        <v>4904</v>
      </c>
      <c r="C7" s="1565" t="s">
        <v>4905</v>
      </c>
      <c r="D7" s="1565" t="s">
        <v>4907</v>
      </c>
      <c r="E7" s="1565" t="s">
        <v>4836</v>
      </c>
      <c r="F7" s="1565" t="s">
        <v>4908</v>
      </c>
      <c r="G7" s="1565">
        <v>0.4</v>
      </c>
      <c r="H7" s="1565">
        <v>170.0</v>
      </c>
      <c r="I7" s="1567">
        <v>11900.0</v>
      </c>
      <c r="J7" s="1565"/>
      <c r="K7" s="1565"/>
      <c r="L7" s="1567"/>
      <c r="M7" s="1565" t="s">
        <v>4910</v>
      </c>
      <c r="N7" s="1488"/>
      <c r="O7" s="1571"/>
      <c r="P7" s="1575"/>
      <c r="Q7" s="1198"/>
      <c r="R7" s="1201"/>
      <c r="S7" s="1201"/>
      <c r="T7" s="1201"/>
      <c r="U7" s="1201"/>
      <c r="V7" s="1580"/>
      <c r="W7" s="28"/>
      <c r="X7" s="1584"/>
      <c r="Y7" s="1225"/>
      <c r="Z7" s="1416"/>
      <c r="AA7" s="1416"/>
    </row>
    <row r="8" ht="54.0" customHeight="1">
      <c r="A8" s="1565">
        <v>3.0</v>
      </c>
      <c r="B8" s="1565" t="s">
        <v>4911</v>
      </c>
      <c r="C8" s="1565" t="s">
        <v>4912</v>
      </c>
      <c r="D8" s="1565" t="s">
        <v>4913</v>
      </c>
      <c r="E8" s="1565" t="s">
        <v>4836</v>
      </c>
      <c r="F8" s="1565" t="s">
        <v>4914</v>
      </c>
      <c r="G8" s="1565">
        <v>0.75</v>
      </c>
      <c r="H8" s="1565">
        <v>321.5</v>
      </c>
      <c r="I8" s="1567">
        <v>16075.0</v>
      </c>
      <c r="J8" s="1565"/>
      <c r="K8" s="1565"/>
      <c r="L8" s="1567"/>
      <c r="M8" s="1565" t="s">
        <v>4915</v>
      </c>
      <c r="N8" s="1488"/>
      <c r="O8" s="1571"/>
      <c r="P8" s="1575"/>
      <c r="Q8" s="1198"/>
      <c r="R8" s="1201"/>
      <c r="S8" s="1201"/>
      <c r="T8" s="1201"/>
      <c r="U8" s="1201"/>
      <c r="V8" s="1580"/>
      <c r="W8" s="28"/>
      <c r="X8" s="1584"/>
      <c r="Y8" s="1225"/>
      <c r="Z8" s="1416"/>
      <c r="AA8" s="1416"/>
    </row>
    <row r="9" ht="54.0" customHeight="1">
      <c r="A9" s="1565">
        <v>4.0</v>
      </c>
      <c r="B9" s="1565" t="s">
        <v>4916</v>
      </c>
      <c r="C9" s="1565" t="s">
        <v>4912</v>
      </c>
      <c r="D9" s="1565" t="s">
        <v>4913</v>
      </c>
      <c r="E9" s="1565" t="s">
        <v>4917</v>
      </c>
      <c r="F9" s="1565" t="s">
        <v>4918</v>
      </c>
      <c r="G9" s="1565">
        <v>0.05</v>
      </c>
      <c r="H9" s="1565">
        <v>22.0</v>
      </c>
      <c r="I9" s="1567">
        <v>1100.0</v>
      </c>
      <c r="J9" s="1565"/>
      <c r="K9" s="1565" t="s">
        <v>4919</v>
      </c>
      <c r="L9" s="1567">
        <v>7000.0</v>
      </c>
      <c r="M9" s="1565" t="s">
        <v>4915</v>
      </c>
      <c r="N9" s="1488"/>
      <c r="O9" s="1571"/>
      <c r="P9" s="1575"/>
      <c r="Q9" s="1198"/>
      <c r="R9" s="1201"/>
      <c r="S9" s="1201"/>
      <c r="T9" s="1201"/>
      <c r="U9" s="1201"/>
      <c r="V9" s="1580"/>
      <c r="W9" s="28"/>
      <c r="X9" s="1584"/>
      <c r="Y9" s="1225"/>
      <c r="Z9" s="1416"/>
      <c r="AA9" s="1416"/>
    </row>
    <row r="10" ht="54.0" customHeight="1">
      <c r="A10" s="1565">
        <v>5.0</v>
      </c>
      <c r="B10" s="1565" t="s">
        <v>4920</v>
      </c>
      <c r="C10" s="1565" t="s">
        <v>4921</v>
      </c>
      <c r="D10" s="1565" t="s">
        <v>4922</v>
      </c>
      <c r="E10" s="1565" t="s">
        <v>4923</v>
      </c>
      <c r="F10" s="1565" t="s">
        <v>4925</v>
      </c>
      <c r="G10" s="1565">
        <v>0.35</v>
      </c>
      <c r="H10" s="1565">
        <v>152.16</v>
      </c>
      <c r="I10" s="1567">
        <v>12172.8</v>
      </c>
      <c r="J10" s="1565"/>
      <c r="K10" s="1565" t="s">
        <v>4926</v>
      </c>
      <c r="L10" s="1567">
        <v>15000.0</v>
      </c>
      <c r="M10" s="1565" t="s">
        <v>84</v>
      </c>
      <c r="N10" s="1488"/>
      <c r="O10" s="1571"/>
      <c r="P10" s="1575"/>
      <c r="Q10" s="1198"/>
      <c r="R10" s="1201"/>
      <c r="S10" s="1201"/>
      <c r="T10" s="1201"/>
      <c r="U10" s="1201"/>
      <c r="V10" s="1580"/>
      <c r="W10" s="28"/>
      <c r="X10" s="1584"/>
      <c r="Y10" s="1225"/>
      <c r="Z10" s="1416"/>
      <c r="AA10" s="1416"/>
    </row>
    <row r="11" ht="81.0" customHeight="1">
      <c r="A11" s="1565">
        <v>6.0</v>
      </c>
      <c r="B11" s="1565" t="s">
        <v>4927</v>
      </c>
      <c r="C11" s="1565" t="s">
        <v>4928</v>
      </c>
      <c r="D11" s="1565" t="s">
        <v>4929</v>
      </c>
      <c r="E11" s="1565" t="s">
        <v>4930</v>
      </c>
      <c r="F11" s="1565" t="s">
        <v>4931</v>
      </c>
      <c r="G11" s="1565">
        <v>0.19</v>
      </c>
      <c r="H11" s="1565">
        <v>84.0</v>
      </c>
      <c r="I11" s="1567">
        <v>5880.0</v>
      </c>
      <c r="J11" s="1565"/>
      <c r="K11" s="1565"/>
      <c r="L11" s="1567"/>
      <c r="M11" s="1565" t="s">
        <v>4932</v>
      </c>
      <c r="N11" s="1488"/>
      <c r="O11" s="1571"/>
      <c r="P11" s="1575"/>
      <c r="Q11" s="1198"/>
      <c r="R11" s="1201"/>
      <c r="S11" s="1201"/>
      <c r="T11" s="1201"/>
      <c r="U11" s="1201"/>
      <c r="V11" s="1580"/>
      <c r="W11" s="28"/>
      <c r="X11" s="1584"/>
      <c r="Y11" s="1225"/>
      <c r="Z11" s="1416"/>
      <c r="AA11" s="1416"/>
    </row>
    <row r="12" ht="81.0" customHeight="1">
      <c r="A12" s="1565">
        <v>7.0</v>
      </c>
      <c r="B12" s="1565" t="s">
        <v>4933</v>
      </c>
      <c r="C12" s="1565" t="s">
        <v>4934</v>
      </c>
      <c r="D12" s="1565" t="s">
        <v>4922</v>
      </c>
      <c r="E12" s="1565" t="s">
        <v>4935</v>
      </c>
      <c r="F12" s="1593" t="s">
        <v>4936</v>
      </c>
      <c r="G12" s="1565">
        <v>1.203</v>
      </c>
      <c r="H12" s="1565">
        <v>510.072</v>
      </c>
      <c r="I12" s="1567">
        <v>25503.6</v>
      </c>
      <c r="J12" s="1565"/>
      <c r="K12" s="1565" t="s">
        <v>3473</v>
      </c>
      <c r="L12" s="1597">
        <v>10000.0</v>
      </c>
      <c r="M12" s="1565" t="s">
        <v>4944</v>
      </c>
      <c r="N12" s="1488"/>
      <c r="O12" s="1571"/>
      <c r="P12" s="1575"/>
      <c r="Q12" s="1198"/>
      <c r="R12" s="1201"/>
      <c r="S12" s="1201"/>
      <c r="T12" s="1201"/>
      <c r="U12" s="1201"/>
      <c r="V12" s="1580"/>
      <c r="W12" s="28"/>
      <c r="X12" s="1584"/>
      <c r="Y12" s="1225"/>
      <c r="Z12" s="1416"/>
      <c r="AA12" s="1416"/>
    </row>
    <row r="13" ht="81.0" customHeight="1">
      <c r="A13" s="1565">
        <v>8.0</v>
      </c>
      <c r="B13" s="1565" t="s">
        <v>4945</v>
      </c>
      <c r="C13" s="1565" t="s">
        <v>4946</v>
      </c>
      <c r="D13" s="1565" t="s">
        <v>4947</v>
      </c>
      <c r="E13" s="1599" t="s">
        <v>4948</v>
      </c>
      <c r="F13" s="1603" t="s">
        <v>4950</v>
      </c>
      <c r="G13" s="1607"/>
      <c r="H13" s="1565"/>
      <c r="I13" s="1567">
        <v>2000.0</v>
      </c>
      <c r="J13" s="1565" t="s">
        <v>4968</v>
      </c>
      <c r="K13" s="1565"/>
      <c r="L13" s="1567">
        <v>1200000.0</v>
      </c>
      <c r="M13" s="1565" t="s">
        <v>4944</v>
      </c>
      <c r="N13" s="1488"/>
      <c r="O13" s="1571"/>
      <c r="P13" s="1575"/>
      <c r="Q13" s="1198"/>
      <c r="R13" s="1201"/>
      <c r="S13" s="1201"/>
      <c r="T13" s="1201"/>
      <c r="U13" s="1201"/>
      <c r="V13" s="1580"/>
      <c r="W13" s="28"/>
      <c r="X13" s="1584"/>
      <c r="Y13" s="1225"/>
      <c r="Z13" s="1416"/>
      <c r="AA13" s="1416"/>
    </row>
    <row r="14" ht="67.5" customHeight="1">
      <c r="A14" s="1565">
        <v>9.0</v>
      </c>
      <c r="B14" s="1565" t="s">
        <v>4973</v>
      </c>
      <c r="C14" s="1565" t="s">
        <v>4974</v>
      </c>
      <c r="D14" s="1565" t="s">
        <v>4975</v>
      </c>
      <c r="E14" s="1599" t="s">
        <v>4976</v>
      </c>
      <c r="F14" s="1613" t="s">
        <v>4977</v>
      </c>
      <c r="G14" s="1607"/>
      <c r="H14" s="1565"/>
      <c r="I14" s="1567">
        <v>12000.0</v>
      </c>
      <c r="J14" s="1565" t="s">
        <v>5002</v>
      </c>
      <c r="K14" s="1565"/>
      <c r="L14" s="1567">
        <v>500000.0</v>
      </c>
      <c r="M14" s="1565" t="s">
        <v>4944</v>
      </c>
      <c r="N14" s="1488"/>
      <c r="O14" s="1571"/>
      <c r="P14" s="1575"/>
      <c r="Q14" s="1198"/>
      <c r="R14" s="1201"/>
      <c r="S14" s="1201"/>
      <c r="T14" s="1201"/>
      <c r="U14" s="1201"/>
      <c r="V14" s="1580"/>
      <c r="W14" s="28"/>
      <c r="X14" s="1584"/>
      <c r="Y14" s="1225"/>
      <c r="Z14" s="1416"/>
      <c r="AA14" s="1416"/>
    </row>
    <row r="15" ht="121.5" customHeight="1">
      <c r="A15" s="1565">
        <v>10.0</v>
      </c>
      <c r="B15" s="1565" t="s">
        <v>5007</v>
      </c>
      <c r="C15" s="1565" t="s">
        <v>5008</v>
      </c>
      <c r="D15" s="1565" t="s">
        <v>4929</v>
      </c>
      <c r="E15" s="1565" t="s">
        <v>5010</v>
      </c>
      <c r="F15" s="1618" t="s">
        <v>5012</v>
      </c>
      <c r="G15" s="1565">
        <v>0.35</v>
      </c>
      <c r="H15" s="1565">
        <v>152.0</v>
      </c>
      <c r="I15" s="1567">
        <v>10640.0</v>
      </c>
      <c r="J15" s="1565" t="s">
        <v>5014</v>
      </c>
      <c r="K15" s="1565"/>
      <c r="L15" s="1567"/>
      <c r="M15" s="1565" t="s">
        <v>4932</v>
      </c>
      <c r="N15" s="1488"/>
      <c r="O15" s="1571"/>
      <c r="P15" s="1575"/>
      <c r="Q15" s="1198"/>
      <c r="R15" s="1201"/>
      <c r="S15" s="1201"/>
      <c r="T15" s="1201"/>
      <c r="U15" s="1201"/>
      <c r="V15" s="1580"/>
      <c r="W15" s="28"/>
      <c r="X15" s="1584"/>
      <c r="Y15" s="1225"/>
      <c r="Z15" s="1416"/>
      <c r="AA15" s="1416"/>
    </row>
    <row r="16" ht="108.0" customHeight="1">
      <c r="A16" s="1565">
        <v>11.0</v>
      </c>
      <c r="B16" s="1565" t="s">
        <v>5007</v>
      </c>
      <c r="C16" s="1565" t="s">
        <v>5008</v>
      </c>
      <c r="D16" s="1565" t="s">
        <v>4929</v>
      </c>
      <c r="E16" s="1565" t="s">
        <v>4836</v>
      </c>
      <c r="F16" s="1565" t="s">
        <v>5015</v>
      </c>
      <c r="G16" s="1565">
        <v>0.37</v>
      </c>
      <c r="H16" s="1565">
        <v>160.0</v>
      </c>
      <c r="I16" s="1567">
        <v>11200.0</v>
      </c>
      <c r="J16" s="1565" t="s">
        <v>5017</v>
      </c>
      <c r="K16" s="1565"/>
      <c r="L16" s="1567"/>
      <c r="M16" s="1565" t="s">
        <v>4932</v>
      </c>
      <c r="N16" s="1488"/>
      <c r="O16" s="1571"/>
      <c r="P16" s="1575"/>
      <c r="Q16" s="1198"/>
      <c r="R16" s="1201"/>
      <c r="S16" s="1201"/>
      <c r="T16" s="1201"/>
      <c r="U16" s="1201"/>
      <c r="V16" s="1580"/>
      <c r="W16" s="28"/>
      <c r="X16" s="1584"/>
      <c r="Y16" s="1225"/>
      <c r="Z16" s="1416"/>
      <c r="AA16" s="1416"/>
    </row>
    <row r="17" ht="94.5" customHeight="1">
      <c r="A17" s="1565">
        <v>12.0</v>
      </c>
      <c r="B17" s="1565" t="s">
        <v>5019</v>
      </c>
      <c r="C17" s="1565" t="s">
        <v>5020</v>
      </c>
      <c r="D17" s="1565" t="s">
        <v>4929</v>
      </c>
      <c r="E17" s="1565" t="s">
        <v>5021</v>
      </c>
      <c r="F17" s="1565" t="s">
        <v>5022</v>
      </c>
      <c r="G17" s="1565">
        <v>0.25</v>
      </c>
      <c r="H17" s="1565">
        <v>150.0</v>
      </c>
      <c r="I17" s="1567" t="s">
        <v>5024</v>
      </c>
      <c r="J17" s="1565" t="s">
        <v>5025</v>
      </c>
      <c r="K17" s="1565"/>
      <c r="L17" s="1567"/>
      <c r="M17" s="1565" t="s">
        <v>4932</v>
      </c>
      <c r="N17" s="1488"/>
      <c r="O17" s="1571"/>
      <c r="P17" s="1575"/>
      <c r="Q17" s="1198"/>
      <c r="R17" s="1201"/>
      <c r="S17" s="1201"/>
      <c r="T17" s="1201"/>
      <c r="U17" s="1201"/>
      <c r="V17" s="1580"/>
      <c r="W17" s="28"/>
      <c r="X17" s="1584"/>
      <c r="Y17" s="1225"/>
      <c r="Z17" s="1416"/>
      <c r="AA17" s="1416"/>
    </row>
    <row r="18" ht="54.0" customHeight="1">
      <c r="A18" s="1565">
        <v>13.0</v>
      </c>
      <c r="B18" s="1565" t="s">
        <v>5028</v>
      </c>
      <c r="C18" s="1565" t="s">
        <v>5029</v>
      </c>
      <c r="D18" s="1565" t="s">
        <v>4907</v>
      </c>
      <c r="E18" s="1565" t="s">
        <v>4836</v>
      </c>
      <c r="F18" s="1565" t="s">
        <v>5030</v>
      </c>
      <c r="G18" s="1565">
        <v>0.17</v>
      </c>
      <c r="H18" s="1565">
        <v>73.33</v>
      </c>
      <c r="I18" s="1567">
        <v>4033.0</v>
      </c>
      <c r="J18" s="1565"/>
      <c r="K18" s="1565"/>
      <c r="L18" s="1567"/>
      <c r="M18" s="1565" t="s">
        <v>5031</v>
      </c>
      <c r="N18" s="1488"/>
      <c r="O18" s="1571"/>
      <c r="P18" s="1575"/>
      <c r="Q18" s="1198"/>
      <c r="R18" s="1201"/>
      <c r="S18" s="1201"/>
      <c r="T18" s="1201"/>
      <c r="U18" s="1201"/>
      <c r="V18" s="1580"/>
      <c r="W18" s="28"/>
      <c r="X18" s="1584"/>
      <c r="Y18" s="1225"/>
      <c r="Z18" s="1416"/>
      <c r="AA18" s="1416"/>
    </row>
    <row r="19" ht="108.0" customHeight="1">
      <c r="A19" s="1565">
        <v>14.0</v>
      </c>
      <c r="B19" s="1565" t="s">
        <v>5032</v>
      </c>
      <c r="C19" s="1565" t="s">
        <v>5033</v>
      </c>
      <c r="D19" s="1565" t="s">
        <v>5034</v>
      </c>
      <c r="E19" s="1565" t="s">
        <v>5035</v>
      </c>
      <c r="F19" s="1565" t="s">
        <v>5036</v>
      </c>
      <c r="G19" s="1565">
        <v>0.23</v>
      </c>
      <c r="H19" s="1565">
        <v>99.05</v>
      </c>
      <c r="I19" s="1567">
        <v>6933.0</v>
      </c>
      <c r="J19" s="1565"/>
      <c r="K19" s="1565" t="s">
        <v>5037</v>
      </c>
      <c r="L19" s="1567">
        <v>15000.0</v>
      </c>
      <c r="M19" s="1565" t="s">
        <v>5038</v>
      </c>
      <c r="N19" s="1488"/>
      <c r="O19" s="1571"/>
      <c r="P19" s="1575"/>
      <c r="Q19" s="1198"/>
      <c r="R19" s="1201"/>
      <c r="S19" s="1201"/>
      <c r="T19" s="1201"/>
      <c r="U19" s="1201"/>
      <c r="V19" s="1580"/>
      <c r="W19" s="28"/>
      <c r="X19" s="1584"/>
      <c r="Y19" s="1225"/>
      <c r="Z19" s="1416"/>
      <c r="AA19" s="1416"/>
    </row>
    <row r="20" ht="108.0" customHeight="1">
      <c r="A20" s="1565">
        <v>15.0</v>
      </c>
      <c r="B20" s="1565" t="s">
        <v>5039</v>
      </c>
      <c r="C20" s="1565" t="s">
        <v>5040</v>
      </c>
      <c r="D20" s="1565" t="s">
        <v>5041</v>
      </c>
      <c r="E20" s="1565" t="s">
        <v>4836</v>
      </c>
      <c r="F20" s="1565" t="s">
        <v>5042</v>
      </c>
      <c r="G20" s="1565">
        <v>3.62</v>
      </c>
      <c r="H20" s="1597">
        <v>1539.0</v>
      </c>
      <c r="I20" s="1567">
        <v>107730.0</v>
      </c>
      <c r="J20" s="1565"/>
      <c r="K20" s="1565"/>
      <c r="L20" s="1567"/>
      <c r="M20" s="1565" t="s">
        <v>4944</v>
      </c>
      <c r="N20" s="1488"/>
      <c r="O20" s="1571"/>
      <c r="P20" s="1575"/>
      <c r="Q20" s="1198"/>
      <c r="R20" s="1201"/>
      <c r="S20" s="1201"/>
      <c r="T20" s="1201"/>
      <c r="U20" s="1201"/>
      <c r="V20" s="1580"/>
      <c r="W20" s="28"/>
      <c r="X20" s="1584"/>
      <c r="Y20" s="1225"/>
      <c r="Z20" s="1416"/>
      <c r="AA20" s="1416"/>
    </row>
    <row r="21" ht="94.5" customHeight="1">
      <c r="A21" s="1565">
        <v>16.0</v>
      </c>
      <c r="B21" s="1565" t="s">
        <v>5048</v>
      </c>
      <c r="C21" s="1565" t="s">
        <v>5050</v>
      </c>
      <c r="D21" s="1565" t="s">
        <v>4913</v>
      </c>
      <c r="E21" s="1565" t="s">
        <v>5051</v>
      </c>
      <c r="F21" s="1565" t="s">
        <v>5052</v>
      </c>
      <c r="G21" s="1565">
        <v>1.06</v>
      </c>
      <c r="H21" s="1565">
        <v>451.133</v>
      </c>
      <c r="I21" s="1567">
        <v>31593.1</v>
      </c>
      <c r="J21" s="1565" t="s">
        <v>5054</v>
      </c>
      <c r="K21" s="1565"/>
      <c r="L21" s="1567">
        <v>200000.0</v>
      </c>
      <c r="M21" s="1565" t="s">
        <v>4915</v>
      </c>
      <c r="N21" s="1625" t="s">
        <v>5056</v>
      </c>
      <c r="O21" s="1571"/>
      <c r="P21" s="1575"/>
      <c r="Q21" s="1198"/>
      <c r="R21" s="1201" t="s">
        <v>5075</v>
      </c>
      <c r="S21" s="1201" t="s">
        <v>5076</v>
      </c>
      <c r="T21" s="1201" t="s">
        <v>5078</v>
      </c>
      <c r="U21" s="1201"/>
      <c r="V21" s="1580"/>
      <c r="W21" s="28"/>
      <c r="X21" s="1584"/>
      <c r="Y21" s="1225"/>
      <c r="Z21" s="1628">
        <v>1.0</v>
      </c>
      <c r="AA21" s="1198" t="s">
        <v>5076</v>
      </c>
    </row>
    <row r="22" ht="67.5" customHeight="1">
      <c r="A22" s="1565">
        <v>17.0</v>
      </c>
      <c r="B22" s="1565" t="s">
        <v>5111</v>
      </c>
      <c r="C22" s="1565" t="s">
        <v>5112</v>
      </c>
      <c r="D22" s="1565" t="s">
        <v>5114</v>
      </c>
      <c r="E22" s="1565" t="s">
        <v>5115</v>
      </c>
      <c r="F22" s="1565" t="s">
        <v>5116</v>
      </c>
      <c r="G22" s="1565">
        <v>0.76</v>
      </c>
      <c r="H22" s="1565">
        <v>325.8</v>
      </c>
      <c r="I22" s="1567">
        <v>11200.0</v>
      </c>
      <c r="J22" s="1565" t="s">
        <v>5118</v>
      </c>
      <c r="K22" s="1565"/>
      <c r="L22" s="1567">
        <v>25000.0</v>
      </c>
      <c r="M22" s="1565" t="s">
        <v>2414</v>
      </c>
      <c r="N22" s="1488"/>
      <c r="O22" s="1571"/>
      <c r="P22" s="1575"/>
      <c r="Q22" s="1198"/>
      <c r="R22" s="1201"/>
      <c r="S22" s="1201"/>
      <c r="T22" s="1201"/>
      <c r="U22" s="1201"/>
      <c r="V22" s="1580"/>
      <c r="W22" s="28"/>
      <c r="X22" s="1584"/>
      <c r="Y22" s="1225"/>
      <c r="Z22" s="1416"/>
      <c r="AA22" s="1416"/>
    </row>
    <row r="23" ht="94.5" customHeight="1">
      <c r="A23" s="1565">
        <v>18.0</v>
      </c>
      <c r="B23" s="1632" t="s">
        <v>5124</v>
      </c>
      <c r="C23" s="1565" t="s">
        <v>5137</v>
      </c>
      <c r="D23" s="1565" t="s">
        <v>4907</v>
      </c>
      <c r="E23" s="1565" t="s">
        <v>5138</v>
      </c>
      <c r="F23" s="1565" t="s">
        <v>5139</v>
      </c>
      <c r="G23" s="1565">
        <v>1.05</v>
      </c>
      <c r="H23" s="1565">
        <v>448.0</v>
      </c>
      <c r="I23" s="1567">
        <v>31360.0</v>
      </c>
      <c r="J23" s="1565"/>
      <c r="K23" s="1565"/>
      <c r="L23" s="1567"/>
      <c r="M23" s="1565" t="s">
        <v>5141</v>
      </c>
      <c r="N23" s="1488"/>
      <c r="O23" s="1571"/>
      <c r="P23" s="1575"/>
      <c r="Q23" s="1198"/>
      <c r="R23" s="1201"/>
      <c r="S23" s="1201"/>
      <c r="T23" s="1201"/>
      <c r="U23" s="1201"/>
      <c r="V23" s="1580"/>
      <c r="W23" s="28"/>
      <c r="X23" s="1584"/>
      <c r="Y23" s="1225"/>
      <c r="Z23" s="1416"/>
      <c r="AA23" s="1416"/>
    </row>
    <row r="24" ht="67.5" customHeight="1">
      <c r="A24" s="1565">
        <v>19.0</v>
      </c>
      <c r="B24" s="1565" t="s">
        <v>5142</v>
      </c>
      <c r="C24" s="1565" t="s">
        <v>5143</v>
      </c>
      <c r="D24" s="1565" t="s">
        <v>5034</v>
      </c>
      <c r="E24" s="1565" t="s">
        <v>4836</v>
      </c>
      <c r="F24" s="1593" t="s">
        <v>5144</v>
      </c>
      <c r="G24" s="1565">
        <v>0.17</v>
      </c>
      <c r="H24" s="1565">
        <v>70.02</v>
      </c>
      <c r="I24" s="1567">
        <v>5484.0</v>
      </c>
      <c r="J24" s="1565"/>
      <c r="K24" s="1565"/>
      <c r="L24" s="1567"/>
      <c r="M24" s="1565" t="s">
        <v>5038</v>
      </c>
      <c r="N24" s="1488"/>
      <c r="O24" s="1571"/>
      <c r="P24" s="1575"/>
      <c r="Q24" s="1198"/>
      <c r="R24" s="1201"/>
      <c r="S24" s="1201"/>
      <c r="T24" s="1201"/>
      <c r="U24" s="1201"/>
      <c r="V24" s="1580"/>
      <c r="W24" s="28"/>
      <c r="X24" s="1584"/>
      <c r="Y24" s="1225"/>
      <c r="Z24" s="1416"/>
      <c r="AA24" s="1416"/>
    </row>
    <row r="25" ht="76.5" customHeight="1">
      <c r="A25" s="534">
        <v>20.0</v>
      </c>
      <c r="B25" s="533" t="s">
        <v>5148</v>
      </c>
      <c r="C25" s="534" t="s">
        <v>5149</v>
      </c>
      <c r="D25" s="534" t="s">
        <v>5150</v>
      </c>
      <c r="E25" s="1637" t="s">
        <v>5151</v>
      </c>
      <c r="F25" s="1641" t="s">
        <v>5163</v>
      </c>
      <c r="G25" s="1645"/>
      <c r="H25" s="1649"/>
      <c r="I25" s="1650">
        <v>41300.0</v>
      </c>
      <c r="J25" s="534" t="s">
        <v>5241</v>
      </c>
      <c r="K25" s="534"/>
      <c r="L25" s="1650">
        <v>300000.0</v>
      </c>
      <c r="M25" s="534" t="s">
        <v>5247</v>
      </c>
      <c r="N25" s="1651" t="s">
        <v>5250</v>
      </c>
      <c r="O25" s="1652"/>
      <c r="P25" s="1654"/>
      <c r="Q25" s="1657"/>
      <c r="R25" s="1661" t="s">
        <v>5297</v>
      </c>
      <c r="S25" s="1665" t="s">
        <v>5300</v>
      </c>
      <c r="T25" s="1661" t="s">
        <v>5085</v>
      </c>
      <c r="U25" s="1669">
        <v>46210.0</v>
      </c>
      <c r="V25" s="1673" t="s">
        <v>5300</v>
      </c>
      <c r="W25" s="28"/>
      <c r="X25" s="1661" t="s">
        <v>5085</v>
      </c>
      <c r="Y25" s="1332"/>
      <c r="Z25" s="1628">
        <v>1.0</v>
      </c>
      <c r="AA25" s="1651" t="s">
        <v>5300</v>
      </c>
    </row>
    <row r="26" ht="67.5" customHeight="1">
      <c r="A26" s="1565">
        <v>21.0</v>
      </c>
      <c r="B26" s="1632" t="s">
        <v>5330</v>
      </c>
      <c r="C26" s="1565" t="s">
        <v>5331</v>
      </c>
      <c r="D26" s="1565" t="s">
        <v>5332</v>
      </c>
      <c r="E26" s="1565" t="s">
        <v>5333</v>
      </c>
      <c r="F26" s="1618" t="s">
        <v>5334</v>
      </c>
      <c r="G26" s="1565">
        <v>0.699</v>
      </c>
      <c r="H26" s="1565">
        <v>296.376</v>
      </c>
      <c r="I26" s="1567">
        <v>16300.0</v>
      </c>
      <c r="J26" s="1565"/>
      <c r="K26" s="1565"/>
      <c r="L26" s="1567"/>
      <c r="M26" s="1565" t="s">
        <v>5335</v>
      </c>
      <c r="N26" s="1488"/>
      <c r="O26" s="1571"/>
      <c r="P26" s="1575"/>
      <c r="Q26" s="1198"/>
      <c r="R26" s="1201"/>
      <c r="S26" s="1201"/>
      <c r="T26" s="1201"/>
      <c r="U26" s="1201"/>
      <c r="V26" s="1580"/>
      <c r="W26" s="28"/>
      <c r="X26" s="1584"/>
      <c r="Y26" s="1225"/>
      <c r="Z26" s="1416"/>
      <c r="AA26" s="1416"/>
    </row>
    <row r="27" ht="54.0" customHeight="1">
      <c r="A27" s="1565">
        <v>22.0</v>
      </c>
      <c r="B27" s="1632" t="s">
        <v>5338</v>
      </c>
      <c r="C27" s="1565" t="s">
        <v>5343</v>
      </c>
      <c r="D27" s="1565" t="s">
        <v>4907</v>
      </c>
      <c r="E27" s="1565" t="s">
        <v>4836</v>
      </c>
      <c r="F27" s="1565" t="s">
        <v>5344</v>
      </c>
      <c r="G27" s="1565">
        <v>0.19</v>
      </c>
      <c r="H27" s="1565">
        <v>84.55</v>
      </c>
      <c r="I27" s="1567">
        <v>4650.0</v>
      </c>
      <c r="J27" s="1565"/>
      <c r="K27" s="1565"/>
      <c r="L27" s="1567"/>
      <c r="M27" s="1565" t="s">
        <v>5141</v>
      </c>
      <c r="N27" s="1488"/>
      <c r="O27" s="1571"/>
      <c r="P27" s="1575"/>
      <c r="Q27" s="1198"/>
      <c r="R27" s="1201"/>
      <c r="S27" s="1201"/>
      <c r="T27" s="1201"/>
      <c r="U27" s="1201"/>
      <c r="V27" s="1580"/>
      <c r="W27" s="28"/>
      <c r="X27" s="1584"/>
      <c r="Y27" s="1225"/>
      <c r="Z27" s="1416"/>
      <c r="AA27" s="1416"/>
    </row>
    <row r="28" ht="94.5" customHeight="1">
      <c r="A28" s="1565">
        <v>23.0</v>
      </c>
      <c r="B28" s="1632" t="s">
        <v>5338</v>
      </c>
      <c r="C28" s="1565" t="s">
        <v>5350</v>
      </c>
      <c r="D28" s="1565" t="s">
        <v>5034</v>
      </c>
      <c r="E28" s="1565" t="s">
        <v>5351</v>
      </c>
      <c r="F28" s="1565" t="s">
        <v>5352</v>
      </c>
      <c r="G28" s="1565">
        <v>0.243</v>
      </c>
      <c r="H28" s="1565">
        <v>103.032</v>
      </c>
      <c r="I28" s="1567">
        <v>24500.0</v>
      </c>
      <c r="J28" s="1565" t="s">
        <v>5353</v>
      </c>
      <c r="K28" s="1565"/>
      <c r="L28" s="1567" t="s">
        <v>5355</v>
      </c>
      <c r="M28" s="1565" t="s">
        <v>4944</v>
      </c>
      <c r="N28" s="1488"/>
      <c r="O28" s="1571"/>
      <c r="P28" s="1575"/>
      <c r="Q28" s="1198"/>
      <c r="R28" s="1201"/>
      <c r="S28" s="1201"/>
      <c r="T28" s="1201"/>
      <c r="U28" s="1201"/>
      <c r="V28" s="1580"/>
      <c r="W28" s="28"/>
      <c r="X28" s="1584"/>
      <c r="Y28" s="1225"/>
      <c r="Z28" s="1416"/>
      <c r="AA28" s="1416"/>
    </row>
    <row r="29" ht="54.0" customHeight="1">
      <c r="A29" s="1565">
        <v>24.0</v>
      </c>
      <c r="B29" s="1632" t="s">
        <v>5359</v>
      </c>
      <c r="C29" s="1565" t="s">
        <v>5360</v>
      </c>
      <c r="D29" s="1565" t="s">
        <v>4913</v>
      </c>
      <c r="E29" s="1565" t="s">
        <v>4836</v>
      </c>
      <c r="F29" s="1565" t="s">
        <v>5361</v>
      </c>
      <c r="G29" s="1565">
        <v>0.715</v>
      </c>
      <c r="H29" s="1597">
        <v>303.16</v>
      </c>
      <c r="I29" s="1567">
        <v>21221.2</v>
      </c>
      <c r="J29" s="1565"/>
      <c r="K29" s="1565"/>
      <c r="L29" s="1567"/>
      <c r="M29" s="1565" t="s">
        <v>5363</v>
      </c>
      <c r="N29" s="1488"/>
      <c r="O29" s="1571"/>
      <c r="P29" s="1575"/>
      <c r="Q29" s="1198"/>
      <c r="R29" s="1201"/>
      <c r="S29" s="1201"/>
      <c r="T29" s="1201"/>
      <c r="U29" s="1201"/>
      <c r="V29" s="1580"/>
      <c r="W29" s="28"/>
      <c r="X29" s="1584"/>
      <c r="Y29" s="1225"/>
      <c r="Z29" s="1416"/>
      <c r="AA29" s="1416"/>
    </row>
    <row r="30" ht="94.5" customHeight="1">
      <c r="A30" s="1565">
        <v>25.0</v>
      </c>
      <c r="B30" s="1632" t="s">
        <v>5364</v>
      </c>
      <c r="C30" s="1565" t="s">
        <v>5343</v>
      </c>
      <c r="D30" s="1565" t="s">
        <v>5366</v>
      </c>
      <c r="E30" s="1565" t="s">
        <v>5367</v>
      </c>
      <c r="F30" s="1593" t="s">
        <v>5344</v>
      </c>
      <c r="G30" s="1565">
        <v>0.11</v>
      </c>
      <c r="H30" s="1565">
        <v>47.25</v>
      </c>
      <c r="I30" s="1567">
        <v>1890.0</v>
      </c>
      <c r="J30" s="1565" t="s">
        <v>5369</v>
      </c>
      <c r="K30" s="1565"/>
      <c r="L30" s="1567">
        <v>20000.0</v>
      </c>
      <c r="M30" s="1565" t="s">
        <v>5141</v>
      </c>
      <c r="N30" s="1488"/>
      <c r="O30" s="1571"/>
      <c r="P30" s="1575"/>
      <c r="Q30" s="1198"/>
      <c r="R30" s="1201"/>
      <c r="S30" s="1201"/>
      <c r="T30" s="1201"/>
      <c r="U30" s="1201"/>
      <c r="V30" s="1580"/>
      <c r="W30" s="28"/>
      <c r="X30" s="1584"/>
      <c r="Y30" s="1225"/>
      <c r="Z30" s="1416"/>
      <c r="AA30" s="1416"/>
    </row>
    <row r="31" ht="94.5" customHeight="1">
      <c r="A31" s="1565">
        <v>26.0</v>
      </c>
      <c r="B31" s="1680" t="s">
        <v>5373</v>
      </c>
      <c r="C31" s="1685" t="s">
        <v>5384</v>
      </c>
      <c r="D31" s="1685" t="s">
        <v>4835</v>
      </c>
      <c r="E31" s="1689" t="s">
        <v>5388</v>
      </c>
      <c r="F31" s="1693" t="s">
        <v>5394</v>
      </c>
      <c r="G31" s="1697"/>
      <c r="H31" s="1701"/>
      <c r="I31" s="1701">
        <v>9755.0</v>
      </c>
      <c r="J31" s="1685" t="s">
        <v>5400</v>
      </c>
      <c r="K31" s="1705"/>
      <c r="L31" s="1701">
        <v>350000.0</v>
      </c>
      <c r="M31" s="1685" t="s">
        <v>4929</v>
      </c>
      <c r="N31" s="1625" t="s">
        <v>5402</v>
      </c>
      <c r="O31" s="1571"/>
      <c r="P31" s="1575"/>
      <c r="Q31" s="1198"/>
      <c r="R31" s="1201" t="s">
        <v>5297</v>
      </c>
      <c r="S31" s="1201" t="s">
        <v>5403</v>
      </c>
      <c r="T31" s="1201" t="s">
        <v>5085</v>
      </c>
      <c r="U31" s="1201"/>
      <c r="V31" s="1580"/>
      <c r="W31" s="28"/>
      <c r="X31" s="1584"/>
      <c r="Y31" s="1225"/>
      <c r="Z31" s="1628">
        <v>1.0</v>
      </c>
      <c r="AA31" s="1198" t="s">
        <v>5403</v>
      </c>
    </row>
    <row r="32" ht="40.5" customHeight="1">
      <c r="A32" s="1565">
        <v>27.0</v>
      </c>
      <c r="B32" s="1708" t="s">
        <v>5404</v>
      </c>
      <c r="C32" s="1565" t="s">
        <v>5405</v>
      </c>
      <c r="D32" s="1565" t="s">
        <v>4922</v>
      </c>
      <c r="E32" s="1565" t="s">
        <v>5406</v>
      </c>
      <c r="F32" s="1618" t="s">
        <v>5407</v>
      </c>
      <c r="G32" s="1565">
        <v>0.19</v>
      </c>
      <c r="H32" s="1567">
        <v>82.0</v>
      </c>
      <c r="I32" s="1567">
        <v>7380.0</v>
      </c>
      <c r="J32" s="1565"/>
      <c r="K32" s="1565"/>
      <c r="L32" s="1567"/>
      <c r="M32" s="1565" t="s">
        <v>4944</v>
      </c>
      <c r="N32" s="1488"/>
      <c r="O32" s="1571"/>
      <c r="P32" s="1575"/>
      <c r="Q32" s="1198"/>
      <c r="R32" s="1201"/>
      <c r="S32" s="1201"/>
      <c r="T32" s="1201"/>
      <c r="U32" s="1201"/>
      <c r="V32" s="1580"/>
      <c r="W32" s="28"/>
      <c r="X32" s="1584"/>
      <c r="Y32" s="1225"/>
      <c r="Z32" s="1416"/>
      <c r="AA32" s="1416"/>
    </row>
    <row r="33" ht="175.5" customHeight="1">
      <c r="A33" s="1565">
        <v>28.0</v>
      </c>
      <c r="B33" s="1708">
        <v>45870.0</v>
      </c>
      <c r="C33" s="1565" t="s">
        <v>5408</v>
      </c>
      <c r="D33" s="1565" t="s">
        <v>5409</v>
      </c>
      <c r="E33" s="1565" t="s">
        <v>5410</v>
      </c>
      <c r="F33" s="1565" t="s">
        <v>5411</v>
      </c>
      <c r="G33" s="1565">
        <v>24.77</v>
      </c>
      <c r="H33" s="1567">
        <v>10502.48</v>
      </c>
      <c r="I33" s="1567">
        <v>525124.0</v>
      </c>
      <c r="J33" s="1565" t="s">
        <v>5412</v>
      </c>
      <c r="K33" s="1565"/>
      <c r="L33" s="1567">
        <v>1000000.0</v>
      </c>
      <c r="M33" s="1565" t="s">
        <v>4944</v>
      </c>
      <c r="N33" s="1488"/>
      <c r="O33" s="1571"/>
      <c r="P33" s="1575"/>
      <c r="Q33" s="1198"/>
      <c r="R33" s="1201"/>
      <c r="S33" s="1201"/>
      <c r="T33" s="1201"/>
      <c r="U33" s="1201"/>
      <c r="V33" s="1580"/>
      <c r="W33" s="28"/>
      <c r="X33" s="1584"/>
      <c r="Y33" s="1225"/>
      <c r="Z33" s="1416"/>
      <c r="AA33" s="1416"/>
    </row>
    <row r="34" ht="94.5" customHeight="1">
      <c r="A34" s="1565">
        <v>29.0</v>
      </c>
      <c r="B34" s="1708">
        <v>45870.0</v>
      </c>
      <c r="C34" s="1565" t="s">
        <v>5408</v>
      </c>
      <c r="D34" s="1565" t="s">
        <v>5409</v>
      </c>
      <c r="E34" s="1565" t="s">
        <v>5413</v>
      </c>
      <c r="F34" s="1565" t="s">
        <v>5414</v>
      </c>
      <c r="G34" s="1565">
        <v>25.1</v>
      </c>
      <c r="H34" s="1567">
        <v>10642.4</v>
      </c>
      <c r="I34" s="1567">
        <v>532120.0</v>
      </c>
      <c r="J34" s="1565" t="s">
        <v>5415</v>
      </c>
      <c r="K34" s="1565"/>
      <c r="L34" s="1567">
        <v>700000.0</v>
      </c>
      <c r="M34" s="1565" t="s">
        <v>4944</v>
      </c>
      <c r="N34" s="1488"/>
      <c r="O34" s="1571"/>
      <c r="P34" s="1575"/>
      <c r="Q34" s="1198"/>
      <c r="R34" s="1201"/>
      <c r="S34" s="1201"/>
      <c r="T34" s="1201"/>
      <c r="U34" s="1201"/>
      <c r="V34" s="1580"/>
      <c r="W34" s="28"/>
      <c r="X34" s="1584"/>
      <c r="Y34" s="1225"/>
      <c r="Z34" s="1416"/>
      <c r="AA34" s="1416"/>
    </row>
    <row r="35" ht="175.5" customHeight="1">
      <c r="A35" s="1565">
        <v>30.0</v>
      </c>
      <c r="B35" s="1708">
        <v>45870.0</v>
      </c>
      <c r="C35" s="1565" t="s">
        <v>5408</v>
      </c>
      <c r="D35" s="1565" t="s">
        <v>5409</v>
      </c>
      <c r="E35" s="1565" t="s">
        <v>5417</v>
      </c>
      <c r="F35" s="1565" t="s">
        <v>5411</v>
      </c>
      <c r="G35" s="1565">
        <v>27.5</v>
      </c>
      <c r="H35" s="1567">
        <v>11660.0</v>
      </c>
      <c r="I35" s="1567">
        <v>583000.0</v>
      </c>
      <c r="J35" s="1565" t="s">
        <v>5419</v>
      </c>
      <c r="K35" s="1565"/>
      <c r="L35" s="1567">
        <v>1000000.0</v>
      </c>
      <c r="M35" s="1565" t="s">
        <v>4944</v>
      </c>
      <c r="N35" s="1488"/>
      <c r="O35" s="1571"/>
      <c r="P35" s="1575"/>
      <c r="Q35" s="1198"/>
      <c r="R35" s="1201"/>
      <c r="S35" s="1201"/>
      <c r="T35" s="1201"/>
      <c r="U35" s="1201"/>
      <c r="V35" s="1580"/>
      <c r="W35" s="28"/>
      <c r="X35" s="1584"/>
      <c r="Y35" s="1225"/>
      <c r="Z35" s="1416"/>
      <c r="AA35" s="1416"/>
    </row>
    <row r="36" ht="121.5" customHeight="1">
      <c r="A36" s="1565">
        <v>31.0</v>
      </c>
      <c r="B36" s="1708">
        <v>45870.0</v>
      </c>
      <c r="C36" s="1565" t="s">
        <v>5408</v>
      </c>
      <c r="D36" s="1565" t="s">
        <v>5409</v>
      </c>
      <c r="E36" s="1565" t="s">
        <v>5421</v>
      </c>
      <c r="F36" s="1565" t="s">
        <v>5423</v>
      </c>
      <c r="G36" s="1565">
        <v>18.24</v>
      </c>
      <c r="H36" s="1567">
        <v>7733.0</v>
      </c>
      <c r="I36" s="1567">
        <v>386688.0</v>
      </c>
      <c r="J36" s="1565" t="s">
        <v>5425</v>
      </c>
      <c r="K36" s="1565"/>
      <c r="L36" s="1567">
        <v>500000.0</v>
      </c>
      <c r="M36" s="1565" t="s">
        <v>4944</v>
      </c>
      <c r="N36" s="1488"/>
      <c r="O36" s="1571"/>
      <c r="P36" s="1575"/>
      <c r="Q36" s="1198"/>
      <c r="R36" s="1201"/>
      <c r="S36" s="1201"/>
      <c r="T36" s="1201"/>
      <c r="U36" s="1201"/>
      <c r="V36" s="1580"/>
      <c r="W36" s="28"/>
      <c r="X36" s="1584"/>
      <c r="Y36" s="1225"/>
      <c r="Z36" s="1416"/>
      <c r="AA36" s="1416"/>
    </row>
    <row r="37" ht="81.0" customHeight="1">
      <c r="A37" s="1565">
        <v>32.0</v>
      </c>
      <c r="B37" s="1708" t="s">
        <v>5429</v>
      </c>
      <c r="C37" s="1565" t="s">
        <v>5431</v>
      </c>
      <c r="D37" s="1565" t="s">
        <v>5034</v>
      </c>
      <c r="E37" s="1565" t="s">
        <v>5433</v>
      </c>
      <c r="F37" s="1565" t="s">
        <v>5434</v>
      </c>
      <c r="G37" s="1565">
        <v>0.13</v>
      </c>
      <c r="H37" s="1565">
        <v>58.3</v>
      </c>
      <c r="I37" s="1567">
        <v>4081.0</v>
      </c>
      <c r="J37" s="1565"/>
      <c r="K37" s="1567" t="s">
        <v>5436</v>
      </c>
      <c r="L37" s="1567">
        <v>15000.0</v>
      </c>
      <c r="M37" s="1565" t="s">
        <v>5438</v>
      </c>
      <c r="N37" s="1488"/>
      <c r="O37" s="1571"/>
      <c r="P37" s="1575"/>
      <c r="Q37" s="1198"/>
      <c r="R37" s="1201"/>
      <c r="S37" s="1201"/>
      <c r="T37" s="1201"/>
      <c r="U37" s="1201"/>
      <c r="V37" s="1580"/>
      <c r="W37" s="28"/>
      <c r="X37" s="1584"/>
      <c r="Y37" s="1225"/>
      <c r="Z37" s="1416"/>
      <c r="AA37" s="1416"/>
    </row>
    <row r="38" ht="54.0" customHeight="1">
      <c r="A38" s="1565">
        <v>33.0</v>
      </c>
      <c r="B38" s="1708" t="s">
        <v>5442</v>
      </c>
      <c r="C38" s="1565" t="s">
        <v>5444</v>
      </c>
      <c r="D38" s="1565" t="s">
        <v>5445</v>
      </c>
      <c r="E38" s="1565" t="s">
        <v>5446</v>
      </c>
      <c r="F38" s="1565" t="s">
        <v>5447</v>
      </c>
      <c r="G38" s="1565">
        <v>0.55</v>
      </c>
      <c r="H38" s="1565">
        <v>236.9</v>
      </c>
      <c r="I38" s="1567">
        <v>11845.0</v>
      </c>
      <c r="J38" s="1565"/>
      <c r="K38" s="1565"/>
      <c r="L38" s="1567"/>
      <c r="M38" s="1565" t="s">
        <v>5449</v>
      </c>
      <c r="N38" s="1488"/>
      <c r="O38" s="1571"/>
      <c r="P38" s="1575"/>
      <c r="Q38" s="1198"/>
      <c r="R38" s="1201"/>
      <c r="S38" s="1201"/>
      <c r="T38" s="1201"/>
      <c r="U38" s="1201"/>
      <c r="V38" s="1580"/>
      <c r="W38" s="28"/>
      <c r="X38" s="1584"/>
      <c r="Y38" s="1225"/>
      <c r="Z38" s="1416"/>
      <c r="AA38" s="1416"/>
    </row>
    <row r="39" ht="81.0" customHeight="1">
      <c r="A39" s="1565">
        <v>34.0</v>
      </c>
      <c r="B39" s="1708" t="s">
        <v>5456</v>
      </c>
      <c r="C39" s="1565" t="s">
        <v>5457</v>
      </c>
      <c r="D39" s="1565" t="s">
        <v>5458</v>
      </c>
      <c r="E39" s="1565" t="s">
        <v>5459</v>
      </c>
      <c r="F39" s="1565" t="s">
        <v>5461</v>
      </c>
      <c r="G39" s="1565">
        <v>0.17</v>
      </c>
      <c r="H39" s="1565">
        <v>325.0</v>
      </c>
      <c r="I39" s="1567">
        <v>19500.0</v>
      </c>
      <c r="J39" s="1565"/>
      <c r="K39" s="1565" t="s">
        <v>5462</v>
      </c>
      <c r="L39" s="1567">
        <v>10000.0</v>
      </c>
      <c r="M39" s="1565" t="s">
        <v>4944</v>
      </c>
      <c r="N39" s="1488"/>
      <c r="O39" s="1571"/>
      <c r="P39" s="1575"/>
      <c r="Q39" s="1198"/>
      <c r="R39" s="1201"/>
      <c r="S39" s="1201"/>
      <c r="T39" s="1201"/>
      <c r="U39" s="1201"/>
      <c r="V39" s="1580"/>
      <c r="W39" s="28"/>
      <c r="X39" s="1584"/>
      <c r="Y39" s="1225"/>
      <c r="Z39" s="1416"/>
      <c r="AA39" s="1416"/>
    </row>
    <row r="40" ht="67.5" customHeight="1">
      <c r="A40" s="1565">
        <v>35.0</v>
      </c>
      <c r="B40" s="1680" t="s">
        <v>5466</v>
      </c>
      <c r="C40" s="1685" t="s">
        <v>5467</v>
      </c>
      <c r="D40" s="1685" t="s">
        <v>5445</v>
      </c>
      <c r="E40" s="1685" t="s">
        <v>5446</v>
      </c>
      <c r="F40" s="1685" t="s">
        <v>5468</v>
      </c>
      <c r="G40" s="1685">
        <v>0.12</v>
      </c>
      <c r="H40" s="1701">
        <v>54.0</v>
      </c>
      <c r="I40" s="1701">
        <v>2700.0</v>
      </c>
      <c r="J40" s="1685"/>
      <c r="K40" s="1705" t="s">
        <v>5469</v>
      </c>
      <c r="L40" s="1701">
        <v>12000.0</v>
      </c>
      <c r="M40" s="1685" t="s">
        <v>5470</v>
      </c>
      <c r="N40" s="1488"/>
      <c r="O40" s="1571"/>
      <c r="P40" s="1575"/>
      <c r="Q40" s="1198"/>
      <c r="R40" s="1201"/>
      <c r="S40" s="1201"/>
      <c r="T40" s="1201"/>
      <c r="U40" s="1201"/>
      <c r="V40" s="1580"/>
      <c r="W40" s="28"/>
      <c r="X40" s="1584"/>
      <c r="Y40" s="1225"/>
      <c r="Z40" s="1416"/>
      <c r="AA40" s="1416"/>
    </row>
    <row r="41" ht="54.0" customHeight="1">
      <c r="A41" s="1565">
        <v>36.0</v>
      </c>
      <c r="B41" s="1708" t="s">
        <v>5472</v>
      </c>
      <c r="C41" s="1565" t="s">
        <v>5473</v>
      </c>
      <c r="D41" s="1565" t="s">
        <v>4922</v>
      </c>
      <c r="E41" s="1565" t="s">
        <v>5475</v>
      </c>
      <c r="F41" s="1565" t="s">
        <v>5476</v>
      </c>
      <c r="G41" s="1565">
        <v>0.42</v>
      </c>
      <c r="H41" s="1567">
        <v>178.08</v>
      </c>
      <c r="I41" s="1567">
        <v>8904.0</v>
      </c>
      <c r="J41" s="1565"/>
      <c r="K41" s="1565"/>
      <c r="L41" s="1567"/>
      <c r="M41" s="1565" t="s">
        <v>5478</v>
      </c>
      <c r="N41" s="1488"/>
      <c r="O41" s="1571"/>
      <c r="P41" s="1575"/>
      <c r="Q41" s="1198"/>
      <c r="R41" s="1201"/>
      <c r="S41" s="1201"/>
      <c r="T41" s="1201"/>
      <c r="U41" s="1201"/>
      <c r="V41" s="1580"/>
      <c r="W41" s="28"/>
      <c r="X41" s="1584"/>
      <c r="Y41" s="1225"/>
      <c r="Z41" s="1416"/>
      <c r="AA41" s="1416"/>
    </row>
    <row r="42" ht="81.0" customHeight="1">
      <c r="A42" s="1565">
        <v>37.0</v>
      </c>
      <c r="B42" s="1708" t="s">
        <v>5483</v>
      </c>
      <c r="C42" s="1565" t="s">
        <v>5484</v>
      </c>
      <c r="D42" s="1565" t="s">
        <v>4835</v>
      </c>
      <c r="E42" s="1565" t="s">
        <v>5485</v>
      </c>
      <c r="F42" s="1565" t="s">
        <v>5486</v>
      </c>
      <c r="G42" s="1565">
        <v>0.64</v>
      </c>
      <c r="H42" s="1567">
        <v>273.49</v>
      </c>
      <c r="I42" s="1567">
        <v>16409.4</v>
      </c>
      <c r="J42" s="1565"/>
      <c r="K42" s="1565" t="s">
        <v>5489</v>
      </c>
      <c r="L42" s="1597">
        <v>15000.0</v>
      </c>
      <c r="M42" s="1565" t="s">
        <v>5490</v>
      </c>
      <c r="N42" s="1488"/>
      <c r="O42" s="1571"/>
      <c r="P42" s="1575"/>
      <c r="Q42" s="1198"/>
      <c r="R42" s="1201"/>
      <c r="S42" s="1201"/>
      <c r="T42" s="1201"/>
      <c r="U42" s="1201"/>
      <c r="V42" s="1580"/>
      <c r="W42" s="28"/>
      <c r="X42" s="1584"/>
      <c r="Y42" s="1225"/>
      <c r="Z42" s="1416"/>
      <c r="AA42" s="1416"/>
    </row>
    <row r="43" ht="94.5" customHeight="1">
      <c r="A43" s="1565">
        <v>38.0</v>
      </c>
      <c r="B43" s="1708" t="s">
        <v>5492</v>
      </c>
      <c r="C43" s="1565" t="s">
        <v>5494</v>
      </c>
      <c r="D43" s="1565" t="s">
        <v>4913</v>
      </c>
      <c r="E43" s="1565" t="s">
        <v>5495</v>
      </c>
      <c r="F43" s="1565" t="s">
        <v>5496</v>
      </c>
      <c r="G43" s="1565">
        <v>2.987</v>
      </c>
      <c r="H43" s="1567">
        <v>1266.63</v>
      </c>
      <c r="I43" s="1567">
        <v>63331.5</v>
      </c>
      <c r="J43" s="1565"/>
      <c r="K43" s="1565"/>
      <c r="L43" s="1597"/>
      <c r="M43" s="1565" t="s">
        <v>5498</v>
      </c>
      <c r="N43" s="1488"/>
      <c r="O43" s="1571"/>
      <c r="P43" s="1575"/>
      <c r="Q43" s="1198"/>
      <c r="R43" s="1201"/>
      <c r="S43" s="1201"/>
      <c r="T43" s="1201"/>
      <c r="U43" s="1201"/>
      <c r="V43" s="1580"/>
      <c r="W43" s="28"/>
      <c r="X43" s="1584"/>
      <c r="Y43" s="1225"/>
      <c r="Z43" s="1416"/>
      <c r="AA43" s="1416"/>
    </row>
    <row r="44" ht="54.0" customHeight="1">
      <c r="A44" s="1565">
        <v>39.0</v>
      </c>
      <c r="B44" s="1721" t="s">
        <v>5504</v>
      </c>
      <c r="C44" s="1685" t="s">
        <v>5519</v>
      </c>
      <c r="D44" s="1685" t="s">
        <v>4922</v>
      </c>
      <c r="E44" s="1685" t="s">
        <v>5520</v>
      </c>
      <c r="F44" s="1724" t="s">
        <v>4914</v>
      </c>
      <c r="G44" s="1727">
        <v>0.13</v>
      </c>
      <c r="H44" s="1701">
        <v>57.9</v>
      </c>
      <c r="I44" s="1701">
        <v>2895.0</v>
      </c>
      <c r="J44" s="1685"/>
      <c r="K44" s="1705"/>
      <c r="L44" s="1685"/>
      <c r="M44" s="1685" t="s">
        <v>5478</v>
      </c>
      <c r="N44" s="1488"/>
      <c r="O44" s="1571"/>
      <c r="P44" s="1575"/>
      <c r="Q44" s="1198"/>
      <c r="R44" s="1201"/>
      <c r="S44" s="1201"/>
      <c r="T44" s="1201"/>
      <c r="U44" s="1201"/>
      <c r="V44" s="1580"/>
      <c r="W44" s="28"/>
      <c r="X44" s="1584"/>
      <c r="Y44" s="1225"/>
      <c r="Z44" s="1416"/>
      <c r="AA44" s="1416"/>
    </row>
    <row r="45" ht="81.0" customHeight="1">
      <c r="A45" s="1565">
        <v>40.0</v>
      </c>
      <c r="B45" s="1721" t="s">
        <v>5535</v>
      </c>
      <c r="C45" s="1685" t="s">
        <v>5536</v>
      </c>
      <c r="D45" s="1685" t="s">
        <v>5034</v>
      </c>
      <c r="E45" s="1689" t="s">
        <v>5537</v>
      </c>
      <c r="F45" s="1693" t="s">
        <v>5538</v>
      </c>
      <c r="G45" s="1731"/>
      <c r="H45" s="1701"/>
      <c r="I45" s="1701">
        <v>1500.0</v>
      </c>
      <c r="J45" s="1685"/>
      <c r="K45" s="1705" t="s">
        <v>5544</v>
      </c>
      <c r="L45" s="1735">
        <v>3500.0</v>
      </c>
      <c r="M45" s="1685" t="s">
        <v>5548</v>
      </c>
      <c r="N45" s="1488"/>
      <c r="O45" s="1571"/>
      <c r="P45" s="1575"/>
      <c r="Q45" s="1198"/>
      <c r="R45" s="1201"/>
      <c r="S45" s="1201"/>
      <c r="T45" s="1201"/>
      <c r="U45" s="1201"/>
      <c r="V45" s="1580"/>
      <c r="W45" s="28"/>
      <c r="X45" s="1584"/>
      <c r="Y45" s="1225"/>
      <c r="Z45" s="1416"/>
      <c r="AA45" s="1416"/>
    </row>
    <row r="46" ht="81.0" customHeight="1">
      <c r="A46" s="1565">
        <v>41.0</v>
      </c>
      <c r="B46" s="1727" t="s">
        <v>5550</v>
      </c>
      <c r="C46" s="1685" t="s">
        <v>5553</v>
      </c>
      <c r="D46" s="1685" t="s">
        <v>4835</v>
      </c>
      <c r="E46" s="1685" t="s">
        <v>5554</v>
      </c>
      <c r="F46" s="1738" t="s">
        <v>5556</v>
      </c>
      <c r="G46" s="1685">
        <v>0.3</v>
      </c>
      <c r="H46" s="1701">
        <v>128.0</v>
      </c>
      <c r="I46" s="1701">
        <v>7600.0</v>
      </c>
      <c r="J46" s="1685"/>
      <c r="K46" s="1705" t="s">
        <v>5544</v>
      </c>
      <c r="L46" s="1701">
        <v>15000.0</v>
      </c>
      <c r="M46" s="1685" t="s">
        <v>5567</v>
      </c>
      <c r="N46" s="1488"/>
      <c r="O46" s="1571"/>
      <c r="P46" s="1575"/>
      <c r="Q46" s="1198"/>
      <c r="R46" s="1201"/>
      <c r="S46" s="1201"/>
      <c r="T46" s="1201"/>
      <c r="U46" s="1201"/>
      <c r="V46" s="1580"/>
      <c r="W46" s="28"/>
      <c r="X46" s="1584"/>
      <c r="Y46" s="1225"/>
      <c r="Z46" s="1416"/>
      <c r="AA46" s="1416"/>
    </row>
    <row r="47" ht="108.0" customHeight="1">
      <c r="A47" s="534">
        <v>42.0</v>
      </c>
      <c r="B47" s="1743" t="s">
        <v>5570</v>
      </c>
      <c r="C47" s="534" t="s">
        <v>5576</v>
      </c>
      <c r="D47" s="534" t="s">
        <v>4922</v>
      </c>
      <c r="E47" s="1637" t="s">
        <v>5577</v>
      </c>
      <c r="F47" s="1641" t="s">
        <v>5578</v>
      </c>
      <c r="G47" s="1645"/>
      <c r="H47" s="1650"/>
      <c r="I47" s="1650" t="s">
        <v>5580</v>
      </c>
      <c r="J47" s="534" t="s">
        <v>5581</v>
      </c>
      <c r="K47" s="1746"/>
      <c r="L47" s="1650">
        <v>400000.0</v>
      </c>
      <c r="M47" s="534" t="s">
        <v>4944</v>
      </c>
      <c r="N47" s="1651"/>
      <c r="O47" s="1652"/>
      <c r="P47" s="1654"/>
      <c r="Q47" s="1657"/>
      <c r="R47" s="1669">
        <v>46188.0</v>
      </c>
      <c r="S47" s="1661" t="s">
        <v>5585</v>
      </c>
      <c r="T47" s="1669">
        <v>46183.0</v>
      </c>
      <c r="U47" s="1669">
        <v>46232.0</v>
      </c>
      <c r="V47" s="1750" t="s">
        <v>5585</v>
      </c>
      <c r="W47" s="28"/>
      <c r="X47" s="1751">
        <v>46224.0</v>
      </c>
      <c r="Y47" s="1332"/>
      <c r="Z47" s="1628">
        <v>1.0</v>
      </c>
      <c r="AA47" s="1657" t="s">
        <v>5585</v>
      </c>
    </row>
    <row r="48" ht="94.5" customHeight="1">
      <c r="A48" s="1565">
        <v>43.0</v>
      </c>
      <c r="B48" s="1708" t="s">
        <v>5596</v>
      </c>
      <c r="C48" s="1565" t="s">
        <v>5597</v>
      </c>
      <c r="D48" s="1565" t="s">
        <v>4907</v>
      </c>
      <c r="E48" s="1565" t="s">
        <v>4836</v>
      </c>
      <c r="F48" s="1618" t="s">
        <v>5598</v>
      </c>
      <c r="G48" s="1565">
        <v>0.21</v>
      </c>
      <c r="H48" s="1567">
        <v>96.62</v>
      </c>
      <c r="I48" s="1567">
        <v>5557.2</v>
      </c>
      <c r="J48" s="1565"/>
      <c r="K48" s="1565"/>
      <c r="L48" s="1567"/>
      <c r="M48" s="1565" t="s">
        <v>5599</v>
      </c>
      <c r="N48" s="1488"/>
      <c r="O48" s="1571"/>
      <c r="P48" s="1575"/>
      <c r="Q48" s="1198"/>
      <c r="R48" s="1201"/>
      <c r="S48" s="1201"/>
      <c r="T48" s="1201"/>
      <c r="U48" s="1201"/>
      <c r="V48" s="1580"/>
      <c r="W48" s="28"/>
      <c r="X48" s="1584"/>
      <c r="Y48" s="1225"/>
      <c r="Z48" s="1416"/>
      <c r="AA48" s="1416"/>
    </row>
    <row r="49" ht="94.5" customHeight="1">
      <c r="A49" s="1565">
        <v>44.0</v>
      </c>
      <c r="B49" s="1708">
        <v>45937.0</v>
      </c>
      <c r="C49" s="1565"/>
      <c r="D49" s="1565" t="s">
        <v>5600</v>
      </c>
      <c r="E49" s="1565" t="s">
        <v>5601</v>
      </c>
      <c r="F49" s="1565" t="s">
        <v>5602</v>
      </c>
      <c r="G49" s="1565">
        <v>0.47</v>
      </c>
      <c r="H49" s="1567">
        <v>201.81</v>
      </c>
      <c r="I49" s="1567" t="s">
        <v>5603</v>
      </c>
      <c r="J49" s="1565"/>
      <c r="K49" s="1565"/>
      <c r="L49" s="1567"/>
      <c r="M49" s="1565" t="s">
        <v>5604</v>
      </c>
      <c r="N49" s="1488"/>
      <c r="O49" s="1571"/>
      <c r="P49" s="1575"/>
      <c r="Q49" s="1198"/>
      <c r="R49" s="1201"/>
      <c r="S49" s="1201"/>
      <c r="T49" s="1201"/>
      <c r="U49" s="1201"/>
      <c r="V49" s="1580"/>
      <c r="W49" s="28"/>
      <c r="X49" s="1584"/>
      <c r="Y49" s="1225"/>
      <c r="Z49" s="1416"/>
      <c r="AA49" s="1416"/>
    </row>
    <row r="50" ht="67.5" customHeight="1">
      <c r="A50" s="1565">
        <v>45.0</v>
      </c>
      <c r="B50" s="1708" t="s">
        <v>5605</v>
      </c>
      <c r="C50" s="1565" t="s">
        <v>5606</v>
      </c>
      <c r="D50" s="1565" t="s">
        <v>4929</v>
      </c>
      <c r="E50" s="1565" t="s">
        <v>5607</v>
      </c>
      <c r="F50" s="1565" t="s">
        <v>5608</v>
      </c>
      <c r="G50" s="1565">
        <v>0.1</v>
      </c>
      <c r="H50" s="1567">
        <v>55.0</v>
      </c>
      <c r="I50" s="1567">
        <v>3850.0</v>
      </c>
      <c r="J50" s="1565"/>
      <c r="K50" s="1565" t="s">
        <v>5544</v>
      </c>
      <c r="L50" s="1567"/>
      <c r="M50" s="1565" t="s">
        <v>5609</v>
      </c>
      <c r="N50" s="1488"/>
      <c r="O50" s="1571"/>
      <c r="P50" s="1575"/>
      <c r="Q50" s="1198"/>
      <c r="R50" s="1201"/>
      <c r="S50" s="1201"/>
      <c r="T50" s="1201"/>
      <c r="U50" s="1201"/>
      <c r="V50" s="1580"/>
      <c r="W50" s="28"/>
      <c r="X50" s="1584"/>
      <c r="Y50" s="1225"/>
      <c r="Z50" s="1416"/>
      <c r="AA50" s="1416"/>
    </row>
    <row r="51" ht="54.0" customHeight="1">
      <c r="A51" s="1565">
        <v>46.0</v>
      </c>
      <c r="B51" s="1708" t="s">
        <v>5610</v>
      </c>
      <c r="C51" s="1565" t="s">
        <v>5611</v>
      </c>
      <c r="D51" s="1565" t="s">
        <v>5612</v>
      </c>
      <c r="E51" s="1565" t="s">
        <v>5613</v>
      </c>
      <c r="F51" s="1565" t="s">
        <v>5614</v>
      </c>
      <c r="G51" s="1565">
        <v>0.68</v>
      </c>
      <c r="H51" s="1567">
        <v>290.0</v>
      </c>
      <c r="I51" s="1567">
        <v>17400.0</v>
      </c>
      <c r="J51" s="1565"/>
      <c r="K51" s="1565"/>
      <c r="L51" s="1567"/>
      <c r="M51" s="1565" t="s">
        <v>5609</v>
      </c>
      <c r="N51" s="1488"/>
      <c r="O51" s="1571"/>
      <c r="P51" s="1575"/>
      <c r="Q51" s="1198"/>
      <c r="R51" s="1201"/>
      <c r="S51" s="1201"/>
      <c r="T51" s="1201"/>
      <c r="U51" s="1201"/>
      <c r="V51" s="1580"/>
      <c r="W51" s="28"/>
      <c r="X51" s="1584"/>
      <c r="Y51" s="1225"/>
      <c r="Z51" s="1416"/>
      <c r="AA51" s="1416"/>
    </row>
    <row r="52" ht="81.0" customHeight="1">
      <c r="A52" s="1565">
        <v>47.0</v>
      </c>
      <c r="B52" s="1708" t="s">
        <v>5615</v>
      </c>
      <c r="C52" s="1565" t="s">
        <v>5616</v>
      </c>
      <c r="D52" s="1565" t="s">
        <v>4947</v>
      </c>
      <c r="E52" s="1565" t="s">
        <v>5617</v>
      </c>
      <c r="F52" s="1565" t="s">
        <v>5618</v>
      </c>
      <c r="G52" s="1565">
        <v>2.26</v>
      </c>
      <c r="H52" s="1567">
        <v>959.41</v>
      </c>
      <c r="I52" s="1567">
        <v>47970.5</v>
      </c>
      <c r="J52" s="1565"/>
      <c r="K52" s="1565"/>
      <c r="L52" s="1567"/>
      <c r="M52" s="1685" t="s">
        <v>5616</v>
      </c>
      <c r="N52" s="1488"/>
      <c r="O52" s="1571"/>
      <c r="P52" s="1575"/>
      <c r="Q52" s="1198"/>
      <c r="R52" s="1201"/>
      <c r="S52" s="1201"/>
      <c r="T52" s="1201"/>
      <c r="U52" s="1201"/>
      <c r="V52" s="1580"/>
      <c r="W52" s="28"/>
      <c r="X52" s="1584"/>
      <c r="Y52" s="1225"/>
      <c r="Z52" s="1416"/>
      <c r="AA52" s="1416"/>
    </row>
    <row r="53" ht="108.0" customHeight="1">
      <c r="A53" s="1565">
        <v>48.0</v>
      </c>
      <c r="B53" s="1708" t="s">
        <v>5619</v>
      </c>
      <c r="C53" s="1565" t="s">
        <v>4974</v>
      </c>
      <c r="D53" s="1565" t="s">
        <v>4922</v>
      </c>
      <c r="E53" s="1565" t="s">
        <v>5620</v>
      </c>
      <c r="F53" s="1565" t="s">
        <v>5621</v>
      </c>
      <c r="G53" s="1565"/>
      <c r="H53" s="1567"/>
      <c r="I53" s="1567">
        <v>3750.0</v>
      </c>
      <c r="J53" s="1565" t="s">
        <v>5622</v>
      </c>
      <c r="K53" s="1565"/>
      <c r="L53" s="1567"/>
      <c r="M53" s="1685" t="s">
        <v>4944</v>
      </c>
      <c r="N53" s="1488"/>
      <c r="O53" s="1571"/>
      <c r="P53" s="1575"/>
      <c r="Q53" s="1198"/>
      <c r="R53" s="1201"/>
      <c r="S53" s="1201"/>
      <c r="T53" s="1201"/>
      <c r="U53" s="1201"/>
      <c r="V53" s="1580"/>
      <c r="W53" s="28"/>
      <c r="X53" s="1584"/>
      <c r="Y53" s="1225"/>
      <c r="Z53" s="1416"/>
      <c r="AA53" s="1416"/>
    </row>
    <row r="54" ht="54.0" customHeight="1">
      <c r="A54" s="1565">
        <v>49.0</v>
      </c>
      <c r="B54" s="1708" t="s">
        <v>5623</v>
      </c>
      <c r="C54" s="1565" t="s">
        <v>5624</v>
      </c>
      <c r="D54" s="1565" t="s">
        <v>4907</v>
      </c>
      <c r="E54" s="1565" t="s">
        <v>5625</v>
      </c>
      <c r="F54" s="1565" t="s">
        <v>5626</v>
      </c>
      <c r="G54" s="1565">
        <v>0.46</v>
      </c>
      <c r="H54" s="1567">
        <v>195.82</v>
      </c>
      <c r="I54" s="1567">
        <v>13707.4</v>
      </c>
      <c r="J54" s="1565"/>
      <c r="K54" s="1565"/>
      <c r="L54" s="1567"/>
      <c r="M54" s="1685" t="s">
        <v>5599</v>
      </c>
      <c r="N54" s="883"/>
      <c r="O54" s="1424"/>
      <c r="P54" s="1213"/>
      <c r="Q54" s="1213"/>
      <c r="R54" s="1406"/>
      <c r="S54" s="1406"/>
      <c r="T54" s="1406"/>
      <c r="U54" s="1406"/>
      <c r="V54" s="1756"/>
      <c r="W54" s="28"/>
      <c r="X54" s="1760"/>
      <c r="Y54" s="1406"/>
      <c r="Z54" s="1416"/>
      <c r="AA54" s="1416"/>
    </row>
    <row r="55" ht="67.5" customHeight="1">
      <c r="A55" s="1565">
        <v>50.0</v>
      </c>
      <c r="B55" s="1708" t="s">
        <v>5632</v>
      </c>
      <c r="C55" s="1565" t="s">
        <v>5143</v>
      </c>
      <c r="D55" s="1565" t="s">
        <v>5633</v>
      </c>
      <c r="E55" s="1565" t="s">
        <v>5634</v>
      </c>
      <c r="F55" s="1593" t="s">
        <v>5635</v>
      </c>
      <c r="G55" s="1565">
        <v>1.0</v>
      </c>
      <c r="H55" s="1567">
        <v>424.0</v>
      </c>
      <c r="I55" s="1567">
        <v>1200.0</v>
      </c>
      <c r="J55" s="1565"/>
      <c r="K55" s="1764" t="s">
        <v>5636</v>
      </c>
      <c r="L55" s="1567">
        <v>7000.0</v>
      </c>
      <c r="M55" s="1685" t="s">
        <v>5643</v>
      </c>
      <c r="N55" s="891"/>
      <c r="O55" s="1642"/>
      <c r="P55" s="891"/>
      <c r="Q55" s="891"/>
      <c r="R55" s="1768"/>
      <c r="S55" s="1768"/>
      <c r="T55" s="1768"/>
      <c r="U55" s="1768"/>
      <c r="V55" s="1773"/>
      <c r="W55" s="28"/>
      <c r="X55" s="1773"/>
      <c r="Y55" s="1777"/>
      <c r="Z55" s="1416"/>
      <c r="AA55" s="1416"/>
    </row>
    <row r="56" ht="96.0" customHeight="1">
      <c r="A56" s="534">
        <v>51.0</v>
      </c>
      <c r="B56" s="1780" t="s">
        <v>5658</v>
      </c>
      <c r="C56" s="534" t="s">
        <v>5661</v>
      </c>
      <c r="D56" s="534" t="s">
        <v>4913</v>
      </c>
      <c r="E56" s="1637" t="s">
        <v>5662</v>
      </c>
      <c r="F56" s="1641" t="s">
        <v>5663</v>
      </c>
      <c r="G56" s="1645"/>
      <c r="H56" s="1650"/>
      <c r="I56" s="1650">
        <v>10000.0</v>
      </c>
      <c r="J56" s="1746" t="s">
        <v>5664</v>
      </c>
      <c r="K56" s="534"/>
      <c r="L56" s="1650"/>
      <c r="M56" s="534" t="s">
        <v>4944</v>
      </c>
      <c r="N56" s="609" t="s">
        <v>5665</v>
      </c>
      <c r="O56" s="1782"/>
      <c r="P56" s="929"/>
      <c r="Q56" s="929"/>
      <c r="R56" s="1786">
        <v>46210.0</v>
      </c>
      <c r="S56" s="1684" t="s">
        <v>5667</v>
      </c>
      <c r="T56" s="1786">
        <v>46205.0</v>
      </c>
      <c r="U56" s="1786">
        <v>46238.0</v>
      </c>
      <c r="V56" s="1788" t="s">
        <v>5667</v>
      </c>
      <c r="W56" s="28"/>
      <c r="X56" s="1786">
        <v>46205.0</v>
      </c>
      <c r="Y56" s="1792"/>
      <c r="Z56" s="1628">
        <v>1.0</v>
      </c>
      <c r="AA56" s="609" t="s">
        <v>5667</v>
      </c>
    </row>
    <row r="57" ht="81.0" customHeight="1">
      <c r="A57" s="1565">
        <v>52.0</v>
      </c>
      <c r="B57" s="1708" t="s">
        <v>5668</v>
      </c>
      <c r="C57" s="1565" t="s">
        <v>5669</v>
      </c>
      <c r="D57" s="1565" t="s">
        <v>5633</v>
      </c>
      <c r="E57" s="1565" t="s">
        <v>5670</v>
      </c>
      <c r="F57" s="1618" t="s">
        <v>5671</v>
      </c>
      <c r="G57" s="1565">
        <v>0.2</v>
      </c>
      <c r="H57" s="1567">
        <v>104.0</v>
      </c>
      <c r="I57" s="1567">
        <v>8320.0</v>
      </c>
      <c r="J57" s="1565"/>
      <c r="K57" s="1764" t="s">
        <v>5672</v>
      </c>
      <c r="L57" s="1567">
        <v>15000.0</v>
      </c>
      <c r="M57" s="1685" t="s">
        <v>4944</v>
      </c>
      <c r="N57" s="1215" t="s">
        <v>5673</v>
      </c>
      <c r="O57" s="1642"/>
      <c r="P57" s="891"/>
      <c r="Q57" s="891"/>
      <c r="R57" s="1670">
        <v>46182.0</v>
      </c>
      <c r="S57" s="1797" t="s">
        <v>5674</v>
      </c>
      <c r="T57" s="1670">
        <v>46167.0</v>
      </c>
      <c r="U57" s="1768"/>
      <c r="V57" s="1773"/>
      <c r="W57" s="28"/>
      <c r="X57" s="1773"/>
      <c r="Y57" s="1777"/>
      <c r="Z57" s="1628">
        <v>1.0</v>
      </c>
      <c r="AA57" s="824" t="s">
        <v>5674</v>
      </c>
    </row>
    <row r="58" ht="67.5" customHeight="1">
      <c r="A58" s="1565">
        <v>53.0</v>
      </c>
      <c r="B58" s="1708">
        <v>45992.0</v>
      </c>
      <c r="C58" s="1565" t="s">
        <v>5675</v>
      </c>
      <c r="D58" s="1565" t="s">
        <v>5633</v>
      </c>
      <c r="E58" s="1565" t="s">
        <v>5676</v>
      </c>
      <c r="F58" s="1565" t="s">
        <v>5677</v>
      </c>
      <c r="G58" s="1565">
        <v>0.23</v>
      </c>
      <c r="H58" s="1567">
        <v>101.33</v>
      </c>
      <c r="I58" s="1567">
        <v>7093.1</v>
      </c>
      <c r="J58" s="1565"/>
      <c r="K58" s="1565"/>
      <c r="L58" s="1567"/>
      <c r="M58" s="1685" t="s">
        <v>5643</v>
      </c>
      <c r="N58" s="891"/>
      <c r="O58" s="1642"/>
      <c r="P58" s="891"/>
      <c r="Q58" s="891"/>
      <c r="R58" s="1768"/>
      <c r="S58" s="1768"/>
      <c r="T58" s="1768"/>
      <c r="U58" s="1768"/>
      <c r="V58" s="1773"/>
      <c r="W58" s="28"/>
      <c r="X58" s="1773"/>
      <c r="Y58" s="1777"/>
      <c r="Z58" s="1416"/>
      <c r="AA58" s="1416"/>
    </row>
    <row r="59" ht="24.0" customHeight="1">
      <c r="A59" s="1468">
        <f>COUNTA(A6:A58)</f>
        <v>53</v>
      </c>
      <c r="B59" s="1497" t="s">
        <v>200</v>
      </c>
      <c r="C59" s="1501"/>
      <c r="D59" s="1501"/>
      <c r="E59" s="1501"/>
      <c r="F59" s="1800"/>
      <c r="G59" s="1803">
        <f t="shared" ref="G59:I59" si="1">SUM(G6:G58)</f>
        <v>121.297</v>
      </c>
      <c r="H59" s="1803">
        <f t="shared" si="1"/>
        <v>51828.843</v>
      </c>
      <c r="I59" s="1805">
        <f t="shared" si="1"/>
        <v>2756760.8</v>
      </c>
      <c r="J59" s="1468">
        <v>18.0</v>
      </c>
      <c r="K59" s="1800">
        <v>13.0</v>
      </c>
      <c r="L59" s="1511">
        <f>SUM(L6:L58)</f>
        <v>6334500</v>
      </c>
      <c r="M59" s="1501"/>
      <c r="N59" s="1515"/>
      <c r="O59" s="1468"/>
      <c r="P59" s="1515"/>
      <c r="Q59" s="1515"/>
      <c r="R59" s="1520">
        <f>COUNTA(R58,R6:R58)</f>
        <v>6</v>
      </c>
      <c r="S59" s="1520"/>
      <c r="T59" s="1520"/>
      <c r="U59" s="1520"/>
      <c r="V59" s="1809"/>
      <c r="W59" s="28"/>
      <c r="X59" s="1813"/>
      <c r="Y59" s="1473"/>
      <c r="Z59" s="1416"/>
      <c r="AA59" s="1416"/>
    </row>
    <row r="60" ht="30.0" customHeight="1">
      <c r="A60" s="1817"/>
      <c r="B60" s="1819" t="s">
        <v>390</v>
      </c>
      <c r="C60" s="1822"/>
      <c r="D60" s="1822"/>
      <c r="E60" s="1822"/>
      <c r="F60" s="1822"/>
      <c r="G60" s="1825"/>
      <c r="H60" s="1822"/>
      <c r="I60" s="1822"/>
      <c r="J60" s="1829"/>
      <c r="K60" s="1822"/>
      <c r="L60" s="1822"/>
      <c r="M60" s="1822"/>
      <c r="N60" s="1833"/>
      <c r="O60" s="1836"/>
      <c r="P60" s="1838"/>
      <c r="Q60" s="1817"/>
      <c r="R60" s="1841"/>
      <c r="S60" s="1845"/>
      <c r="T60" s="1845"/>
      <c r="U60" s="1841"/>
      <c r="V60" s="1849"/>
      <c r="W60" s="28"/>
      <c r="X60" s="1854"/>
      <c r="Y60" s="1841"/>
      <c r="Z60" s="1559"/>
      <c r="AA60" s="1559"/>
      <c r="AB60" s="1563"/>
      <c r="AC60" s="1563"/>
      <c r="AD60" s="1563"/>
      <c r="AE60" s="1563"/>
      <c r="AF60" s="1563"/>
      <c r="AG60" s="1563"/>
      <c r="AH60" s="1563"/>
    </row>
    <row r="61" ht="68.25" customHeight="1">
      <c r="A61" s="1247">
        <v>1.0</v>
      </c>
      <c r="B61" s="1274" t="s">
        <v>5923</v>
      </c>
      <c r="C61" s="1857" t="s">
        <v>5925</v>
      </c>
      <c r="D61" s="1275" t="s">
        <v>5936</v>
      </c>
      <c r="E61" s="1041" t="s">
        <v>5938</v>
      </c>
      <c r="F61" s="1041" t="s">
        <v>5941</v>
      </c>
      <c r="G61" s="1277"/>
      <c r="H61" s="1275">
        <v>123.0</v>
      </c>
      <c r="I61" s="1862">
        <v>4920.0</v>
      </c>
      <c r="J61" s="1867"/>
      <c r="K61" s="609" t="s">
        <v>5957</v>
      </c>
      <c r="L61" s="1275"/>
      <c r="M61" s="1275" t="s">
        <v>390</v>
      </c>
      <c r="N61" s="609" t="s">
        <v>5958</v>
      </c>
      <c r="O61" s="1668"/>
      <c r="P61" s="609"/>
      <c r="Q61" s="1247"/>
      <c r="R61" s="1871"/>
      <c r="S61" s="1332"/>
      <c r="T61" s="1873"/>
      <c r="U61" s="1332" t="s">
        <v>6001</v>
      </c>
      <c r="V61" s="1877" t="s">
        <v>6003</v>
      </c>
      <c r="W61" s="28"/>
      <c r="X61" s="1871" t="s">
        <v>6008</v>
      </c>
      <c r="Y61" s="1332"/>
      <c r="Z61" s="1628"/>
      <c r="AA61" s="1416"/>
    </row>
    <row r="62" ht="15.75" customHeight="1">
      <c r="A62" s="1247">
        <v>1.0</v>
      </c>
      <c r="B62" s="1274" t="s">
        <v>6009</v>
      </c>
      <c r="C62" s="1857" t="s">
        <v>2156</v>
      </c>
      <c r="D62" s="1275" t="s">
        <v>5936</v>
      </c>
      <c r="E62" s="1041"/>
      <c r="F62" s="1041" t="s">
        <v>6010</v>
      </c>
      <c r="G62" s="1277"/>
      <c r="H62" s="1275"/>
      <c r="I62" s="1862"/>
      <c r="J62" s="1882" t="s">
        <v>6011</v>
      </c>
      <c r="K62" s="609"/>
      <c r="L62" s="1275"/>
      <c r="M62" s="1275"/>
      <c r="N62" s="609" t="s">
        <v>6016</v>
      </c>
      <c r="O62" s="1668"/>
      <c r="P62" s="609"/>
      <c r="Q62" s="1247"/>
      <c r="R62" s="1332"/>
      <c r="S62" s="1886"/>
      <c r="T62" s="1889"/>
      <c r="U62" s="1886" t="s">
        <v>6019</v>
      </c>
      <c r="V62" s="1788" t="s">
        <v>6020</v>
      </c>
      <c r="W62" s="28"/>
      <c r="X62" s="1889" t="s">
        <v>6021</v>
      </c>
      <c r="Y62" s="1332"/>
      <c r="Z62" s="1416"/>
      <c r="AA62" s="1416"/>
    </row>
    <row r="63" ht="15.75" customHeight="1">
      <c r="A63" s="1247">
        <v>2.0</v>
      </c>
      <c r="B63" s="1274" t="s">
        <v>6022</v>
      </c>
      <c r="C63" s="1041" t="s">
        <v>6023</v>
      </c>
      <c r="D63" s="1891" t="s">
        <v>6024</v>
      </c>
      <c r="E63" s="1275" t="s">
        <v>4836</v>
      </c>
      <c r="F63" s="1041" t="s">
        <v>6025</v>
      </c>
      <c r="G63" s="1277"/>
      <c r="H63" s="1275">
        <v>390.0</v>
      </c>
      <c r="I63" s="1247"/>
      <c r="J63" s="1247"/>
      <c r="K63" s="1275"/>
      <c r="L63" s="1275"/>
      <c r="M63" s="1275" t="s">
        <v>390</v>
      </c>
      <c r="N63" s="609" t="s">
        <v>6026</v>
      </c>
      <c r="O63" s="1668"/>
      <c r="P63" s="609"/>
      <c r="Q63" s="1247"/>
      <c r="R63" s="1332"/>
      <c r="S63" s="1895"/>
      <c r="T63" s="1332"/>
      <c r="U63" s="1886" t="s">
        <v>6031</v>
      </c>
      <c r="V63" s="1788" t="s">
        <v>6032</v>
      </c>
      <c r="W63" s="28"/>
      <c r="X63" s="1332" t="s">
        <v>6034</v>
      </c>
      <c r="Y63" s="1332"/>
      <c r="Z63" s="1416"/>
      <c r="AA63" s="1416"/>
    </row>
    <row r="64" ht="78.75" customHeight="1">
      <c r="A64" s="1247">
        <v>3.0</v>
      </c>
      <c r="B64" s="1274" t="s">
        <v>6035</v>
      </c>
      <c r="C64" s="1041" t="s">
        <v>6036</v>
      </c>
      <c r="D64" s="1041" t="s">
        <v>6037</v>
      </c>
      <c r="E64" s="1041" t="s">
        <v>6040</v>
      </c>
      <c r="F64" s="1041" t="s">
        <v>6042</v>
      </c>
      <c r="G64" s="1277"/>
      <c r="H64" s="1275">
        <v>256.0</v>
      </c>
      <c r="I64" s="1862">
        <v>25600.0</v>
      </c>
      <c r="J64" s="1247"/>
      <c r="K64" s="1275"/>
      <c r="L64" s="1275"/>
      <c r="M64" s="1275" t="s">
        <v>390</v>
      </c>
      <c r="N64" s="609" t="s">
        <v>6046</v>
      </c>
      <c r="O64" s="1668"/>
      <c r="P64" s="609"/>
      <c r="Q64" s="1247"/>
      <c r="R64" s="1871"/>
      <c r="S64" s="1332"/>
      <c r="T64" s="1899"/>
      <c r="U64" s="1886" t="s">
        <v>6001</v>
      </c>
      <c r="V64" s="1788" t="s">
        <v>6051</v>
      </c>
      <c r="W64" s="28"/>
      <c r="X64" s="1899" t="s">
        <v>6052</v>
      </c>
      <c r="Y64" s="1332"/>
      <c r="Z64" s="1416"/>
      <c r="AA64" s="1416"/>
    </row>
    <row r="65" ht="15.75" customHeight="1">
      <c r="A65" s="1213">
        <v>4.0</v>
      </c>
      <c r="B65" s="1206" t="s">
        <v>6053</v>
      </c>
      <c r="C65" s="1045" t="s">
        <v>6054</v>
      </c>
      <c r="D65" s="1209" t="s">
        <v>390</v>
      </c>
      <c r="E65" s="1209" t="s">
        <v>4836</v>
      </c>
      <c r="F65" s="1209"/>
      <c r="G65" s="1211"/>
      <c r="H65" s="1209"/>
      <c r="I65" s="1213"/>
      <c r="J65" s="1213"/>
      <c r="K65" s="1209" t="s">
        <v>6062</v>
      </c>
      <c r="L65" s="1209"/>
      <c r="M65" s="1209" t="s">
        <v>390</v>
      </c>
      <c r="N65" s="1215" t="s">
        <v>6064</v>
      </c>
      <c r="O65" s="1564"/>
      <c r="P65" s="883"/>
      <c r="Q65" s="1213"/>
      <c r="R65" s="1225" t="s">
        <v>6067</v>
      </c>
      <c r="S65" s="1904" t="s">
        <v>6069</v>
      </c>
      <c r="T65" s="1907" t="s">
        <v>6034</v>
      </c>
      <c r="U65" s="1915"/>
      <c r="V65" s="1580"/>
      <c r="W65" s="28"/>
      <c r="X65" s="1225"/>
      <c r="Y65" s="1225"/>
      <c r="Z65" s="1628">
        <v>1.0</v>
      </c>
      <c r="AA65" s="1919" t="s">
        <v>6069</v>
      </c>
    </row>
    <row r="66" ht="15.75" customHeight="1">
      <c r="A66" s="1213">
        <v>5.0</v>
      </c>
      <c r="B66" s="1206" t="s">
        <v>6135</v>
      </c>
      <c r="C66" s="1045" t="s">
        <v>5547</v>
      </c>
      <c r="D66" s="1209"/>
      <c r="E66" s="1209"/>
      <c r="F66" s="1045" t="s">
        <v>6136</v>
      </c>
      <c r="G66" s="1211"/>
      <c r="H66" s="1209"/>
      <c r="I66" s="883"/>
      <c r="J66" s="1456" t="s">
        <v>6137</v>
      </c>
      <c r="K66" s="1209"/>
      <c r="L66" s="1209"/>
      <c r="M66" s="1209"/>
      <c r="N66" s="1215" t="s">
        <v>6139</v>
      </c>
      <c r="O66" s="1564"/>
      <c r="P66" s="883"/>
      <c r="Q66" s="1213"/>
      <c r="R66" s="1201"/>
      <c r="S66" s="1225" t="s">
        <v>5648</v>
      </c>
      <c r="T66" s="1225"/>
      <c r="U66" s="1915"/>
      <c r="V66" s="1923"/>
      <c r="W66" s="28"/>
      <c r="X66" s="1225"/>
      <c r="Y66" s="1225"/>
      <c r="Z66" s="1628">
        <v>1.0</v>
      </c>
      <c r="AA66" s="1222" t="s">
        <v>5648</v>
      </c>
    </row>
    <row r="67" ht="36.75" customHeight="1">
      <c r="A67" s="1213">
        <v>6.0</v>
      </c>
      <c r="B67" s="1206" t="s">
        <v>6142</v>
      </c>
      <c r="C67" s="1209" t="s">
        <v>2956</v>
      </c>
      <c r="D67" s="1209"/>
      <c r="E67" s="1209"/>
      <c r="F67" s="1045" t="s">
        <v>6143</v>
      </c>
      <c r="G67" s="1211"/>
      <c r="H67" s="1209">
        <v>267.3</v>
      </c>
      <c r="I67" s="1213"/>
      <c r="J67" s="1213"/>
      <c r="K67" s="1209"/>
      <c r="L67" s="1209"/>
      <c r="M67" s="1209"/>
      <c r="N67" s="1215" t="s">
        <v>6139</v>
      </c>
      <c r="O67" s="1564"/>
      <c r="P67" s="883"/>
      <c r="Q67" s="1213"/>
      <c r="R67" s="1225" t="s">
        <v>6144</v>
      </c>
      <c r="S67" s="1797" t="s">
        <v>6145</v>
      </c>
      <c r="T67" s="1797" t="s">
        <v>6147</v>
      </c>
      <c r="U67" s="1225"/>
      <c r="V67" s="1580"/>
      <c r="W67" s="28"/>
      <c r="X67" s="1225"/>
      <c r="Y67" s="1225"/>
      <c r="Z67" s="1628">
        <v>1.0</v>
      </c>
      <c r="AA67" s="824" t="s">
        <v>6145</v>
      </c>
    </row>
    <row r="68" ht="93.75" customHeight="1">
      <c r="A68" s="1213">
        <v>7.0</v>
      </c>
      <c r="B68" s="1206" t="s">
        <v>6153</v>
      </c>
      <c r="C68" s="1209" t="s">
        <v>6154</v>
      </c>
      <c r="D68" s="1045" t="s">
        <v>6155</v>
      </c>
      <c r="E68" s="1045" t="s">
        <v>6156</v>
      </c>
      <c r="F68" s="1045" t="s">
        <v>6157</v>
      </c>
      <c r="G68" s="1211"/>
      <c r="H68" s="1209">
        <v>200.0</v>
      </c>
      <c r="I68" s="1932">
        <v>60000.0</v>
      </c>
      <c r="J68" s="883" t="s">
        <v>6173</v>
      </c>
      <c r="K68" s="1209"/>
      <c r="L68" s="1209"/>
      <c r="M68" s="1209" t="s">
        <v>390</v>
      </c>
      <c r="N68" s="883" t="s">
        <v>6174</v>
      </c>
      <c r="O68" s="1564"/>
      <c r="P68" s="883" t="s">
        <v>6175</v>
      </c>
      <c r="Q68" s="1213"/>
      <c r="R68" s="1225"/>
      <c r="S68" s="1797"/>
      <c r="T68" s="1797"/>
      <c r="U68" s="1225"/>
      <c r="V68" s="1580"/>
      <c r="W68" s="28"/>
      <c r="X68" s="1225"/>
      <c r="Y68" s="1225"/>
      <c r="Z68" s="1416"/>
      <c r="AA68" s="1416"/>
    </row>
    <row r="69" ht="15.75" customHeight="1">
      <c r="A69" s="1938">
        <f>COUNTA(A61:A68)</f>
        <v>8</v>
      </c>
      <c r="B69" s="1942" t="s">
        <v>1392</v>
      </c>
      <c r="C69" s="1199"/>
      <c r="D69" s="1946"/>
      <c r="E69" s="1946"/>
      <c r="F69" s="1946"/>
      <c r="G69" s="1505"/>
      <c r="H69" s="1199">
        <f t="shared" ref="H69:I69" si="2">SUM(H61:H68)</f>
        <v>1236.3</v>
      </c>
      <c r="I69" s="1949">
        <f t="shared" si="2"/>
        <v>90520</v>
      </c>
      <c r="J69" s="1515">
        <v>3.0</v>
      </c>
      <c r="K69" s="1199">
        <v>2.0</v>
      </c>
      <c r="L69" s="1199"/>
      <c r="M69" s="1199"/>
      <c r="N69" s="1515"/>
      <c r="O69" s="1953"/>
      <c r="P69" s="1515"/>
      <c r="Q69" s="1938"/>
      <c r="R69" s="1520">
        <f>COUNTA(R60:R68)</f>
        <v>2</v>
      </c>
      <c r="S69" s="1955"/>
      <c r="T69" s="1955"/>
      <c r="U69" s="1520"/>
      <c r="V69" s="1813"/>
      <c r="W69" s="1959"/>
      <c r="X69" s="1520"/>
      <c r="Y69" s="1963"/>
      <c r="Z69" s="1416"/>
      <c r="AA69" s="1416"/>
    </row>
    <row r="70" ht="32.25" customHeight="1">
      <c r="A70" s="1817"/>
      <c r="B70" s="1819" t="s">
        <v>6211</v>
      </c>
      <c r="C70" s="1822"/>
      <c r="D70" s="1822"/>
      <c r="E70" s="1822"/>
      <c r="F70" s="1822"/>
      <c r="G70" s="1825"/>
      <c r="H70" s="1822"/>
      <c r="I70" s="1822"/>
      <c r="J70" s="1829"/>
      <c r="K70" s="1822"/>
      <c r="L70" s="1822"/>
      <c r="M70" s="1822"/>
      <c r="N70" s="1833"/>
      <c r="O70" s="1836"/>
      <c r="P70" s="1838"/>
      <c r="Q70" s="1817"/>
      <c r="R70" s="1841"/>
      <c r="S70" s="1841"/>
      <c r="T70" s="1841"/>
      <c r="U70" s="1841"/>
      <c r="V70" s="1849"/>
      <c r="W70" s="28"/>
      <c r="X70" s="1841"/>
      <c r="Y70" s="1841"/>
      <c r="Z70" s="1559"/>
      <c r="AA70" s="1559"/>
      <c r="AB70" s="1563"/>
      <c r="AC70" s="1563"/>
      <c r="AD70" s="1563"/>
      <c r="AE70" s="1563"/>
      <c r="AF70" s="1563"/>
      <c r="AG70" s="1563"/>
      <c r="AH70" s="1563"/>
    </row>
    <row r="71" ht="89.25" customHeight="1">
      <c r="A71" s="1213">
        <v>1.0</v>
      </c>
      <c r="B71" s="1206" t="s">
        <v>6218</v>
      </c>
      <c r="C71" s="1045" t="s">
        <v>6219</v>
      </c>
      <c r="D71" s="1209" t="s">
        <v>3945</v>
      </c>
      <c r="E71" s="1045" t="s">
        <v>4836</v>
      </c>
      <c r="F71" s="1045" t="s">
        <v>6221</v>
      </c>
      <c r="G71" s="1847"/>
      <c r="H71" s="1209">
        <v>131.0</v>
      </c>
      <c r="I71" s="1404">
        <v>6419.0</v>
      </c>
      <c r="J71" s="1427"/>
      <c r="K71" s="1439"/>
      <c r="L71" s="1439"/>
      <c r="M71" s="1045" t="s">
        <v>456</v>
      </c>
      <c r="N71" s="1215" t="s">
        <v>6227</v>
      </c>
      <c r="O71" s="1424"/>
      <c r="P71" s="1564"/>
      <c r="Q71" s="1213"/>
      <c r="R71" s="1225" t="s">
        <v>6019</v>
      </c>
      <c r="S71" s="1225" t="s">
        <v>6229</v>
      </c>
      <c r="T71" s="1225" t="s">
        <v>6230</v>
      </c>
      <c r="U71" s="1225"/>
      <c r="V71" s="1580"/>
      <c r="W71" s="28"/>
      <c r="X71" s="1225"/>
      <c r="Y71" s="1225"/>
      <c r="Z71" s="1628">
        <v>1.0</v>
      </c>
      <c r="AA71" s="1222" t="s">
        <v>6229</v>
      </c>
    </row>
    <row r="72" ht="114.75" customHeight="1">
      <c r="A72" s="1213">
        <v>1.0</v>
      </c>
      <c r="B72" s="1206" t="s">
        <v>6235</v>
      </c>
      <c r="C72" s="1209" t="s">
        <v>6236</v>
      </c>
      <c r="D72" s="1045" t="s">
        <v>6237</v>
      </c>
      <c r="E72" s="1045" t="s">
        <v>6239</v>
      </c>
      <c r="F72" s="1045" t="s">
        <v>6240</v>
      </c>
      <c r="G72" s="1211"/>
      <c r="H72" s="1343">
        <v>1676.33</v>
      </c>
      <c r="I72" s="1213"/>
      <c r="J72" s="883" t="s">
        <v>6241</v>
      </c>
      <c r="K72" s="1209"/>
      <c r="L72" s="1209"/>
      <c r="M72" s="1209"/>
      <c r="N72" s="1215" t="s">
        <v>6243</v>
      </c>
      <c r="O72" s="1564"/>
      <c r="P72" s="883"/>
      <c r="Q72" s="1213"/>
      <c r="R72" s="1225" t="s">
        <v>4452</v>
      </c>
      <c r="S72" s="1225" t="s">
        <v>6247</v>
      </c>
      <c r="T72" s="1225" t="s">
        <v>6248</v>
      </c>
      <c r="U72" s="1670">
        <v>46218.0</v>
      </c>
      <c r="V72" s="1580" t="s">
        <v>6247</v>
      </c>
      <c r="W72" s="28"/>
      <c r="X72" s="1670">
        <v>46097.0</v>
      </c>
      <c r="Y72" s="1225"/>
      <c r="Z72" s="1628">
        <v>1.0</v>
      </c>
      <c r="AA72" s="1222" t="s">
        <v>6247</v>
      </c>
    </row>
    <row r="73" ht="89.25" customHeight="1">
      <c r="A73" s="1213">
        <v>1.0</v>
      </c>
      <c r="B73" s="1206" t="s">
        <v>6251</v>
      </c>
      <c r="C73" s="1209" t="s">
        <v>3744</v>
      </c>
      <c r="D73" s="1045" t="s">
        <v>6252</v>
      </c>
      <c r="E73" s="1045" t="s">
        <v>4836</v>
      </c>
      <c r="F73" s="1045" t="s">
        <v>6253</v>
      </c>
      <c r="G73" s="1211"/>
      <c r="H73" s="1343">
        <v>720.33</v>
      </c>
      <c r="I73" s="1213">
        <v>51863.99</v>
      </c>
      <c r="J73" s="883"/>
      <c r="K73" s="1209"/>
      <c r="L73" s="1209"/>
      <c r="M73" s="1045" t="s">
        <v>456</v>
      </c>
      <c r="N73" s="1215" t="s">
        <v>6227</v>
      </c>
      <c r="O73" s="1564"/>
      <c r="P73" s="883"/>
      <c r="Q73" s="1213"/>
      <c r="R73" s="1225" t="s">
        <v>6019</v>
      </c>
      <c r="S73" s="1225" t="s">
        <v>6254</v>
      </c>
      <c r="T73" s="1225" t="s">
        <v>6230</v>
      </c>
      <c r="U73" s="1225"/>
      <c r="V73" s="1580"/>
      <c r="W73" s="28"/>
      <c r="X73" s="1225"/>
      <c r="Y73" s="1225"/>
      <c r="Z73" s="1628">
        <v>1.0</v>
      </c>
      <c r="AA73" s="1222" t="s">
        <v>6254</v>
      </c>
    </row>
    <row r="74" ht="76.5" customHeight="1">
      <c r="A74" s="1213">
        <v>1.0</v>
      </c>
      <c r="B74" s="1341">
        <v>45837.0</v>
      </c>
      <c r="C74" s="1209" t="s">
        <v>6255</v>
      </c>
      <c r="D74" s="1045" t="s">
        <v>3945</v>
      </c>
      <c r="E74" s="1045" t="s">
        <v>6256</v>
      </c>
      <c r="F74" s="1045" t="s">
        <v>6257</v>
      </c>
      <c r="G74" s="1211"/>
      <c r="H74" s="1343">
        <v>28.0</v>
      </c>
      <c r="I74" s="1213"/>
      <c r="J74" s="883"/>
      <c r="K74" s="1045" t="s">
        <v>6258</v>
      </c>
      <c r="L74" s="1209"/>
      <c r="M74" s="1045" t="s">
        <v>456</v>
      </c>
      <c r="N74" s="1215" t="s">
        <v>5673</v>
      </c>
      <c r="O74" s="1564"/>
      <c r="P74" s="883"/>
      <c r="Q74" s="1213"/>
      <c r="R74" s="1670">
        <v>46182.0</v>
      </c>
      <c r="S74" s="1225" t="s">
        <v>6259</v>
      </c>
      <c r="T74" s="1670">
        <v>46167.0</v>
      </c>
      <c r="U74" s="1225"/>
      <c r="V74" s="1580"/>
      <c r="W74" s="28"/>
      <c r="X74" s="1225"/>
      <c r="Y74" s="1225"/>
      <c r="Z74" s="1628">
        <v>1.0</v>
      </c>
      <c r="AA74" s="1222" t="s">
        <v>6259</v>
      </c>
    </row>
    <row r="75" ht="76.5" customHeight="1">
      <c r="A75" s="1973">
        <v>1.0</v>
      </c>
      <c r="B75" s="1341">
        <v>45810.0</v>
      </c>
      <c r="C75" s="1045" t="s">
        <v>6272</v>
      </c>
      <c r="D75" s="1045" t="s">
        <v>6273</v>
      </c>
      <c r="E75" s="1045" t="s">
        <v>6274</v>
      </c>
      <c r="F75" s="1045" t="s">
        <v>6275</v>
      </c>
      <c r="G75" s="1211"/>
      <c r="H75" s="1343">
        <v>185.33</v>
      </c>
      <c r="I75" s="1213"/>
      <c r="J75" s="883"/>
      <c r="K75" s="1045" t="s">
        <v>6276</v>
      </c>
      <c r="L75" s="1209"/>
      <c r="M75" s="1045" t="s">
        <v>456</v>
      </c>
      <c r="N75" s="1215" t="s">
        <v>5673</v>
      </c>
      <c r="O75" s="1564"/>
      <c r="P75" s="883"/>
      <c r="Q75" s="1213"/>
      <c r="R75" s="1670">
        <v>46182.0</v>
      </c>
      <c r="S75" s="1225" t="s">
        <v>6277</v>
      </c>
      <c r="T75" s="1670">
        <v>46167.0</v>
      </c>
      <c r="U75" s="1225"/>
      <c r="V75" s="1580"/>
      <c r="W75" s="28"/>
      <c r="X75" s="1225"/>
      <c r="Y75" s="1225"/>
      <c r="Z75" s="1628">
        <v>1.0</v>
      </c>
      <c r="AA75" s="1222" t="s">
        <v>6277</v>
      </c>
    </row>
    <row r="76" ht="20.25" customHeight="1">
      <c r="A76" s="1395">
        <f>COUNTA(A71:A75)</f>
        <v>5</v>
      </c>
      <c r="B76" s="1497" t="s">
        <v>1392</v>
      </c>
      <c r="C76" s="1981"/>
      <c r="D76" s="1981"/>
      <c r="E76" s="1981"/>
      <c r="F76" s="1981"/>
      <c r="G76" s="1985"/>
      <c r="H76" s="1989">
        <f>SUM(H71:H75)</f>
        <v>2740.99</v>
      </c>
      <c r="I76" s="1395"/>
      <c r="J76" s="1794"/>
      <c r="K76" s="1981"/>
      <c r="L76" s="1009"/>
      <c r="M76" s="1981"/>
      <c r="N76" s="1794"/>
      <c r="O76" s="1991"/>
      <c r="P76" s="1794"/>
      <c r="Q76" s="1395"/>
      <c r="R76" s="1995"/>
      <c r="S76" s="1963"/>
      <c r="T76" s="1995"/>
      <c r="U76" s="1963"/>
      <c r="V76" s="1999"/>
      <c r="W76" s="2003"/>
      <c r="X76" s="1963"/>
      <c r="Y76" s="1963"/>
      <c r="Z76" s="1416"/>
      <c r="AA76" s="1416"/>
    </row>
    <row r="77" ht="27.75" customHeight="1">
      <c r="A77" s="1300"/>
      <c r="B77" s="2007" t="s">
        <v>6341</v>
      </c>
      <c r="C77" s="1300"/>
      <c r="D77" s="1300"/>
      <c r="E77" s="1300"/>
      <c r="F77" s="1300"/>
      <c r="G77" s="1300"/>
      <c r="H77" s="1300"/>
      <c r="I77" s="1300"/>
      <c r="J77" s="1300"/>
      <c r="K77" s="1300"/>
      <c r="L77" s="1300"/>
      <c r="M77" s="1300"/>
      <c r="N77" s="1300"/>
      <c r="O77" s="1300"/>
      <c r="P77" s="1300"/>
      <c r="Q77" s="1300"/>
      <c r="R77" s="1300"/>
      <c r="S77" s="1300"/>
      <c r="T77" s="1300"/>
      <c r="U77" s="1300"/>
      <c r="V77" s="1300"/>
      <c r="W77" s="1300"/>
      <c r="X77" s="1300"/>
      <c r="Y77" s="1300"/>
      <c r="Z77" s="1416"/>
      <c r="AA77" s="1416"/>
    </row>
    <row r="78" ht="92.25" customHeight="1">
      <c r="A78" s="2011">
        <v>1.0</v>
      </c>
      <c r="B78" s="2012">
        <v>45722.0</v>
      </c>
      <c r="C78" s="1265" t="s">
        <v>6369</v>
      </c>
      <c r="D78" s="914" t="s">
        <v>6371</v>
      </c>
      <c r="E78" s="1265" t="s">
        <v>6373</v>
      </c>
      <c r="F78" s="914" t="s">
        <v>6374</v>
      </c>
      <c r="G78" s="1265">
        <v>1.04</v>
      </c>
      <c r="H78" s="1265">
        <v>445.09</v>
      </c>
      <c r="I78" s="1265"/>
      <c r="J78" s="1265"/>
      <c r="K78" s="1265"/>
      <c r="L78" s="1265"/>
      <c r="M78" s="1265"/>
      <c r="N78" s="2015" t="s">
        <v>5786</v>
      </c>
      <c r="O78" s="1265"/>
      <c r="P78" s="1265"/>
      <c r="Q78" s="1265"/>
      <c r="R78" s="2012">
        <v>46204.0</v>
      </c>
      <c r="S78" s="1265" t="s">
        <v>6382</v>
      </c>
      <c r="T78" s="2012">
        <v>46188.0</v>
      </c>
      <c r="U78" s="1265"/>
      <c r="V78" s="2020"/>
      <c r="W78" s="2026"/>
      <c r="X78" s="1265"/>
      <c r="Y78" s="1265"/>
      <c r="Z78" s="1628">
        <v>1.0</v>
      </c>
      <c r="AA78" s="1222" t="s">
        <v>6382</v>
      </c>
    </row>
    <row r="79" ht="76.5" customHeight="1">
      <c r="A79" s="1247">
        <v>1.0</v>
      </c>
      <c r="B79" s="1274" t="s">
        <v>6392</v>
      </c>
      <c r="C79" s="1275" t="s">
        <v>3744</v>
      </c>
      <c r="D79" s="1275"/>
      <c r="E79" s="1275"/>
      <c r="F79" s="1041" t="s">
        <v>6393</v>
      </c>
      <c r="G79" s="1277"/>
      <c r="H79" s="1275">
        <v>74.0</v>
      </c>
      <c r="I79" s="1247"/>
      <c r="J79" s="1247"/>
      <c r="K79" s="1275"/>
      <c r="L79" s="1275"/>
      <c r="M79" s="1275"/>
      <c r="N79" s="609" t="s">
        <v>6394</v>
      </c>
      <c r="O79" s="1668"/>
      <c r="P79" s="609"/>
      <c r="Q79" s="1247"/>
      <c r="R79" s="1332"/>
      <c r="S79" s="1332"/>
      <c r="T79" s="1332"/>
      <c r="U79" s="1332" t="s">
        <v>4452</v>
      </c>
      <c r="V79" s="1750" t="s">
        <v>6395</v>
      </c>
      <c r="W79" s="28"/>
      <c r="X79" s="1332" t="s">
        <v>6396</v>
      </c>
      <c r="Y79" s="1332"/>
      <c r="Z79" s="1416"/>
      <c r="AA79" s="1416"/>
    </row>
    <row r="80" ht="76.5" customHeight="1">
      <c r="A80" s="1213">
        <v>1.0</v>
      </c>
      <c r="B80" s="1206" t="s">
        <v>6397</v>
      </c>
      <c r="C80" s="1045" t="s">
        <v>6398</v>
      </c>
      <c r="D80" s="1209" t="s">
        <v>3059</v>
      </c>
      <c r="E80" s="1209" t="s">
        <v>6399</v>
      </c>
      <c r="F80" s="1045" t="s">
        <v>6400</v>
      </c>
      <c r="G80" s="1211"/>
      <c r="H80" s="1209">
        <v>189.91</v>
      </c>
      <c r="I80" s="1570">
        <v>15192.6</v>
      </c>
      <c r="J80" s="1213"/>
      <c r="K80" s="1209"/>
      <c r="L80" s="1209"/>
      <c r="M80" s="1209"/>
      <c r="N80" s="1215" t="s">
        <v>6401</v>
      </c>
      <c r="O80" s="1564"/>
      <c r="P80" s="883"/>
      <c r="Q80" s="1213"/>
      <c r="R80" s="1225" t="s">
        <v>6031</v>
      </c>
      <c r="S80" s="1797" t="s">
        <v>6402</v>
      </c>
      <c r="T80" s="1225" t="s">
        <v>6034</v>
      </c>
      <c r="U80" s="1225"/>
      <c r="V80" s="1580"/>
      <c r="W80" s="28"/>
      <c r="X80" s="1225"/>
      <c r="Y80" s="1225"/>
      <c r="Z80" s="1628">
        <v>1.0</v>
      </c>
      <c r="AA80" s="824" t="s">
        <v>6402</v>
      </c>
    </row>
    <row r="81" ht="127.5" customHeight="1">
      <c r="A81" s="1213">
        <v>2.0</v>
      </c>
      <c r="B81" s="1206" t="s">
        <v>6403</v>
      </c>
      <c r="C81" s="1045" t="s">
        <v>6404</v>
      </c>
      <c r="D81" s="1045" t="s">
        <v>6405</v>
      </c>
      <c r="E81" s="1045" t="s">
        <v>6406</v>
      </c>
      <c r="F81" s="1045" t="s">
        <v>6407</v>
      </c>
      <c r="G81" s="1211">
        <v>1.3</v>
      </c>
      <c r="H81" s="1209">
        <v>551.2</v>
      </c>
      <c r="I81" s="1213"/>
      <c r="J81" s="1213"/>
      <c r="K81" s="1209"/>
      <c r="L81" s="1209"/>
      <c r="M81" s="1045" t="s">
        <v>312</v>
      </c>
      <c r="N81" s="1215" t="s">
        <v>6408</v>
      </c>
      <c r="O81" s="1564"/>
      <c r="P81" s="883"/>
      <c r="Q81" s="1213"/>
      <c r="R81" s="1225" t="s">
        <v>5075</v>
      </c>
      <c r="S81" s="1225" t="s">
        <v>6409</v>
      </c>
      <c r="T81" s="1225" t="s">
        <v>6410</v>
      </c>
      <c r="U81" s="1225"/>
      <c r="V81" s="1580"/>
      <c r="W81" s="28"/>
      <c r="X81" s="1225"/>
      <c r="Y81" s="1225"/>
      <c r="Z81" s="1628">
        <v>1.0</v>
      </c>
      <c r="AA81" s="1222" t="s">
        <v>6409</v>
      </c>
    </row>
    <row r="82" ht="127.5" customHeight="1">
      <c r="A82" s="2033">
        <v>1.0</v>
      </c>
      <c r="B82" s="1353">
        <v>45963.0</v>
      </c>
      <c r="C82" s="1041" t="s">
        <v>6411</v>
      </c>
      <c r="D82" s="1041" t="s">
        <v>354</v>
      </c>
      <c r="E82" s="1041" t="s">
        <v>6412</v>
      </c>
      <c r="F82" s="1041" t="s">
        <v>6413</v>
      </c>
      <c r="G82" s="1277"/>
      <c r="H82" s="1275"/>
      <c r="I82" s="1247"/>
      <c r="J82" s="609" t="s">
        <v>6414</v>
      </c>
      <c r="K82" s="1275"/>
      <c r="L82" s="1275"/>
      <c r="M82" s="1275"/>
      <c r="N82" s="609" t="s">
        <v>6415</v>
      </c>
      <c r="O82" s="1668"/>
      <c r="P82" s="609"/>
      <c r="Q82" s="1247"/>
      <c r="R82" s="1332"/>
      <c r="S82" s="1332"/>
      <c r="T82" s="1332"/>
      <c r="U82" s="1786">
        <v>46195.0</v>
      </c>
      <c r="V82" s="1750" t="s">
        <v>6416</v>
      </c>
      <c r="W82" s="28"/>
      <c r="X82" s="1786">
        <v>46153.0</v>
      </c>
      <c r="Y82" s="1332"/>
      <c r="Z82" s="1416"/>
      <c r="AA82" s="1416"/>
    </row>
    <row r="83" ht="127.5" customHeight="1">
      <c r="A83" s="2036">
        <v>1.0</v>
      </c>
      <c r="B83" s="1362">
        <v>45963.0</v>
      </c>
      <c r="C83" s="914" t="s">
        <v>6417</v>
      </c>
      <c r="D83" s="914" t="s">
        <v>354</v>
      </c>
      <c r="E83" s="914" t="s">
        <v>6418</v>
      </c>
      <c r="F83" s="914" t="s">
        <v>6419</v>
      </c>
      <c r="G83" s="1269">
        <v>0.23</v>
      </c>
      <c r="H83" s="1265">
        <v>97.8</v>
      </c>
      <c r="I83" s="1222"/>
      <c r="J83" s="824" t="s">
        <v>6420</v>
      </c>
      <c r="K83" s="1265"/>
      <c r="L83" s="1265"/>
      <c r="M83" s="914" t="s">
        <v>312</v>
      </c>
      <c r="N83" s="1215" t="s">
        <v>5786</v>
      </c>
      <c r="O83" s="1662"/>
      <c r="P83" s="824"/>
      <c r="Q83" s="1222"/>
      <c r="R83" s="1670">
        <v>46204.0</v>
      </c>
      <c r="S83" s="1797" t="s">
        <v>6421</v>
      </c>
      <c r="T83" s="1670">
        <v>46188.0</v>
      </c>
      <c r="U83" s="1670"/>
      <c r="V83" s="1580"/>
      <c r="W83" s="1915"/>
      <c r="X83" s="1670"/>
      <c r="Y83" s="1225"/>
      <c r="Z83" s="1628">
        <v>1.0</v>
      </c>
      <c r="AA83" s="824" t="s">
        <v>6421</v>
      </c>
    </row>
    <row r="84" ht="127.5" customHeight="1">
      <c r="A84" s="2033">
        <v>1.0</v>
      </c>
      <c r="B84" s="1353">
        <v>45878.0</v>
      </c>
      <c r="C84" s="1041" t="s">
        <v>6422</v>
      </c>
      <c r="D84" s="1041" t="s">
        <v>6423</v>
      </c>
      <c r="E84" s="1041" t="s">
        <v>6424</v>
      </c>
      <c r="F84" s="1041" t="s">
        <v>6425</v>
      </c>
      <c r="G84" s="1277"/>
      <c r="H84" s="1275">
        <v>65.25</v>
      </c>
      <c r="I84" s="1247"/>
      <c r="J84" s="609"/>
      <c r="K84" s="1275" t="s">
        <v>5544</v>
      </c>
      <c r="L84" s="1275"/>
      <c r="M84" s="1041" t="s">
        <v>312</v>
      </c>
      <c r="N84" s="609" t="s">
        <v>6426</v>
      </c>
      <c r="O84" s="1668"/>
      <c r="P84" s="609"/>
      <c r="Q84" s="1247"/>
      <c r="R84" s="1332"/>
      <c r="S84" s="1332"/>
      <c r="T84" s="1332"/>
      <c r="U84" s="1786">
        <v>46210.0</v>
      </c>
      <c r="V84" s="1877" t="s">
        <v>6427</v>
      </c>
      <c r="W84" s="28"/>
      <c r="X84" s="1786">
        <v>46066.0</v>
      </c>
      <c r="Y84" s="1332"/>
      <c r="Z84" s="1416"/>
      <c r="AA84" s="1416"/>
    </row>
    <row r="85" ht="89.25" customHeight="1">
      <c r="A85" s="1213">
        <v>3.0</v>
      </c>
      <c r="B85" s="1206" t="s">
        <v>6428</v>
      </c>
      <c r="C85" s="1045" t="s">
        <v>6429</v>
      </c>
      <c r="D85" s="1209" t="s">
        <v>3059</v>
      </c>
      <c r="E85" s="1045" t="s">
        <v>6430</v>
      </c>
      <c r="F85" s="1045" t="s">
        <v>6431</v>
      </c>
      <c r="G85" s="1211">
        <v>0.2</v>
      </c>
      <c r="H85" s="1209">
        <v>86.0</v>
      </c>
      <c r="I85" s="1570"/>
      <c r="J85" s="1213"/>
      <c r="K85" s="1045" t="s">
        <v>6432</v>
      </c>
      <c r="L85" s="1209"/>
      <c r="M85" s="1209" t="s">
        <v>312</v>
      </c>
      <c r="N85" s="1215" t="s">
        <v>6408</v>
      </c>
      <c r="O85" s="1564"/>
      <c r="P85" s="883"/>
      <c r="Q85" s="1213"/>
      <c r="R85" s="1225" t="s">
        <v>5075</v>
      </c>
      <c r="S85" s="1797" t="s">
        <v>6433</v>
      </c>
      <c r="T85" s="1225" t="s">
        <v>6434</v>
      </c>
      <c r="U85" s="1225"/>
      <c r="V85" s="1580"/>
      <c r="W85" s="28"/>
      <c r="X85" s="1225"/>
      <c r="Y85" s="1225"/>
      <c r="Z85" s="1628">
        <v>1.0</v>
      </c>
      <c r="AA85" s="1797" t="s">
        <v>6433</v>
      </c>
    </row>
    <row r="86" ht="77.25" customHeight="1">
      <c r="A86" s="1310">
        <v>4.0</v>
      </c>
      <c r="B86" s="2042" t="s">
        <v>6440</v>
      </c>
      <c r="C86" s="1907" t="s">
        <v>6444</v>
      </c>
      <c r="D86" s="2046" t="s">
        <v>736</v>
      </c>
      <c r="E86" s="2046" t="s">
        <v>6451</v>
      </c>
      <c r="F86" s="1907" t="s">
        <v>6452</v>
      </c>
      <c r="G86" s="2049"/>
      <c r="H86" s="2046">
        <v>307.0</v>
      </c>
      <c r="I86" s="2046"/>
      <c r="J86" s="2054"/>
      <c r="K86" s="1907" t="s">
        <v>6464</v>
      </c>
      <c r="L86" s="2046"/>
      <c r="M86" s="2046" t="s">
        <v>390</v>
      </c>
      <c r="N86" s="2058" t="s">
        <v>6408</v>
      </c>
      <c r="O86" s="2054"/>
      <c r="P86" s="2063"/>
      <c r="Q86" s="1310"/>
      <c r="R86" s="2046" t="s">
        <v>5075</v>
      </c>
      <c r="S86" s="2046" t="s">
        <v>6472</v>
      </c>
      <c r="T86" s="2046" t="s">
        <v>6473</v>
      </c>
      <c r="U86" s="2046"/>
      <c r="V86" s="1580">
        <v>2.0</v>
      </c>
      <c r="W86" s="28"/>
      <c r="X86" s="1225"/>
      <c r="Y86" s="1225"/>
      <c r="Z86" s="1628">
        <v>1.0</v>
      </c>
      <c r="AA86" s="2046" t="s">
        <v>6472</v>
      </c>
    </row>
    <row r="87" ht="90.0" customHeight="1">
      <c r="A87" s="1326">
        <v>5.0</v>
      </c>
      <c r="B87" s="2068" t="s">
        <v>6483</v>
      </c>
      <c r="C87" s="1889" t="s">
        <v>6487</v>
      </c>
      <c r="D87" s="2071" t="s">
        <v>702</v>
      </c>
      <c r="E87" s="2071" t="s">
        <v>6499</v>
      </c>
      <c r="F87" s="1889" t="s">
        <v>6500</v>
      </c>
      <c r="G87" s="2074"/>
      <c r="H87" s="2071">
        <v>696.49</v>
      </c>
      <c r="I87" s="2077">
        <v>38306.9</v>
      </c>
      <c r="J87" s="2080" t="s">
        <v>6502</v>
      </c>
      <c r="K87" s="1889"/>
      <c r="L87" s="2071"/>
      <c r="M87" s="2071"/>
      <c r="N87" s="617" t="s">
        <v>6415</v>
      </c>
      <c r="O87" s="2083"/>
      <c r="P87" s="2086"/>
      <c r="Q87" s="1326"/>
      <c r="R87" s="2071" t="s">
        <v>5297</v>
      </c>
      <c r="S87" s="2071" t="s">
        <v>6508</v>
      </c>
      <c r="T87" s="2071" t="s">
        <v>5085</v>
      </c>
      <c r="U87" s="2089">
        <v>46195.0</v>
      </c>
      <c r="V87" s="1750" t="s">
        <v>6508</v>
      </c>
      <c r="W87" s="28"/>
      <c r="X87" s="1786">
        <v>46167.0</v>
      </c>
      <c r="Y87" s="1332"/>
      <c r="Z87" s="1628">
        <v>1.0</v>
      </c>
      <c r="AA87" s="2071" t="s">
        <v>6508</v>
      </c>
    </row>
    <row r="88" ht="76.5" customHeight="1">
      <c r="A88" s="1310">
        <v>6.0</v>
      </c>
      <c r="B88" s="2042" t="s">
        <v>6510</v>
      </c>
      <c r="C88" s="1907" t="s">
        <v>6511</v>
      </c>
      <c r="D88" s="2046" t="s">
        <v>698</v>
      </c>
      <c r="E88" s="2046" t="s">
        <v>6512</v>
      </c>
      <c r="F88" s="1907" t="s">
        <v>6513</v>
      </c>
      <c r="G88" s="2049">
        <v>0.79</v>
      </c>
      <c r="H88" s="2046">
        <v>339.0</v>
      </c>
      <c r="I88" s="2092"/>
      <c r="J88" s="2095"/>
      <c r="K88" s="1907"/>
      <c r="L88" s="2046"/>
      <c r="M88" s="2046"/>
      <c r="N88" s="2058" t="s">
        <v>6528</v>
      </c>
      <c r="O88" s="2054"/>
      <c r="P88" s="2063"/>
      <c r="Q88" s="1310"/>
      <c r="R88" s="2046" t="s">
        <v>6529</v>
      </c>
      <c r="S88" s="2046" t="s">
        <v>6530</v>
      </c>
      <c r="T88" s="2046" t="s">
        <v>6531</v>
      </c>
      <c r="U88" s="2046"/>
      <c r="V88" s="1580"/>
      <c r="W88" s="28"/>
      <c r="X88" s="1225"/>
      <c r="Y88" s="1225"/>
      <c r="Z88" s="1628">
        <v>1.0</v>
      </c>
      <c r="AA88" s="2046" t="s">
        <v>6530</v>
      </c>
    </row>
    <row r="89" ht="77.25" customHeight="1">
      <c r="A89" s="1310">
        <v>7.0</v>
      </c>
      <c r="B89" s="2042" t="s">
        <v>6532</v>
      </c>
      <c r="C89" s="1907" t="s">
        <v>6533</v>
      </c>
      <c r="D89" s="2046" t="s">
        <v>1780</v>
      </c>
      <c r="E89" s="2046" t="s">
        <v>557</v>
      </c>
      <c r="F89" s="1907" t="s">
        <v>6534</v>
      </c>
      <c r="G89" s="2049">
        <v>1.82</v>
      </c>
      <c r="H89" s="2046">
        <v>771.0</v>
      </c>
      <c r="I89" s="2092">
        <v>46260.0</v>
      </c>
      <c r="J89" s="2095"/>
      <c r="K89" s="1907"/>
      <c r="L89" s="2046"/>
      <c r="M89" s="2046" t="s">
        <v>6535</v>
      </c>
      <c r="N89" s="855"/>
      <c r="O89" s="2054"/>
      <c r="P89" s="2063"/>
      <c r="Q89" s="1310"/>
      <c r="R89" s="2046"/>
      <c r="S89" s="2046"/>
      <c r="T89" s="2046"/>
      <c r="U89" s="2046"/>
      <c r="V89" s="1580"/>
      <c r="W89" s="28"/>
      <c r="X89" s="1225"/>
      <c r="Y89" s="1225"/>
      <c r="Z89" s="1416"/>
      <c r="AA89" s="1416"/>
    </row>
    <row r="90" ht="141.0" customHeight="1">
      <c r="A90" s="1222">
        <v>8.0</v>
      </c>
      <c r="B90" s="2098" t="s">
        <v>6536</v>
      </c>
      <c r="C90" s="1797" t="s">
        <v>6537</v>
      </c>
      <c r="D90" s="1797" t="s">
        <v>6538</v>
      </c>
      <c r="E90" s="1797" t="s">
        <v>6539</v>
      </c>
      <c r="F90" s="1797" t="s">
        <v>6540</v>
      </c>
      <c r="G90" s="2099">
        <v>4.41</v>
      </c>
      <c r="H90" s="1225">
        <v>1872.9</v>
      </c>
      <c r="I90" s="1797"/>
      <c r="J90" s="2100" t="s">
        <v>6541</v>
      </c>
      <c r="K90" s="1225"/>
      <c r="L90" s="1225"/>
      <c r="M90" s="1225"/>
      <c r="N90" s="1215" t="s">
        <v>6542</v>
      </c>
      <c r="O90" s="2101"/>
      <c r="P90" s="1662"/>
      <c r="Q90" s="1222"/>
      <c r="R90" s="1225" t="s">
        <v>6543</v>
      </c>
      <c r="S90" s="1225" t="s">
        <v>6544</v>
      </c>
      <c r="T90" s="1225" t="s">
        <v>6545</v>
      </c>
      <c r="U90" s="1225"/>
      <c r="V90" s="1580"/>
      <c r="W90" s="28"/>
      <c r="X90" s="1225"/>
      <c r="Y90" s="1225"/>
      <c r="Z90" s="2102">
        <v>1.0</v>
      </c>
      <c r="AA90" s="1225" t="s">
        <v>6544</v>
      </c>
      <c r="AB90" s="977"/>
      <c r="AC90" s="977"/>
      <c r="AD90" s="977"/>
      <c r="AE90" s="977"/>
      <c r="AF90" s="977"/>
      <c r="AG90" s="977"/>
      <c r="AH90" s="977"/>
    </row>
    <row r="91" ht="15.75" customHeight="1">
      <c r="A91" s="1468">
        <f>COUNTA(A78:A90)</f>
        <v>13</v>
      </c>
      <c r="B91" s="1497" t="s">
        <v>200</v>
      </c>
      <c r="C91" s="1501"/>
      <c r="D91" s="1975"/>
      <c r="E91" s="1975"/>
      <c r="F91" s="1975"/>
      <c r="G91" s="1980">
        <f>SUM(G81:G90)</f>
        <v>8.75</v>
      </c>
      <c r="H91" s="1980">
        <f t="shared" ref="H91:I91" si="3">SUM(H71:H90)</f>
        <v>10977.62</v>
      </c>
      <c r="I91" s="1468">
        <f t="shared" si="3"/>
        <v>158042.49</v>
      </c>
      <c r="J91" s="1468">
        <v>3.0</v>
      </c>
      <c r="K91" s="1983">
        <v>4.0</v>
      </c>
      <c r="L91" s="1987"/>
      <c r="M91" s="1975"/>
      <c r="N91" s="1794"/>
      <c r="O91" s="1468"/>
      <c r="P91" s="1468"/>
      <c r="Q91" s="1067"/>
      <c r="R91" s="1963"/>
      <c r="S91" s="1963"/>
      <c r="T91" s="1963"/>
      <c r="U91" s="1963"/>
      <c r="V91" s="2105"/>
      <c r="W91" s="28"/>
      <c r="X91" s="1963"/>
      <c r="Y91" s="1963"/>
      <c r="Z91" s="1416"/>
      <c r="AA91" s="1416"/>
    </row>
    <row r="92" ht="29.25" customHeight="1">
      <c r="A92" s="2106"/>
      <c r="B92" s="2107" t="s">
        <v>4060</v>
      </c>
      <c r="C92" s="2108"/>
      <c r="D92" s="2108"/>
      <c r="E92" s="2108"/>
      <c r="F92" s="2108"/>
      <c r="G92" s="2109"/>
      <c r="H92" s="2110"/>
      <c r="I92" s="2110"/>
      <c r="J92" s="2111"/>
      <c r="K92" s="2108"/>
      <c r="L92" s="2108"/>
      <c r="M92" s="2108"/>
      <c r="N92" s="1833"/>
      <c r="O92" s="1836"/>
      <c r="P92" s="1838"/>
      <c r="Q92" s="2112"/>
      <c r="R92" s="1841"/>
      <c r="S92" s="1841"/>
      <c r="T92" s="1841"/>
      <c r="U92" s="1841"/>
      <c r="V92" s="1849"/>
      <c r="W92" s="28"/>
      <c r="X92" s="1841"/>
      <c r="Y92" s="1841"/>
      <c r="Z92" s="1559"/>
      <c r="AA92" s="1559"/>
      <c r="AB92" s="1563"/>
      <c r="AC92" s="1563"/>
      <c r="AD92" s="1563"/>
      <c r="AE92" s="1563"/>
      <c r="AF92" s="1563"/>
      <c r="AG92" s="1563"/>
      <c r="AH92" s="1563"/>
    </row>
    <row r="93" ht="77.25" customHeight="1">
      <c r="A93" s="2113">
        <v>1.0</v>
      </c>
      <c r="B93" s="1684" t="s">
        <v>6546</v>
      </c>
      <c r="C93" s="1684" t="s">
        <v>6547</v>
      </c>
      <c r="D93" s="1740"/>
      <c r="E93" s="1740"/>
      <c r="F93" s="1684" t="s">
        <v>6548</v>
      </c>
      <c r="G93" s="2114"/>
      <c r="H93" s="2115">
        <v>60.0</v>
      </c>
      <c r="I93" s="2115"/>
      <c r="J93" s="2116"/>
      <c r="K93" s="2115"/>
      <c r="L93" s="2115"/>
      <c r="M93" s="2115"/>
      <c r="N93" s="609" t="s">
        <v>6549</v>
      </c>
      <c r="O93" s="2116"/>
      <c r="P93" s="2116"/>
      <c r="Q93" s="1679"/>
      <c r="R93" s="1332"/>
      <c r="S93" s="1332"/>
      <c r="T93" s="1175"/>
      <c r="U93" s="1332" t="s">
        <v>5383</v>
      </c>
      <c r="V93" s="2117" t="s">
        <v>6550</v>
      </c>
      <c r="W93" s="28"/>
      <c r="X93" s="1175" t="s">
        <v>6551</v>
      </c>
      <c r="Y93" s="1332"/>
      <c r="Z93" s="1416"/>
      <c r="AA93" s="1416"/>
    </row>
    <row r="94" ht="77.25" customHeight="1">
      <c r="A94" s="2118">
        <v>1.0</v>
      </c>
      <c r="B94" s="1797" t="s">
        <v>6552</v>
      </c>
      <c r="C94" s="1797" t="s">
        <v>6553</v>
      </c>
      <c r="D94" s="1700" t="s">
        <v>6554</v>
      </c>
      <c r="E94" s="1696" t="s">
        <v>6555</v>
      </c>
      <c r="F94" s="1797" t="s">
        <v>6556</v>
      </c>
      <c r="G94" s="1847"/>
      <c r="H94" s="2119"/>
      <c r="I94" s="2119"/>
      <c r="J94" s="2120"/>
      <c r="K94" s="2119"/>
      <c r="L94" s="2119"/>
      <c r="M94" s="2119"/>
      <c r="N94" s="1215" t="s">
        <v>6557</v>
      </c>
      <c r="O94" s="2120"/>
      <c r="P94" s="2121" t="s">
        <v>6552</v>
      </c>
      <c r="Q94" s="1271"/>
      <c r="R94" s="1225" t="s">
        <v>6019</v>
      </c>
      <c r="S94" s="1797" t="s">
        <v>6558</v>
      </c>
      <c r="T94" s="1307" t="s">
        <v>6559</v>
      </c>
      <c r="U94" s="2122"/>
      <c r="V94" s="2123"/>
      <c r="W94" s="28"/>
      <c r="X94" s="1225"/>
      <c r="Y94" s="1225"/>
      <c r="Z94" s="1628">
        <v>1.0</v>
      </c>
      <c r="AA94" s="1797" t="s">
        <v>6558</v>
      </c>
    </row>
    <row r="95" ht="89.25" customHeight="1">
      <c r="A95" s="2124">
        <v>1.0</v>
      </c>
      <c r="B95" s="1362" t="s">
        <v>6560</v>
      </c>
      <c r="C95" s="2125" t="s">
        <v>6561</v>
      </c>
      <c r="D95" s="2012"/>
      <c r="E95" s="2012"/>
      <c r="F95" s="2125" t="s">
        <v>6562</v>
      </c>
      <c r="G95" s="2126"/>
      <c r="H95" s="2127"/>
      <c r="I95" s="2127"/>
      <c r="J95" s="2128" t="s">
        <v>6563</v>
      </c>
      <c r="K95" s="2127"/>
      <c r="L95" s="2127"/>
      <c r="M95" s="2127"/>
      <c r="N95" s="2129" t="s">
        <v>6564</v>
      </c>
      <c r="O95" s="2130"/>
      <c r="P95" s="2130"/>
      <c r="Q95" s="1271"/>
      <c r="R95" s="1225" t="s">
        <v>5383</v>
      </c>
      <c r="S95" s="1225" t="s">
        <v>6565</v>
      </c>
      <c r="T95" s="1225" t="s">
        <v>6053</v>
      </c>
      <c r="U95" s="1225"/>
      <c r="V95" s="1286"/>
      <c r="W95" s="28"/>
      <c r="X95" s="1225"/>
      <c r="Y95" s="1225"/>
      <c r="Z95" s="1628">
        <v>1.0</v>
      </c>
      <c r="AA95" s="1225" t="s">
        <v>6565</v>
      </c>
    </row>
    <row r="96" ht="127.5" customHeight="1">
      <c r="A96" s="2118">
        <v>1.0</v>
      </c>
      <c r="B96" s="1341">
        <v>45951.0</v>
      </c>
      <c r="C96" s="1700" t="s">
        <v>6566</v>
      </c>
      <c r="D96" s="1696" t="s">
        <v>6567</v>
      </c>
      <c r="E96" s="1700" t="s">
        <v>6568</v>
      </c>
      <c r="F96" s="1700" t="s">
        <v>6569</v>
      </c>
      <c r="G96" s="1847">
        <v>63.0</v>
      </c>
      <c r="H96" s="2119"/>
      <c r="I96" s="2119"/>
      <c r="J96" s="2120"/>
      <c r="K96" s="2131" t="s">
        <v>6570</v>
      </c>
      <c r="L96" s="2119"/>
      <c r="M96" s="2119"/>
      <c r="N96" s="2129" t="s">
        <v>6571</v>
      </c>
      <c r="O96" s="2120"/>
      <c r="P96" s="1714">
        <v>45951.0</v>
      </c>
      <c r="Q96" s="1271"/>
      <c r="R96" s="1670">
        <v>46214.0</v>
      </c>
      <c r="S96" s="1797" t="s">
        <v>6572</v>
      </c>
      <c r="T96" s="1670">
        <v>46162.0</v>
      </c>
      <c r="U96" s="2122"/>
      <c r="V96" s="1580"/>
      <c r="W96" s="28"/>
      <c r="X96" s="1225"/>
      <c r="Y96" s="1543" t="s">
        <v>6573</v>
      </c>
      <c r="Z96" s="1628">
        <v>1.0</v>
      </c>
      <c r="AA96" s="1797" t="s">
        <v>6572</v>
      </c>
    </row>
    <row r="97" ht="15.75" customHeight="1">
      <c r="A97" s="1511">
        <f>COUNTA(A93:A96)</f>
        <v>4</v>
      </c>
      <c r="B97" s="1497" t="s">
        <v>200</v>
      </c>
      <c r="C97" s="1975"/>
      <c r="D97" s="1975"/>
      <c r="E97" s="1975"/>
      <c r="F97" s="1975"/>
      <c r="G97" s="1505">
        <f t="shared" ref="G97:H97" si="4">SUM(G93:G96)</f>
        <v>63</v>
      </c>
      <c r="H97" s="2023">
        <f t="shared" si="4"/>
        <v>60</v>
      </c>
      <c r="I97" s="2023"/>
      <c r="J97" s="2025">
        <v>1.0</v>
      </c>
      <c r="K97" s="1199">
        <v>1.0</v>
      </c>
      <c r="L97" s="2023"/>
      <c r="M97" s="2023"/>
      <c r="N97" s="2029"/>
      <c r="O97" s="2025"/>
      <c r="P97" s="2025"/>
      <c r="Q97" s="1395"/>
      <c r="R97" s="1963"/>
      <c r="S97" s="1963"/>
      <c r="T97" s="1963"/>
      <c r="U97" s="1963"/>
      <c r="V97" s="2105"/>
      <c r="W97" s="28"/>
      <c r="X97" s="1963"/>
      <c r="Y97" s="1473"/>
      <c r="Z97" s="1416"/>
      <c r="AA97" s="1416"/>
    </row>
    <row r="98" ht="15.75" customHeight="1">
      <c r="A98" s="1511">
        <f>SUM(A97,A91,A76,A69,A59)</f>
        <v>83</v>
      </c>
      <c r="B98" s="2132" t="s">
        <v>518</v>
      </c>
      <c r="C98" s="28"/>
      <c r="D98" s="1501"/>
      <c r="E98" s="1501"/>
      <c r="F98" s="1501"/>
      <c r="G98" s="1505">
        <f>G97+G91+G59</f>
        <v>193.047</v>
      </c>
      <c r="H98" s="2133">
        <f>H97+H91+H69+H59</f>
        <v>64102.763</v>
      </c>
      <c r="I98" s="2133">
        <f>I91+I69+I59</f>
        <v>3005323.29</v>
      </c>
      <c r="J98" s="1468">
        <f t="shared" ref="J98:K98" si="5">J97+J91+J69+J59</f>
        <v>25</v>
      </c>
      <c r="K98" s="1511">
        <f t="shared" si="5"/>
        <v>20</v>
      </c>
      <c r="L98" s="1511"/>
      <c r="M98" s="1975"/>
      <c r="N98" s="1794"/>
      <c r="O98" s="1511"/>
      <c r="P98" s="1511"/>
      <c r="Q98" s="1395"/>
      <c r="R98" s="1963"/>
      <c r="S98" s="1963"/>
      <c r="T98" s="1963"/>
      <c r="U98" s="1963"/>
      <c r="V98" s="2105"/>
      <c r="W98" s="28"/>
      <c r="X98" s="1963"/>
      <c r="Y98" s="1963"/>
      <c r="Z98" s="1416"/>
      <c r="AA98" s="1416"/>
    </row>
    <row r="99" ht="15.75" customHeight="1">
      <c r="A99" s="2134"/>
      <c r="B99" s="2135"/>
      <c r="C99" s="2136"/>
      <c r="D99" s="2136"/>
      <c r="E99" s="2136"/>
      <c r="F99" s="2136"/>
      <c r="G99" s="2137"/>
      <c r="H99" s="2138"/>
      <c r="I99" s="2137"/>
      <c r="J99" s="2139"/>
      <c r="K99" s="2136"/>
      <c r="L99" s="2136"/>
      <c r="M99" s="2136"/>
      <c r="N99" s="2140"/>
      <c r="O99" s="2141"/>
      <c r="P99" s="2136"/>
      <c r="Q99" s="2142"/>
      <c r="R99" s="2122"/>
      <c r="S99" s="2122"/>
      <c r="T99" s="2122"/>
      <c r="U99" s="2122"/>
      <c r="V99" s="2122"/>
      <c r="W99" s="2122"/>
      <c r="X99" s="2122"/>
      <c r="Y99" s="2122"/>
      <c r="Z99" s="1416"/>
      <c r="AA99" s="1416"/>
    </row>
    <row r="100" ht="15.75" customHeight="1">
      <c r="A100" s="2122"/>
      <c r="B100" s="2122"/>
      <c r="C100" s="2122"/>
      <c r="D100" s="2122"/>
      <c r="E100" s="2122"/>
      <c r="F100" s="2122"/>
      <c r="G100" s="2122"/>
      <c r="H100" s="2122"/>
      <c r="Y100" s="2122"/>
      <c r="Z100" s="1416"/>
      <c r="AA100" s="1416"/>
    </row>
    <row r="101" ht="15.75" customHeight="1">
      <c r="A101" s="2122"/>
      <c r="B101" s="2122"/>
      <c r="C101" s="2122"/>
      <c r="D101" s="2122"/>
      <c r="E101" s="2122"/>
      <c r="F101" s="2122"/>
      <c r="G101" s="2122"/>
      <c r="H101" s="2122"/>
      <c r="Y101" s="2122"/>
      <c r="Z101" s="1416"/>
      <c r="AA101" s="1416"/>
    </row>
    <row r="102" ht="15.75" customHeight="1">
      <c r="A102" s="2122"/>
      <c r="B102" s="2122"/>
      <c r="C102" s="2122"/>
      <c r="D102" s="2122"/>
      <c r="E102" s="2122"/>
      <c r="F102" s="2122"/>
      <c r="G102" s="2122"/>
      <c r="H102" s="2122"/>
      <c r="Z102" s="1416"/>
      <c r="AA102" s="1416"/>
    </row>
    <row r="103" ht="15.75" customHeight="1">
      <c r="A103" s="2122"/>
      <c r="B103" s="2122"/>
      <c r="C103" s="2122"/>
      <c r="D103" s="2122"/>
      <c r="E103" s="2122"/>
      <c r="F103" s="2122"/>
      <c r="G103" s="2122"/>
      <c r="H103" s="2122"/>
      <c r="Z103" s="1416"/>
      <c r="AA103" s="1416"/>
    </row>
    <row r="104" ht="15.75" customHeight="1">
      <c r="A104" s="2122"/>
      <c r="B104" s="2122"/>
      <c r="C104" s="2122"/>
      <c r="D104" s="2122"/>
      <c r="E104" s="2122"/>
      <c r="F104" s="2122"/>
      <c r="G104" s="2122"/>
      <c r="H104" s="2143"/>
      <c r="Z104" s="1416"/>
      <c r="AA104" s="1416"/>
    </row>
    <row r="105" ht="15.75" customHeight="1">
      <c r="Z105" s="1416"/>
      <c r="AA105" s="1416"/>
    </row>
    <row r="106" ht="15.75" customHeight="1">
      <c r="Z106" s="1416"/>
      <c r="AA106" s="1416"/>
    </row>
    <row r="107" ht="15.75" customHeight="1">
      <c r="Z107" s="1416"/>
      <c r="AA107" s="1416"/>
    </row>
    <row r="108" ht="15.75" customHeight="1">
      <c r="Z108" s="1416"/>
      <c r="AA108" s="1416"/>
    </row>
    <row r="109" ht="15.75" customHeight="1">
      <c r="Z109" s="1416"/>
      <c r="AA109" s="1416"/>
    </row>
    <row r="110" ht="15.75" customHeight="1">
      <c r="Z110" s="1416"/>
      <c r="AA110" s="1416"/>
    </row>
    <row r="111" ht="15.75" customHeight="1">
      <c r="Z111" s="1416"/>
      <c r="AA111" s="1416"/>
    </row>
    <row r="112" ht="15.75" customHeight="1">
      <c r="Z112" s="1416"/>
      <c r="AA112" s="1416"/>
    </row>
    <row r="113" ht="15.75" customHeight="1">
      <c r="Z113" s="1416"/>
      <c r="AA113" s="1416"/>
    </row>
    <row r="114" ht="15.75" customHeight="1">
      <c r="Z114" s="1416"/>
      <c r="AA114" s="1416"/>
    </row>
    <row r="115" ht="15.75" customHeight="1">
      <c r="Z115" s="1416"/>
      <c r="AA115" s="1416"/>
    </row>
    <row r="116" ht="15.75" customHeight="1">
      <c r="Z116" s="1416"/>
      <c r="AA116" s="1416"/>
    </row>
    <row r="117" ht="15.75" customHeight="1">
      <c r="Z117" s="1416"/>
      <c r="AA117" s="1416"/>
    </row>
    <row r="118" ht="15.75" customHeight="1">
      <c r="Z118" s="1416"/>
      <c r="AA118" s="1416"/>
    </row>
    <row r="119" ht="15.75" customHeight="1">
      <c r="Z119" s="1416"/>
      <c r="AA119" s="1416"/>
    </row>
    <row r="120" ht="15.75" customHeight="1">
      <c r="Z120" s="1416"/>
      <c r="AA120" s="1416"/>
    </row>
    <row r="121" ht="15.75" customHeight="1">
      <c r="Z121" s="1416"/>
      <c r="AA121" s="1416"/>
    </row>
    <row r="122" ht="15.75" customHeight="1">
      <c r="Z122" s="1416"/>
      <c r="AA122" s="1416"/>
    </row>
    <row r="123" ht="15.75" customHeight="1">
      <c r="Z123" s="1416"/>
      <c r="AA123" s="1416"/>
    </row>
    <row r="124" ht="15.75" customHeight="1">
      <c r="Z124" s="1416"/>
      <c r="AA124" s="1416"/>
    </row>
    <row r="125" ht="15.75" customHeight="1">
      <c r="Z125" s="1416"/>
      <c r="AA125" s="1416"/>
    </row>
    <row r="126" ht="15.75" customHeight="1">
      <c r="Z126" s="1416"/>
      <c r="AA126" s="1416"/>
    </row>
    <row r="127" ht="15.75" customHeight="1">
      <c r="Z127" s="1416"/>
      <c r="AA127" s="1416"/>
    </row>
    <row r="128" ht="15.75" customHeight="1">
      <c r="Z128" s="1416"/>
      <c r="AA128" s="1416"/>
    </row>
    <row r="129" ht="15.75" customHeight="1">
      <c r="Z129" s="1416"/>
      <c r="AA129" s="1416"/>
    </row>
    <row r="130" ht="15.75" customHeight="1">
      <c r="Z130" s="1416"/>
      <c r="AA130" s="1416"/>
    </row>
    <row r="131" ht="15.75" customHeight="1">
      <c r="Z131" s="1416"/>
      <c r="AA131" s="1416"/>
    </row>
    <row r="132" ht="15.75" customHeight="1">
      <c r="Z132" s="1416"/>
      <c r="AA132" s="1416"/>
    </row>
    <row r="133" ht="15.75" customHeight="1">
      <c r="Z133" s="1416"/>
      <c r="AA133" s="1416"/>
    </row>
    <row r="134" ht="15.75" customHeight="1">
      <c r="Z134" s="1416"/>
      <c r="AA134" s="1416"/>
    </row>
    <row r="135" ht="15.75" customHeight="1">
      <c r="Z135" s="1416"/>
      <c r="AA135" s="1416"/>
    </row>
    <row r="136" ht="15.75" customHeight="1">
      <c r="Z136" s="1416"/>
      <c r="AA136" s="1416"/>
    </row>
    <row r="137" ht="15.75" customHeight="1">
      <c r="Z137" s="1416"/>
      <c r="AA137" s="1416"/>
    </row>
    <row r="138" ht="15.75" customHeight="1">
      <c r="Z138" s="1416"/>
      <c r="AA138" s="1416"/>
    </row>
    <row r="139" ht="15.75" customHeight="1">
      <c r="Z139" s="1416"/>
      <c r="AA139" s="1416"/>
    </row>
    <row r="140" ht="15.75" customHeight="1">
      <c r="Z140" s="1416"/>
      <c r="AA140" s="1416"/>
    </row>
    <row r="141" ht="15.75" customHeight="1">
      <c r="Z141" s="1416"/>
      <c r="AA141" s="1416"/>
    </row>
    <row r="142" ht="15.75" customHeight="1">
      <c r="Z142" s="1416"/>
      <c r="AA142" s="1416"/>
    </row>
    <row r="143" ht="15.75" customHeight="1">
      <c r="Z143" s="1416"/>
      <c r="AA143" s="1416"/>
    </row>
    <row r="144" ht="15.75" customHeight="1">
      <c r="Z144" s="1416"/>
      <c r="AA144" s="1416"/>
    </row>
    <row r="145" ht="15.75" customHeight="1">
      <c r="Z145" s="1416"/>
      <c r="AA145" s="1416"/>
    </row>
    <row r="146" ht="15.75" customHeight="1">
      <c r="Z146" s="1416"/>
      <c r="AA146" s="1416"/>
    </row>
    <row r="147" ht="15.75" customHeight="1">
      <c r="Z147" s="1416"/>
      <c r="AA147" s="1416"/>
    </row>
    <row r="148" ht="15.75" customHeight="1">
      <c r="Z148" s="1416"/>
      <c r="AA148" s="1416"/>
    </row>
    <row r="149" ht="15.75" customHeight="1">
      <c r="Z149" s="1416"/>
      <c r="AA149" s="1416"/>
    </row>
    <row r="150" ht="15.75" customHeight="1">
      <c r="Z150" s="1416"/>
      <c r="AA150" s="1416"/>
    </row>
    <row r="151" ht="15.75" customHeight="1">
      <c r="Z151" s="1416"/>
      <c r="AA151" s="1416"/>
    </row>
    <row r="152" ht="15.75" customHeight="1">
      <c r="Z152" s="1416"/>
      <c r="AA152" s="1416"/>
    </row>
    <row r="153" ht="15.75" customHeight="1">
      <c r="Z153" s="1416"/>
      <c r="AA153" s="1416"/>
    </row>
    <row r="154" ht="15.75" customHeight="1">
      <c r="Z154" s="1416"/>
      <c r="AA154" s="1416"/>
    </row>
    <row r="155" ht="15.75" customHeight="1">
      <c r="Z155" s="1416"/>
      <c r="AA155" s="1416"/>
    </row>
    <row r="156" ht="15.75" customHeight="1">
      <c r="Z156" s="1416"/>
      <c r="AA156" s="1416"/>
    </row>
    <row r="157" ht="15.75" customHeight="1">
      <c r="Z157" s="1416"/>
      <c r="AA157" s="1416"/>
    </row>
    <row r="158" ht="15.75" customHeight="1">
      <c r="Z158" s="1416"/>
      <c r="AA158" s="1416"/>
    </row>
    <row r="159" ht="15.75" customHeight="1">
      <c r="Z159" s="1416"/>
      <c r="AA159" s="1416"/>
    </row>
    <row r="160" ht="15.75" customHeight="1">
      <c r="Z160" s="1416"/>
      <c r="AA160" s="1416"/>
    </row>
    <row r="161" ht="15.75" customHeight="1">
      <c r="Z161" s="1416"/>
      <c r="AA161" s="1416"/>
    </row>
    <row r="162" ht="15.75" customHeight="1">
      <c r="Z162" s="1416"/>
      <c r="AA162" s="1416"/>
    </row>
    <row r="163" ht="15.75" customHeight="1">
      <c r="Z163" s="1416"/>
      <c r="AA163" s="1416"/>
    </row>
    <row r="164" ht="15.75" customHeight="1">
      <c r="Z164" s="1416"/>
      <c r="AA164" s="1416"/>
    </row>
    <row r="165" ht="15.75" customHeight="1">
      <c r="Z165" s="1416"/>
      <c r="AA165" s="1416"/>
    </row>
    <row r="166" ht="15.75" customHeight="1">
      <c r="Z166" s="1416"/>
      <c r="AA166" s="1416"/>
    </row>
    <row r="167" ht="15.75" customHeight="1">
      <c r="Z167" s="1416"/>
      <c r="AA167" s="1416"/>
    </row>
    <row r="168" ht="15.75" customHeight="1">
      <c r="Z168" s="1416"/>
      <c r="AA168" s="1416"/>
    </row>
    <row r="169" ht="15.75" customHeight="1">
      <c r="Z169" s="1416"/>
      <c r="AA169" s="1416"/>
    </row>
    <row r="170" ht="15.75" customHeight="1">
      <c r="Z170" s="1416"/>
      <c r="AA170" s="1416"/>
    </row>
    <row r="171" ht="15.75" customHeight="1">
      <c r="Z171" s="1416"/>
      <c r="AA171" s="1416"/>
    </row>
    <row r="172" ht="15.75" customHeight="1">
      <c r="Z172" s="1416"/>
      <c r="AA172" s="1416"/>
    </row>
    <row r="173" ht="15.75" customHeight="1">
      <c r="Z173" s="1416"/>
      <c r="AA173" s="1416"/>
    </row>
    <row r="174" ht="15.75" customHeight="1">
      <c r="Z174" s="1416"/>
      <c r="AA174" s="1416"/>
    </row>
    <row r="175" ht="15.75" customHeight="1">
      <c r="Z175" s="1416"/>
      <c r="AA175" s="1416"/>
    </row>
    <row r="176" ht="15.75" customHeight="1">
      <c r="Z176" s="1416"/>
      <c r="AA176" s="1416"/>
    </row>
    <row r="177" ht="15.75" customHeight="1">
      <c r="Z177" s="1416"/>
      <c r="AA177" s="1416"/>
    </row>
    <row r="178" ht="15.75" customHeight="1">
      <c r="Z178" s="1416"/>
      <c r="AA178" s="1416"/>
    </row>
    <row r="179" ht="15.75" customHeight="1">
      <c r="Z179" s="1416"/>
      <c r="AA179" s="1416"/>
    </row>
    <row r="180" ht="15.75" customHeight="1">
      <c r="Z180" s="1416"/>
      <c r="AA180" s="1416"/>
    </row>
    <row r="181" ht="15.75" customHeight="1">
      <c r="Z181" s="1416"/>
      <c r="AA181" s="1416"/>
    </row>
    <row r="182" ht="15.75" customHeight="1">
      <c r="Z182" s="1416"/>
      <c r="AA182" s="1416"/>
    </row>
    <row r="183" ht="15.75" customHeight="1">
      <c r="Z183" s="1416"/>
      <c r="AA183" s="1416"/>
    </row>
    <row r="184" ht="15.75" customHeight="1">
      <c r="Z184" s="1416"/>
      <c r="AA184" s="1416"/>
    </row>
    <row r="185" ht="15.75" customHeight="1">
      <c r="Z185" s="1416"/>
      <c r="AA185" s="1416"/>
    </row>
    <row r="186" ht="15.75" customHeight="1">
      <c r="Z186" s="1416"/>
      <c r="AA186" s="1416"/>
    </row>
    <row r="187" ht="15.75" customHeight="1">
      <c r="Z187" s="1416"/>
      <c r="AA187" s="1416"/>
    </row>
    <row r="188" ht="15.75" customHeight="1">
      <c r="Z188" s="1416"/>
      <c r="AA188" s="1416"/>
    </row>
    <row r="189" ht="15.75" customHeight="1">
      <c r="Z189" s="1416"/>
      <c r="AA189" s="1416"/>
    </row>
    <row r="190" ht="15.75" customHeight="1">
      <c r="Z190" s="1416"/>
      <c r="AA190" s="1416"/>
    </row>
    <row r="191" ht="15.75" customHeight="1">
      <c r="Z191" s="1416"/>
      <c r="AA191" s="1416"/>
    </row>
    <row r="192" ht="15.75" customHeight="1">
      <c r="Z192" s="1416"/>
      <c r="AA192" s="1416"/>
    </row>
    <row r="193" ht="15.75" customHeight="1">
      <c r="Z193" s="1416"/>
      <c r="AA193" s="1416"/>
    </row>
    <row r="194" ht="15.75" customHeight="1">
      <c r="Z194" s="1416"/>
      <c r="AA194" s="1416"/>
    </row>
    <row r="195" ht="15.75" customHeight="1">
      <c r="Z195" s="1416"/>
      <c r="AA195" s="1416"/>
    </row>
    <row r="196" ht="15.75" customHeight="1">
      <c r="Z196" s="1416"/>
      <c r="AA196" s="1416"/>
    </row>
    <row r="197" ht="15.75" customHeight="1">
      <c r="Z197" s="1416"/>
      <c r="AA197" s="1416"/>
    </row>
    <row r="198" ht="15.75" customHeight="1">
      <c r="Z198" s="1416"/>
      <c r="AA198" s="1416"/>
    </row>
    <row r="199" ht="15.75" customHeight="1">
      <c r="Z199" s="1416"/>
      <c r="AA199" s="1416"/>
    </row>
    <row r="200" ht="15.75" customHeight="1">
      <c r="Z200" s="1416"/>
      <c r="AA200" s="1416"/>
    </row>
    <row r="201" ht="15.75" customHeight="1">
      <c r="Z201" s="1416"/>
      <c r="AA201" s="1416"/>
    </row>
    <row r="202" ht="15.75" customHeight="1">
      <c r="Z202" s="1416"/>
      <c r="AA202" s="1416"/>
    </row>
    <row r="203" ht="15.75" customHeight="1">
      <c r="Z203" s="1416"/>
      <c r="AA203" s="1416"/>
    </row>
    <row r="204" ht="15.75" customHeight="1">
      <c r="Z204" s="1416"/>
      <c r="AA204" s="1416"/>
    </row>
    <row r="205" ht="15.75" customHeight="1">
      <c r="Z205" s="1416"/>
      <c r="AA205" s="1416"/>
    </row>
    <row r="206" ht="15.75" customHeight="1">
      <c r="Z206" s="1416"/>
      <c r="AA206" s="1416"/>
    </row>
    <row r="207" ht="15.75" customHeight="1">
      <c r="Z207" s="1416"/>
      <c r="AA207" s="1416"/>
    </row>
    <row r="208" ht="15.75" customHeight="1">
      <c r="Z208" s="1416"/>
      <c r="AA208" s="1416"/>
    </row>
    <row r="209" ht="15.75" customHeight="1">
      <c r="Z209" s="1416"/>
      <c r="AA209" s="1416"/>
    </row>
    <row r="210" ht="15.75" customHeight="1">
      <c r="Z210" s="1416"/>
      <c r="AA210" s="1416"/>
    </row>
    <row r="211" ht="15.75" customHeight="1">
      <c r="Z211" s="1416"/>
      <c r="AA211" s="1416"/>
    </row>
    <row r="212" ht="15.75" customHeight="1">
      <c r="Z212" s="1416"/>
      <c r="AA212" s="1416"/>
    </row>
    <row r="213" ht="15.75" customHeight="1">
      <c r="Z213" s="1416"/>
      <c r="AA213" s="1416"/>
    </row>
    <row r="214" ht="15.75" customHeight="1">
      <c r="Z214" s="1416"/>
      <c r="AA214" s="1416"/>
    </row>
    <row r="215" ht="15.75" customHeight="1">
      <c r="Z215" s="1416"/>
      <c r="AA215" s="1416"/>
    </row>
    <row r="216" ht="15.75" customHeight="1">
      <c r="Z216" s="1416"/>
      <c r="AA216" s="1416"/>
    </row>
    <row r="217" ht="15.75" customHeight="1">
      <c r="Z217" s="1416"/>
      <c r="AA217" s="1416"/>
    </row>
    <row r="218" ht="15.75" customHeight="1">
      <c r="Z218" s="1416"/>
      <c r="AA218" s="1416"/>
    </row>
    <row r="219" ht="15.75" customHeight="1">
      <c r="Z219" s="1416"/>
      <c r="AA219" s="1416"/>
    </row>
    <row r="220" ht="15.75" customHeight="1">
      <c r="Z220" s="1416"/>
      <c r="AA220" s="1416"/>
    </row>
    <row r="221" ht="15.75" customHeight="1">
      <c r="Z221" s="1416"/>
      <c r="AA221" s="1416"/>
    </row>
    <row r="222" ht="15.75" customHeight="1">
      <c r="Z222" s="1416"/>
      <c r="AA222" s="1416"/>
    </row>
    <row r="223" ht="15.75" customHeight="1">
      <c r="Z223" s="1416"/>
      <c r="AA223" s="1416"/>
    </row>
    <row r="224" ht="15.75" customHeight="1">
      <c r="Z224" s="1416"/>
      <c r="AA224" s="1416"/>
    </row>
    <row r="225" ht="15.75" customHeight="1">
      <c r="Z225" s="1416"/>
      <c r="AA225" s="1416"/>
    </row>
    <row r="226" ht="15.75" customHeight="1">
      <c r="Z226" s="1416"/>
      <c r="AA226" s="1416"/>
    </row>
    <row r="227" ht="15.75" customHeight="1">
      <c r="Z227" s="1416"/>
      <c r="AA227" s="1416"/>
    </row>
    <row r="228" ht="15.75" customHeight="1">
      <c r="Z228" s="1416"/>
      <c r="AA228" s="1416"/>
    </row>
    <row r="229" ht="15.75" customHeight="1">
      <c r="Z229" s="1416"/>
      <c r="AA229" s="1416"/>
    </row>
    <row r="230" ht="15.75" customHeight="1">
      <c r="Z230" s="1416"/>
      <c r="AA230" s="1416"/>
    </row>
    <row r="231" ht="15.75" customHeight="1">
      <c r="Z231" s="1416"/>
      <c r="AA231" s="1416"/>
    </row>
    <row r="232" ht="15.75" customHeight="1">
      <c r="Z232" s="1416"/>
      <c r="AA232" s="1416"/>
    </row>
    <row r="233" ht="15.75" customHeight="1">
      <c r="Z233" s="1416"/>
      <c r="AA233" s="1416"/>
    </row>
    <row r="234" ht="15.75" customHeight="1">
      <c r="Z234" s="1416"/>
      <c r="AA234" s="1416"/>
    </row>
    <row r="235" ht="15.75" customHeight="1">
      <c r="Z235" s="1416"/>
      <c r="AA235" s="1416"/>
    </row>
    <row r="236" ht="15.75" customHeight="1">
      <c r="Z236" s="1416"/>
      <c r="AA236" s="1416"/>
    </row>
    <row r="237" ht="15.75" customHeight="1">
      <c r="Z237" s="1416"/>
      <c r="AA237" s="1416"/>
    </row>
    <row r="238" ht="15.75" customHeight="1">
      <c r="Z238" s="1416"/>
      <c r="AA238" s="1416"/>
    </row>
    <row r="239" ht="15.75" customHeight="1">
      <c r="Z239" s="1416"/>
      <c r="AA239" s="1416"/>
    </row>
    <row r="240" ht="15.75" customHeight="1">
      <c r="Z240" s="1416"/>
      <c r="AA240" s="1416"/>
    </row>
    <row r="241" ht="15.75" customHeight="1">
      <c r="Z241" s="1416"/>
      <c r="AA241" s="1416"/>
    </row>
    <row r="242" ht="15.75" customHeight="1">
      <c r="Z242" s="1416"/>
      <c r="AA242" s="1416"/>
    </row>
    <row r="243" ht="15.75" customHeight="1">
      <c r="Z243" s="1416"/>
      <c r="AA243" s="1416"/>
    </row>
    <row r="244" ht="15.75" customHeight="1">
      <c r="Z244" s="1416"/>
      <c r="AA244" s="1416"/>
    </row>
    <row r="245" ht="15.75" customHeight="1">
      <c r="Z245" s="1416"/>
      <c r="AA245" s="1416"/>
    </row>
    <row r="246" ht="15.75" customHeight="1">
      <c r="Z246" s="1416"/>
      <c r="AA246" s="1416"/>
    </row>
    <row r="247" ht="15.75" customHeight="1">
      <c r="Z247" s="1416"/>
      <c r="AA247" s="1416"/>
    </row>
    <row r="248" ht="15.75" customHeight="1">
      <c r="Z248" s="1416"/>
      <c r="AA248" s="1416"/>
    </row>
    <row r="249" ht="15.75" customHeight="1">
      <c r="Z249" s="1416"/>
      <c r="AA249" s="1416"/>
    </row>
    <row r="250" ht="15.75" customHeight="1">
      <c r="Z250" s="1416"/>
      <c r="AA250" s="1416"/>
    </row>
    <row r="251" ht="15.75" customHeight="1">
      <c r="Z251" s="1416"/>
      <c r="AA251" s="1416"/>
    </row>
    <row r="252" ht="15.75" customHeight="1">
      <c r="Z252" s="1416"/>
      <c r="AA252" s="1416"/>
    </row>
    <row r="253" ht="15.75" customHeight="1">
      <c r="Z253" s="1416"/>
      <c r="AA253" s="1416"/>
    </row>
    <row r="254" ht="15.75" customHeight="1">
      <c r="Z254" s="1416"/>
      <c r="AA254" s="1416"/>
    </row>
    <row r="255" ht="15.75" customHeight="1">
      <c r="Z255" s="1416"/>
      <c r="AA255" s="1416"/>
    </row>
    <row r="256" ht="15.75" customHeight="1">
      <c r="Z256" s="1416"/>
      <c r="AA256" s="1416"/>
    </row>
    <row r="257" ht="15.75" customHeight="1">
      <c r="Z257" s="1416"/>
      <c r="AA257" s="1416"/>
    </row>
    <row r="258" ht="15.75" customHeight="1">
      <c r="Z258" s="1416"/>
      <c r="AA258" s="1416"/>
    </row>
    <row r="259" ht="15.75" customHeight="1">
      <c r="Z259" s="1416"/>
      <c r="AA259" s="1416"/>
    </row>
    <row r="260" ht="15.75" customHeight="1">
      <c r="Z260" s="1416"/>
      <c r="AA260" s="1416"/>
    </row>
    <row r="261" ht="15.75" customHeight="1">
      <c r="Z261" s="1416"/>
      <c r="AA261" s="1416"/>
    </row>
    <row r="262" ht="15.75" customHeight="1">
      <c r="Z262" s="1416"/>
      <c r="AA262" s="1416"/>
    </row>
    <row r="263" ht="15.75" customHeight="1">
      <c r="Z263" s="1416"/>
      <c r="AA263" s="1416"/>
    </row>
    <row r="264" ht="15.75" customHeight="1">
      <c r="Z264" s="1416"/>
      <c r="AA264" s="1416"/>
    </row>
    <row r="265" ht="15.75" customHeight="1">
      <c r="Z265" s="1416"/>
      <c r="AA265" s="1416"/>
    </row>
    <row r="266" ht="15.75" customHeight="1">
      <c r="Z266" s="1416"/>
      <c r="AA266" s="1416"/>
    </row>
    <row r="267" ht="15.75" customHeight="1">
      <c r="Z267" s="1416"/>
      <c r="AA267" s="1416"/>
    </row>
    <row r="268" ht="15.75" customHeight="1">
      <c r="Z268" s="1416"/>
      <c r="AA268" s="1416"/>
    </row>
    <row r="269" ht="15.75" customHeight="1">
      <c r="Z269" s="1416"/>
      <c r="AA269" s="1416"/>
    </row>
    <row r="270" ht="15.75" customHeight="1">
      <c r="Z270" s="1416"/>
      <c r="AA270" s="1416"/>
    </row>
    <row r="271" ht="15.75" customHeight="1">
      <c r="Z271" s="1416"/>
      <c r="AA271" s="1416"/>
    </row>
    <row r="272" ht="15.75" customHeight="1">
      <c r="Z272" s="1416"/>
      <c r="AA272" s="1416"/>
    </row>
    <row r="273" ht="15.75" customHeight="1">
      <c r="Z273" s="1416"/>
      <c r="AA273" s="1416"/>
    </row>
    <row r="274" ht="15.75" customHeight="1">
      <c r="Z274" s="1416"/>
      <c r="AA274" s="1416"/>
    </row>
    <row r="275" ht="15.75" customHeight="1">
      <c r="Z275" s="1416"/>
      <c r="AA275" s="1416"/>
    </row>
    <row r="276" ht="15.75" customHeight="1">
      <c r="Z276" s="1416"/>
      <c r="AA276" s="1416"/>
    </row>
    <row r="277" ht="15.75" customHeight="1">
      <c r="Z277" s="1416"/>
      <c r="AA277" s="1416"/>
    </row>
    <row r="278" ht="15.75" customHeight="1">
      <c r="Z278" s="1416"/>
      <c r="AA278" s="1416"/>
    </row>
    <row r="279" ht="15.75" customHeight="1">
      <c r="Z279" s="1416"/>
      <c r="AA279" s="1416"/>
    </row>
    <row r="280" ht="15.75" customHeight="1">
      <c r="Z280" s="1416"/>
      <c r="AA280" s="1416"/>
    </row>
    <row r="281" ht="15.75" customHeight="1">
      <c r="Z281" s="1416"/>
      <c r="AA281" s="1416"/>
    </row>
    <row r="282" ht="15.75" customHeight="1">
      <c r="Z282" s="1416"/>
      <c r="AA282" s="1416"/>
    </row>
    <row r="283" ht="15.75" customHeight="1">
      <c r="Z283" s="1416"/>
      <c r="AA283" s="1416"/>
    </row>
    <row r="284" ht="15.75" customHeight="1">
      <c r="Z284" s="1416"/>
      <c r="AA284" s="1416"/>
    </row>
    <row r="285" ht="15.75" customHeight="1">
      <c r="Z285" s="1416"/>
      <c r="AA285" s="1416"/>
    </row>
    <row r="286" ht="15.75" customHeight="1">
      <c r="Z286" s="1416"/>
      <c r="AA286" s="1416"/>
    </row>
    <row r="287" ht="15.75" customHeight="1">
      <c r="Z287" s="1416"/>
      <c r="AA287" s="1416"/>
    </row>
    <row r="288" ht="15.75" customHeight="1">
      <c r="Z288" s="1416"/>
      <c r="AA288" s="1416"/>
    </row>
    <row r="289" ht="15.75" customHeight="1">
      <c r="Z289" s="1416"/>
      <c r="AA289" s="1416"/>
    </row>
    <row r="290" ht="15.75" customHeight="1">
      <c r="Z290" s="1416"/>
      <c r="AA290" s="1416"/>
    </row>
    <row r="291" ht="15.75" customHeight="1">
      <c r="Z291" s="1416"/>
      <c r="AA291" s="1416"/>
    </row>
    <row r="292" ht="15.75" customHeight="1">
      <c r="Z292" s="1416"/>
      <c r="AA292" s="1416"/>
    </row>
    <row r="293" ht="15.75" customHeight="1">
      <c r="Z293" s="1416"/>
      <c r="AA293" s="1416"/>
    </row>
    <row r="294" ht="15.75" customHeight="1">
      <c r="Z294" s="1416"/>
      <c r="AA294" s="1416"/>
    </row>
    <row r="295" ht="15.75" customHeight="1">
      <c r="Z295" s="1416"/>
      <c r="AA295" s="1416"/>
    </row>
    <row r="296" ht="15.75" customHeight="1">
      <c r="Z296" s="1416"/>
      <c r="AA296" s="1416"/>
    </row>
    <row r="297" ht="15.75" customHeight="1">
      <c r="Z297" s="1416"/>
      <c r="AA297" s="1416"/>
    </row>
    <row r="298" ht="15.75" customHeight="1">
      <c r="Z298" s="1416"/>
      <c r="AA298" s="1416"/>
    </row>
    <row r="299" ht="15.75" customHeight="1">
      <c r="Z299" s="1416"/>
      <c r="AA299" s="1416"/>
    </row>
    <row r="300" ht="15.75" customHeight="1">
      <c r="Z300" s="1416"/>
      <c r="AA300" s="1416"/>
    </row>
    <row r="301" ht="15.75" customHeight="1">
      <c r="Z301" s="1416"/>
      <c r="AA301" s="1416"/>
    </row>
    <row r="302" ht="15.75" customHeight="1">
      <c r="Z302" s="1416"/>
      <c r="AA302" s="1416"/>
    </row>
    <row r="303" ht="15.75" customHeight="1">
      <c r="Z303" s="1416"/>
      <c r="AA303" s="1416"/>
    </row>
    <row r="304" ht="15.75" customHeight="1">
      <c r="Z304" s="1416"/>
      <c r="AA304" s="1416"/>
    </row>
    <row r="305" ht="15.75" customHeight="1">
      <c r="Z305" s="1416"/>
      <c r="AA305" s="1416"/>
    </row>
    <row r="306" ht="15.75" customHeight="1">
      <c r="Z306" s="1416"/>
      <c r="AA306" s="1416"/>
    </row>
    <row r="307" ht="15.75" customHeight="1">
      <c r="Z307" s="1416"/>
      <c r="AA307" s="1416"/>
    </row>
    <row r="308" ht="15.75" customHeight="1">
      <c r="Z308" s="1416"/>
      <c r="AA308" s="1416"/>
    </row>
    <row r="309" ht="15.75" customHeight="1">
      <c r="Z309" s="1416"/>
      <c r="AA309" s="1416"/>
    </row>
    <row r="310" ht="15.75" customHeight="1">
      <c r="Z310" s="1416"/>
      <c r="AA310" s="1416"/>
    </row>
    <row r="311" ht="15.75" customHeight="1">
      <c r="Z311" s="1416"/>
      <c r="AA311" s="1416"/>
    </row>
    <row r="312" ht="15.75" customHeight="1">
      <c r="Z312" s="1416"/>
      <c r="AA312" s="1416"/>
    </row>
    <row r="313" ht="15.75" customHeight="1">
      <c r="Z313" s="1416"/>
      <c r="AA313" s="1416"/>
    </row>
    <row r="314" ht="15.75" customHeight="1">
      <c r="Z314" s="1416"/>
      <c r="AA314" s="1416"/>
    </row>
    <row r="315" ht="15.75" customHeight="1">
      <c r="Z315" s="1416"/>
      <c r="AA315" s="1416"/>
    </row>
    <row r="316" ht="15.75" customHeight="1">
      <c r="Z316" s="1416"/>
      <c r="AA316" s="1416"/>
    </row>
    <row r="317" ht="15.75" customHeight="1">
      <c r="Z317" s="1416"/>
      <c r="AA317" s="1416"/>
    </row>
    <row r="318" ht="15.75" customHeight="1">
      <c r="Z318" s="1416"/>
      <c r="AA318" s="1416"/>
    </row>
    <row r="319" ht="15.75" customHeight="1">
      <c r="Z319" s="1416"/>
      <c r="AA319" s="1416"/>
    </row>
    <row r="320" ht="15.75" customHeight="1">
      <c r="Z320" s="1416"/>
      <c r="AA320" s="1416"/>
    </row>
    <row r="321" ht="15.75" customHeight="1">
      <c r="Z321" s="1416"/>
      <c r="AA321" s="1416"/>
    </row>
    <row r="322" ht="15.75" customHeight="1">
      <c r="Z322" s="1416"/>
      <c r="AA322" s="1416"/>
    </row>
    <row r="323" ht="15.75" customHeight="1">
      <c r="Z323" s="1416"/>
      <c r="AA323" s="1416"/>
    </row>
    <row r="324" ht="15.75" customHeight="1">
      <c r="Z324" s="1416"/>
      <c r="AA324" s="1416"/>
    </row>
    <row r="325" ht="15.75" customHeight="1">
      <c r="Z325" s="1416"/>
      <c r="AA325" s="1416"/>
    </row>
    <row r="326" ht="15.75" customHeight="1">
      <c r="Z326" s="1416"/>
      <c r="AA326" s="1416"/>
    </row>
    <row r="327" ht="15.75" customHeight="1">
      <c r="Z327" s="1416"/>
      <c r="AA327" s="1416"/>
    </row>
    <row r="328" ht="15.75" customHeight="1">
      <c r="Z328" s="1416"/>
      <c r="AA328" s="1416"/>
    </row>
    <row r="329" ht="15.75" customHeight="1">
      <c r="Z329" s="1416"/>
      <c r="AA329" s="1416"/>
    </row>
    <row r="330" ht="15.75" customHeight="1">
      <c r="Z330" s="1416"/>
      <c r="AA330" s="1416"/>
    </row>
    <row r="331" ht="15.75" customHeight="1">
      <c r="Z331" s="1416"/>
      <c r="AA331" s="1416"/>
    </row>
    <row r="332" ht="15.75" customHeight="1">
      <c r="Z332" s="1416"/>
      <c r="AA332" s="1416"/>
    </row>
    <row r="333" ht="15.75" customHeight="1">
      <c r="Z333" s="1416"/>
      <c r="AA333" s="1416"/>
    </row>
    <row r="334" ht="15.75" customHeight="1">
      <c r="Z334" s="1416"/>
      <c r="AA334" s="1416"/>
    </row>
    <row r="335" ht="15.75" customHeight="1">
      <c r="Z335" s="1416"/>
      <c r="AA335" s="1416"/>
    </row>
    <row r="336" ht="15.75" customHeight="1">
      <c r="Z336" s="1416"/>
      <c r="AA336" s="1416"/>
    </row>
    <row r="337" ht="15.75" customHeight="1">
      <c r="Z337" s="1416"/>
      <c r="AA337" s="1416"/>
    </row>
    <row r="338" ht="15.75" customHeight="1">
      <c r="Z338" s="1416"/>
      <c r="AA338" s="1416"/>
    </row>
    <row r="339" ht="15.75" customHeight="1">
      <c r="Z339" s="1416"/>
      <c r="AA339" s="1416"/>
    </row>
    <row r="340" ht="15.75" customHeight="1">
      <c r="Z340" s="1416"/>
      <c r="AA340" s="1416"/>
    </row>
    <row r="341" ht="15.75" customHeight="1">
      <c r="Z341" s="1416"/>
      <c r="AA341" s="1416"/>
    </row>
    <row r="342" ht="15.75" customHeight="1">
      <c r="Z342" s="1416"/>
      <c r="AA342" s="1416"/>
    </row>
    <row r="343" ht="15.75" customHeight="1">
      <c r="Z343" s="1416"/>
      <c r="AA343" s="1416"/>
    </row>
    <row r="344" ht="15.75" customHeight="1">
      <c r="Z344" s="1416"/>
      <c r="AA344" s="1416"/>
    </row>
    <row r="345" ht="15.75" customHeight="1">
      <c r="Z345" s="1416"/>
      <c r="AA345" s="1416"/>
    </row>
    <row r="346" ht="15.75" customHeight="1">
      <c r="Z346" s="1416"/>
      <c r="AA346" s="1416"/>
    </row>
    <row r="347" ht="15.75" customHeight="1">
      <c r="Z347" s="1416"/>
      <c r="AA347" s="1416"/>
    </row>
    <row r="348" ht="15.75" customHeight="1">
      <c r="Z348" s="1416"/>
      <c r="AA348" s="1416"/>
    </row>
    <row r="349" ht="15.75" customHeight="1">
      <c r="Z349" s="1416"/>
      <c r="AA349" s="1416"/>
    </row>
    <row r="350" ht="15.75" customHeight="1">
      <c r="Z350" s="1416"/>
      <c r="AA350" s="1416"/>
    </row>
    <row r="351" ht="15.75" customHeight="1">
      <c r="Z351" s="1416"/>
      <c r="AA351" s="1416"/>
    </row>
    <row r="352" ht="15.75" customHeight="1">
      <c r="Z352" s="1416"/>
      <c r="AA352" s="1416"/>
    </row>
    <row r="353" ht="15.75" customHeight="1">
      <c r="Z353" s="1416"/>
      <c r="AA353" s="1416"/>
    </row>
    <row r="354" ht="15.75" customHeight="1">
      <c r="Z354" s="1416"/>
      <c r="AA354" s="1416"/>
    </row>
    <row r="355" ht="15.75" customHeight="1">
      <c r="Z355" s="1416"/>
      <c r="AA355" s="1416"/>
    </row>
    <row r="356" ht="15.75" customHeight="1">
      <c r="Z356" s="1416"/>
      <c r="AA356" s="1416"/>
    </row>
    <row r="357" ht="15.75" customHeight="1">
      <c r="Z357" s="1416"/>
      <c r="AA357" s="1416"/>
    </row>
    <row r="358" ht="15.75" customHeight="1">
      <c r="Z358" s="1416"/>
      <c r="AA358" s="1416"/>
    </row>
    <row r="359" ht="15.75" customHeight="1">
      <c r="Z359" s="1416"/>
      <c r="AA359" s="1416"/>
    </row>
    <row r="360" ht="15.75" customHeight="1">
      <c r="Z360" s="1416"/>
      <c r="AA360" s="1416"/>
    </row>
    <row r="361" ht="15.75" customHeight="1">
      <c r="Z361" s="1416"/>
      <c r="AA361" s="1416"/>
    </row>
    <row r="362" ht="15.75" customHeight="1">
      <c r="Z362" s="1416"/>
      <c r="AA362" s="1416"/>
    </row>
    <row r="363" ht="15.75" customHeight="1">
      <c r="Z363" s="1416"/>
      <c r="AA363" s="1416"/>
    </row>
    <row r="364" ht="15.75" customHeight="1">
      <c r="Z364" s="1416"/>
      <c r="AA364" s="1416"/>
    </row>
    <row r="365" ht="15.75" customHeight="1">
      <c r="Z365" s="1416"/>
      <c r="AA365" s="1416"/>
    </row>
    <row r="366" ht="15.75" customHeight="1">
      <c r="Z366" s="1416"/>
      <c r="AA366" s="1416"/>
    </row>
    <row r="367" ht="15.75" customHeight="1">
      <c r="Z367" s="1416"/>
      <c r="AA367" s="1416"/>
    </row>
    <row r="368" ht="15.75" customHeight="1">
      <c r="Z368" s="1416"/>
      <c r="AA368" s="1416"/>
    </row>
    <row r="369" ht="15.75" customHeight="1">
      <c r="Z369" s="1416"/>
      <c r="AA369" s="1416"/>
    </row>
    <row r="370" ht="15.75" customHeight="1">
      <c r="Z370" s="1416"/>
      <c r="AA370" s="1416"/>
    </row>
    <row r="371" ht="15.75" customHeight="1">
      <c r="Z371" s="1416"/>
      <c r="AA371" s="1416"/>
    </row>
    <row r="372" ht="15.75" customHeight="1">
      <c r="Z372" s="1416"/>
      <c r="AA372" s="1416"/>
    </row>
    <row r="373" ht="15.75" customHeight="1">
      <c r="Z373" s="1416"/>
      <c r="AA373" s="1416"/>
    </row>
    <row r="374" ht="15.75" customHeight="1">
      <c r="Z374" s="1416"/>
      <c r="AA374" s="1416"/>
    </row>
    <row r="375" ht="15.75" customHeight="1">
      <c r="Z375" s="1416"/>
      <c r="AA375" s="1416"/>
    </row>
    <row r="376" ht="15.75" customHeight="1">
      <c r="Z376" s="1416"/>
      <c r="AA376" s="1416"/>
    </row>
    <row r="377" ht="15.75" customHeight="1">
      <c r="Z377" s="1416"/>
      <c r="AA377" s="1416"/>
    </row>
    <row r="378" ht="15.75" customHeight="1">
      <c r="Z378" s="1416"/>
      <c r="AA378" s="1416"/>
    </row>
    <row r="379" ht="15.75" customHeight="1">
      <c r="Z379" s="1416"/>
      <c r="AA379" s="1416"/>
    </row>
    <row r="380" ht="15.75" customHeight="1">
      <c r="Z380" s="1416"/>
      <c r="AA380" s="1416"/>
    </row>
    <row r="381" ht="15.75" customHeight="1">
      <c r="Z381" s="1416"/>
      <c r="AA381" s="1416"/>
    </row>
    <row r="382" ht="15.75" customHeight="1">
      <c r="Z382" s="1416"/>
      <c r="AA382" s="1416"/>
    </row>
    <row r="383" ht="15.75" customHeight="1">
      <c r="Z383" s="1416"/>
      <c r="AA383" s="1416"/>
    </row>
    <row r="384" ht="15.75" customHeight="1">
      <c r="Z384" s="1416"/>
      <c r="AA384" s="1416"/>
    </row>
    <row r="385" ht="15.75" customHeight="1">
      <c r="Z385" s="1416"/>
      <c r="AA385" s="1416"/>
    </row>
    <row r="386" ht="15.75" customHeight="1">
      <c r="Z386" s="1416"/>
      <c r="AA386" s="1416"/>
    </row>
    <row r="387" ht="15.75" customHeight="1">
      <c r="Z387" s="1416"/>
      <c r="AA387" s="1416"/>
    </row>
    <row r="388" ht="15.75" customHeight="1">
      <c r="Z388" s="1416"/>
      <c r="AA388" s="1416"/>
    </row>
    <row r="389" ht="15.75" customHeight="1">
      <c r="Z389" s="1416"/>
      <c r="AA389" s="1416"/>
    </row>
    <row r="390" ht="15.75" customHeight="1">
      <c r="Z390" s="1416"/>
      <c r="AA390" s="1416"/>
    </row>
    <row r="391" ht="15.75" customHeight="1">
      <c r="Z391" s="1416"/>
      <c r="AA391" s="1416"/>
    </row>
    <row r="392" ht="15.75" customHeight="1">
      <c r="Z392" s="1416"/>
      <c r="AA392" s="1416"/>
    </row>
    <row r="393" ht="15.75" customHeight="1">
      <c r="Z393" s="1416"/>
      <c r="AA393" s="1416"/>
    </row>
    <row r="394" ht="15.75" customHeight="1">
      <c r="Z394" s="1416"/>
      <c r="AA394" s="1416"/>
    </row>
    <row r="395" ht="15.75" customHeight="1">
      <c r="Z395" s="1416"/>
      <c r="AA395" s="1416"/>
    </row>
    <row r="396" ht="15.75" customHeight="1">
      <c r="Z396" s="1416"/>
      <c r="AA396" s="1416"/>
    </row>
    <row r="397" ht="15.75" customHeight="1">
      <c r="Z397" s="1416"/>
      <c r="AA397" s="1416"/>
    </row>
    <row r="398" ht="15.75" customHeight="1">
      <c r="Z398" s="1416"/>
      <c r="AA398" s="1416"/>
    </row>
    <row r="399" ht="15.75" customHeight="1">
      <c r="Z399" s="1416"/>
      <c r="AA399" s="1416"/>
    </row>
    <row r="400" ht="15.75" customHeight="1">
      <c r="Z400" s="1416"/>
      <c r="AA400" s="1416"/>
    </row>
    <row r="401" ht="15.75" customHeight="1">
      <c r="Z401" s="1416"/>
      <c r="AA401" s="1416"/>
    </row>
    <row r="402" ht="15.75" customHeight="1">
      <c r="Z402" s="1416"/>
      <c r="AA402" s="1416"/>
    </row>
    <row r="403" ht="15.75" customHeight="1">
      <c r="Z403" s="1416"/>
      <c r="AA403" s="1416"/>
    </row>
    <row r="404" ht="15.75" customHeight="1">
      <c r="Z404" s="1416"/>
      <c r="AA404" s="1416"/>
    </row>
    <row r="405" ht="15.75" customHeight="1">
      <c r="Z405" s="1416"/>
      <c r="AA405" s="1416"/>
    </row>
    <row r="406" ht="15.75" customHeight="1">
      <c r="Z406" s="1416"/>
      <c r="AA406" s="1416"/>
    </row>
    <row r="407" ht="15.75" customHeight="1">
      <c r="Z407" s="1416"/>
      <c r="AA407" s="1416"/>
    </row>
    <row r="408" ht="15.75" customHeight="1">
      <c r="Z408" s="1416"/>
      <c r="AA408" s="1416"/>
    </row>
    <row r="409" ht="15.75" customHeight="1">
      <c r="Z409" s="1416"/>
      <c r="AA409" s="1416"/>
    </row>
    <row r="410" ht="15.75" customHeight="1">
      <c r="Z410" s="1416"/>
      <c r="AA410" s="1416"/>
    </row>
    <row r="411" ht="15.75" customHeight="1">
      <c r="Z411" s="1416"/>
      <c r="AA411" s="1416"/>
    </row>
    <row r="412" ht="15.75" customHeight="1">
      <c r="Z412" s="1416"/>
      <c r="AA412" s="1416"/>
    </row>
    <row r="413" ht="15.75" customHeight="1">
      <c r="Z413" s="1416"/>
      <c r="AA413" s="1416"/>
    </row>
    <row r="414" ht="15.75" customHeight="1">
      <c r="Z414" s="1416"/>
      <c r="AA414" s="1416"/>
    </row>
    <row r="415" ht="15.75" customHeight="1">
      <c r="Z415" s="1416"/>
      <c r="AA415" s="1416"/>
    </row>
    <row r="416" ht="15.75" customHeight="1">
      <c r="Z416" s="1416"/>
      <c r="AA416" s="1416"/>
    </row>
    <row r="417" ht="15.75" customHeight="1">
      <c r="Z417" s="1416"/>
      <c r="AA417" s="1416"/>
    </row>
    <row r="418" ht="15.75" customHeight="1">
      <c r="Z418" s="1416"/>
      <c r="AA418" s="1416"/>
    </row>
    <row r="419" ht="15.75" customHeight="1">
      <c r="Z419" s="1416"/>
      <c r="AA419" s="1416"/>
    </row>
    <row r="420" ht="15.75" customHeight="1">
      <c r="Z420" s="1416"/>
      <c r="AA420" s="1416"/>
    </row>
    <row r="421" ht="15.75" customHeight="1">
      <c r="Z421" s="1416"/>
      <c r="AA421" s="1416"/>
    </row>
    <row r="422" ht="15.75" customHeight="1">
      <c r="Z422" s="1416"/>
      <c r="AA422" s="1416"/>
    </row>
    <row r="423" ht="15.75" customHeight="1">
      <c r="Z423" s="1416"/>
      <c r="AA423" s="1416"/>
    </row>
    <row r="424" ht="15.75" customHeight="1">
      <c r="Z424" s="1416"/>
      <c r="AA424" s="1416"/>
    </row>
    <row r="425" ht="15.75" customHeight="1">
      <c r="Z425" s="1416"/>
      <c r="AA425" s="1416"/>
    </row>
    <row r="426" ht="15.75" customHeight="1">
      <c r="Z426" s="1416"/>
      <c r="AA426" s="1416"/>
    </row>
    <row r="427" ht="15.75" customHeight="1">
      <c r="Z427" s="1416"/>
      <c r="AA427" s="1416"/>
    </row>
    <row r="428" ht="15.75" customHeight="1">
      <c r="Z428" s="1416"/>
      <c r="AA428" s="1416"/>
    </row>
    <row r="429" ht="15.75" customHeight="1">
      <c r="Z429" s="1416"/>
      <c r="AA429" s="1416"/>
    </row>
    <row r="430" ht="15.75" customHeight="1">
      <c r="Z430" s="1416"/>
      <c r="AA430" s="1416"/>
    </row>
    <row r="431" ht="15.75" customHeight="1">
      <c r="Z431" s="1416"/>
      <c r="AA431" s="1416"/>
    </row>
    <row r="432" ht="15.75" customHeight="1">
      <c r="Z432" s="1416"/>
      <c r="AA432" s="1416"/>
    </row>
    <row r="433" ht="15.75" customHeight="1">
      <c r="Z433" s="1416"/>
      <c r="AA433" s="1416"/>
    </row>
    <row r="434" ht="15.75" customHeight="1">
      <c r="Z434" s="1416"/>
      <c r="AA434" s="1416"/>
    </row>
    <row r="435" ht="15.75" customHeight="1">
      <c r="Z435" s="1416"/>
      <c r="AA435" s="1416"/>
    </row>
    <row r="436" ht="15.75" customHeight="1">
      <c r="Z436" s="1416"/>
      <c r="AA436" s="1416"/>
    </row>
    <row r="437" ht="15.75" customHeight="1">
      <c r="Z437" s="1416"/>
      <c r="AA437" s="1416"/>
    </row>
    <row r="438" ht="15.75" customHeight="1">
      <c r="Z438" s="1416"/>
      <c r="AA438" s="1416"/>
    </row>
    <row r="439" ht="15.75" customHeight="1">
      <c r="Z439" s="1416"/>
      <c r="AA439" s="1416"/>
    </row>
    <row r="440" ht="15.75" customHeight="1">
      <c r="Z440" s="1416"/>
      <c r="AA440" s="1416"/>
    </row>
    <row r="441" ht="15.75" customHeight="1">
      <c r="Z441" s="1416"/>
      <c r="AA441" s="1416"/>
    </row>
    <row r="442" ht="15.75" customHeight="1">
      <c r="Z442" s="1416"/>
      <c r="AA442" s="1416"/>
    </row>
    <row r="443" ht="15.75" customHeight="1">
      <c r="Z443" s="1416"/>
      <c r="AA443" s="1416"/>
    </row>
    <row r="444" ht="15.75" customHeight="1">
      <c r="Z444" s="1416"/>
      <c r="AA444" s="1416"/>
    </row>
    <row r="445" ht="15.75" customHeight="1">
      <c r="Z445" s="1416"/>
      <c r="AA445" s="1416"/>
    </row>
    <row r="446" ht="15.75" customHeight="1">
      <c r="Z446" s="1416"/>
      <c r="AA446" s="1416"/>
    </row>
    <row r="447" ht="15.75" customHeight="1">
      <c r="Z447" s="1416"/>
      <c r="AA447" s="1416"/>
    </row>
    <row r="448" ht="15.75" customHeight="1">
      <c r="Z448" s="1416"/>
      <c r="AA448" s="1416"/>
    </row>
    <row r="449" ht="15.75" customHeight="1">
      <c r="Z449" s="1416"/>
      <c r="AA449" s="1416"/>
    </row>
    <row r="450" ht="15.75" customHeight="1">
      <c r="Z450" s="1416"/>
      <c r="AA450" s="1416"/>
    </row>
    <row r="451" ht="15.75" customHeight="1">
      <c r="Z451" s="1416"/>
      <c r="AA451" s="1416"/>
    </row>
    <row r="452" ht="15.75" customHeight="1">
      <c r="Z452" s="1416"/>
      <c r="AA452" s="1416"/>
    </row>
    <row r="453" ht="15.75" customHeight="1">
      <c r="Z453" s="1416"/>
      <c r="AA453" s="1416"/>
    </row>
    <row r="454" ht="15.75" customHeight="1">
      <c r="Z454" s="1416"/>
      <c r="AA454" s="1416"/>
    </row>
    <row r="455" ht="15.75" customHeight="1">
      <c r="Z455" s="1416"/>
      <c r="AA455" s="1416"/>
    </row>
    <row r="456" ht="15.75" customHeight="1">
      <c r="Z456" s="1416"/>
      <c r="AA456" s="1416"/>
    </row>
    <row r="457" ht="15.75" customHeight="1">
      <c r="Z457" s="1416"/>
      <c r="AA457" s="1416"/>
    </row>
    <row r="458" ht="15.75" customHeight="1">
      <c r="Z458" s="1416"/>
      <c r="AA458" s="1416"/>
    </row>
    <row r="459" ht="15.75" customHeight="1">
      <c r="Z459" s="1416"/>
      <c r="AA459" s="1416"/>
    </row>
    <row r="460" ht="15.75" customHeight="1">
      <c r="Z460" s="1416"/>
      <c r="AA460" s="1416"/>
    </row>
    <row r="461" ht="15.75" customHeight="1">
      <c r="Z461" s="1416"/>
      <c r="AA461" s="1416"/>
    </row>
    <row r="462" ht="15.75" customHeight="1">
      <c r="Z462" s="1416"/>
      <c r="AA462" s="1416"/>
    </row>
    <row r="463" ht="15.75" customHeight="1">
      <c r="Z463" s="1416"/>
      <c r="AA463" s="1416"/>
    </row>
    <row r="464" ht="15.75" customHeight="1">
      <c r="Z464" s="1416"/>
      <c r="AA464" s="1416"/>
    </row>
    <row r="465" ht="15.75" customHeight="1">
      <c r="Z465" s="1416"/>
      <c r="AA465" s="1416"/>
    </row>
    <row r="466" ht="15.75" customHeight="1">
      <c r="Z466" s="1416"/>
      <c r="AA466" s="1416"/>
    </row>
    <row r="467" ht="15.75" customHeight="1">
      <c r="Z467" s="1416"/>
      <c r="AA467" s="1416"/>
    </row>
    <row r="468" ht="15.75" customHeight="1">
      <c r="Z468" s="1416"/>
      <c r="AA468" s="1416"/>
    </row>
    <row r="469" ht="15.75" customHeight="1">
      <c r="Z469" s="1416"/>
      <c r="AA469" s="1416"/>
    </row>
    <row r="470" ht="15.75" customHeight="1">
      <c r="Z470" s="1416"/>
      <c r="AA470" s="1416"/>
    </row>
    <row r="471" ht="15.75" customHeight="1">
      <c r="Z471" s="1416"/>
      <c r="AA471" s="1416"/>
    </row>
    <row r="472" ht="15.75" customHeight="1">
      <c r="Z472" s="1416"/>
      <c r="AA472" s="1416"/>
    </row>
    <row r="473" ht="15.75" customHeight="1">
      <c r="Z473" s="1416"/>
      <c r="AA473" s="1416"/>
    </row>
    <row r="474" ht="15.75" customHeight="1">
      <c r="Z474" s="1416"/>
      <c r="AA474" s="1416"/>
    </row>
    <row r="475" ht="15.75" customHeight="1">
      <c r="Z475" s="1416"/>
      <c r="AA475" s="1416"/>
    </row>
    <row r="476" ht="15.75" customHeight="1">
      <c r="Z476" s="1416"/>
      <c r="AA476" s="1416"/>
    </row>
    <row r="477" ht="15.75" customHeight="1">
      <c r="Z477" s="1416"/>
      <c r="AA477" s="1416"/>
    </row>
    <row r="478" ht="15.75" customHeight="1">
      <c r="Z478" s="1416"/>
      <c r="AA478" s="1416"/>
    </row>
    <row r="479" ht="15.75" customHeight="1">
      <c r="Z479" s="1416"/>
      <c r="AA479" s="1416"/>
    </row>
    <row r="480" ht="15.75" customHeight="1">
      <c r="Z480" s="1416"/>
      <c r="AA480" s="1416"/>
    </row>
    <row r="481" ht="15.75" customHeight="1">
      <c r="Z481" s="1416"/>
      <c r="AA481" s="1416"/>
    </row>
    <row r="482" ht="15.75" customHeight="1">
      <c r="Z482" s="1416"/>
      <c r="AA482" s="1416"/>
    </row>
    <row r="483" ht="15.75" customHeight="1">
      <c r="Z483" s="1416"/>
      <c r="AA483" s="1416"/>
    </row>
    <row r="484" ht="15.75" customHeight="1">
      <c r="Z484" s="1416"/>
      <c r="AA484" s="1416"/>
    </row>
    <row r="485" ht="15.75" customHeight="1">
      <c r="Z485" s="1416"/>
      <c r="AA485" s="1416"/>
    </row>
    <row r="486" ht="15.75" customHeight="1">
      <c r="Z486" s="1416"/>
      <c r="AA486" s="1416"/>
    </row>
    <row r="487" ht="15.75" customHeight="1">
      <c r="Z487" s="1416"/>
      <c r="AA487" s="1416"/>
    </row>
    <row r="488" ht="15.75" customHeight="1">
      <c r="Z488" s="1416"/>
      <c r="AA488" s="1416"/>
    </row>
    <row r="489" ht="15.75" customHeight="1">
      <c r="Z489" s="1416"/>
      <c r="AA489" s="1416"/>
    </row>
    <row r="490" ht="15.75" customHeight="1">
      <c r="Z490" s="1416"/>
      <c r="AA490" s="1416"/>
    </row>
    <row r="491" ht="15.75" customHeight="1">
      <c r="Z491" s="1416"/>
      <c r="AA491" s="1416"/>
    </row>
    <row r="492" ht="15.75" customHeight="1">
      <c r="Z492" s="1416"/>
      <c r="AA492" s="1416"/>
    </row>
    <row r="493" ht="15.75" customHeight="1">
      <c r="Z493" s="1416"/>
      <c r="AA493" s="1416"/>
    </row>
    <row r="494" ht="15.75" customHeight="1">
      <c r="Z494" s="1416"/>
      <c r="AA494" s="1416"/>
    </row>
    <row r="495" ht="15.75" customHeight="1">
      <c r="Z495" s="1416"/>
      <c r="AA495" s="1416"/>
    </row>
    <row r="496" ht="15.75" customHeight="1">
      <c r="Z496" s="1416"/>
      <c r="AA496" s="1416"/>
    </row>
    <row r="497" ht="15.75" customHeight="1">
      <c r="Z497" s="1416"/>
      <c r="AA497" s="1416"/>
    </row>
    <row r="498" ht="15.75" customHeight="1">
      <c r="Z498" s="1416"/>
      <c r="AA498" s="1416"/>
    </row>
    <row r="499" ht="15.75" customHeight="1">
      <c r="Z499" s="1416"/>
      <c r="AA499" s="1416"/>
    </row>
    <row r="500" ht="15.75" customHeight="1">
      <c r="Z500" s="1416"/>
      <c r="AA500" s="1416"/>
    </row>
    <row r="501" ht="15.75" customHeight="1">
      <c r="Z501" s="1416"/>
      <c r="AA501" s="1416"/>
    </row>
    <row r="502" ht="15.75" customHeight="1">
      <c r="Z502" s="1416"/>
      <c r="AA502" s="1416"/>
    </row>
    <row r="503" ht="15.75" customHeight="1">
      <c r="Z503" s="1416"/>
      <c r="AA503" s="1416"/>
    </row>
    <row r="504" ht="15.75" customHeight="1">
      <c r="Z504" s="1416"/>
      <c r="AA504" s="1416"/>
    </row>
    <row r="505" ht="15.75" customHeight="1">
      <c r="Z505" s="1416"/>
      <c r="AA505" s="1416"/>
    </row>
    <row r="506" ht="15.75" customHeight="1">
      <c r="Z506" s="1416"/>
      <c r="AA506" s="1416"/>
    </row>
    <row r="507" ht="15.75" customHeight="1">
      <c r="Z507" s="1416"/>
      <c r="AA507" s="1416"/>
    </row>
    <row r="508" ht="15.75" customHeight="1">
      <c r="Z508" s="1416"/>
      <c r="AA508" s="1416"/>
    </row>
    <row r="509" ht="15.75" customHeight="1">
      <c r="Z509" s="1416"/>
      <c r="AA509" s="1416"/>
    </row>
    <row r="510" ht="15.75" customHeight="1">
      <c r="Z510" s="1416"/>
      <c r="AA510" s="1416"/>
    </row>
    <row r="511" ht="15.75" customHeight="1">
      <c r="Z511" s="1416"/>
      <c r="AA511" s="1416"/>
    </row>
    <row r="512" ht="15.75" customHeight="1">
      <c r="Z512" s="1416"/>
      <c r="AA512" s="1416"/>
    </row>
    <row r="513" ht="15.75" customHeight="1">
      <c r="Z513" s="1416"/>
      <c r="AA513" s="1416"/>
    </row>
    <row r="514" ht="15.75" customHeight="1">
      <c r="Z514" s="1416"/>
      <c r="AA514" s="1416"/>
    </row>
    <row r="515" ht="15.75" customHeight="1">
      <c r="Z515" s="1416"/>
      <c r="AA515" s="1416"/>
    </row>
    <row r="516" ht="15.75" customHeight="1">
      <c r="Z516" s="1416"/>
      <c r="AA516" s="1416"/>
    </row>
    <row r="517" ht="15.75" customHeight="1">
      <c r="Z517" s="1416"/>
      <c r="AA517" s="1416"/>
    </row>
    <row r="518" ht="15.75" customHeight="1">
      <c r="Z518" s="1416"/>
      <c r="AA518" s="1416"/>
    </row>
    <row r="519" ht="15.75" customHeight="1">
      <c r="Z519" s="1416"/>
      <c r="AA519" s="1416"/>
    </row>
    <row r="520" ht="15.75" customHeight="1">
      <c r="Z520" s="1416"/>
      <c r="AA520" s="1416"/>
    </row>
    <row r="521" ht="15.75" customHeight="1">
      <c r="Z521" s="1416"/>
      <c r="AA521" s="1416"/>
    </row>
    <row r="522" ht="15.75" customHeight="1">
      <c r="Z522" s="1416"/>
      <c r="AA522" s="1416"/>
    </row>
    <row r="523" ht="15.75" customHeight="1">
      <c r="Z523" s="1416"/>
      <c r="AA523" s="1416"/>
    </row>
    <row r="524" ht="15.75" customHeight="1">
      <c r="Z524" s="1416"/>
      <c r="AA524" s="1416"/>
    </row>
    <row r="525" ht="15.75" customHeight="1">
      <c r="Z525" s="1416"/>
      <c r="AA525" s="1416"/>
    </row>
    <row r="526" ht="15.75" customHeight="1">
      <c r="Z526" s="1416"/>
      <c r="AA526" s="1416"/>
    </row>
    <row r="527" ht="15.75" customHeight="1">
      <c r="Z527" s="1416"/>
      <c r="AA527" s="1416"/>
    </row>
    <row r="528" ht="15.75" customHeight="1">
      <c r="Z528" s="1416"/>
      <c r="AA528" s="1416"/>
    </row>
    <row r="529" ht="15.75" customHeight="1">
      <c r="Z529" s="1416"/>
      <c r="AA529" s="1416"/>
    </row>
    <row r="530" ht="15.75" customHeight="1">
      <c r="Z530" s="1416"/>
      <c r="AA530" s="1416"/>
    </row>
    <row r="531" ht="15.75" customHeight="1">
      <c r="Z531" s="1416"/>
      <c r="AA531" s="1416"/>
    </row>
    <row r="532" ht="15.75" customHeight="1">
      <c r="Z532" s="1416"/>
      <c r="AA532" s="1416"/>
    </row>
    <row r="533" ht="15.75" customHeight="1">
      <c r="Z533" s="1416"/>
      <c r="AA533" s="1416"/>
    </row>
    <row r="534" ht="15.75" customHeight="1">
      <c r="Z534" s="1416"/>
      <c r="AA534" s="1416"/>
    </row>
    <row r="535" ht="15.75" customHeight="1">
      <c r="Z535" s="1416"/>
      <c r="AA535" s="1416"/>
    </row>
    <row r="536" ht="15.75" customHeight="1">
      <c r="Z536" s="1416"/>
      <c r="AA536" s="1416"/>
    </row>
    <row r="537" ht="15.75" customHeight="1">
      <c r="Z537" s="1416"/>
      <c r="AA537" s="1416"/>
    </row>
    <row r="538" ht="15.75" customHeight="1">
      <c r="Z538" s="1416"/>
      <c r="AA538" s="1416"/>
    </row>
    <row r="539" ht="15.75" customHeight="1">
      <c r="Z539" s="1416"/>
      <c r="AA539" s="1416"/>
    </row>
    <row r="540" ht="15.75" customHeight="1">
      <c r="Z540" s="1416"/>
      <c r="AA540" s="1416"/>
    </row>
    <row r="541" ht="15.75" customHeight="1">
      <c r="Z541" s="1416"/>
      <c r="AA541" s="1416"/>
    </row>
    <row r="542" ht="15.75" customHeight="1">
      <c r="Z542" s="1416"/>
      <c r="AA542" s="1416"/>
    </row>
    <row r="543" ht="15.75" customHeight="1">
      <c r="Z543" s="1416"/>
      <c r="AA543" s="1416"/>
    </row>
    <row r="544" ht="15.75" customHeight="1">
      <c r="Z544" s="1416"/>
      <c r="AA544" s="1416"/>
    </row>
    <row r="545" ht="15.75" customHeight="1">
      <c r="Z545" s="1416"/>
      <c r="AA545" s="1416"/>
    </row>
    <row r="546" ht="15.75" customHeight="1">
      <c r="Z546" s="1416"/>
      <c r="AA546" s="1416"/>
    </row>
    <row r="547" ht="15.75" customHeight="1">
      <c r="Z547" s="1416"/>
      <c r="AA547" s="1416"/>
    </row>
    <row r="548" ht="15.75" customHeight="1">
      <c r="Z548" s="1416"/>
      <c r="AA548" s="1416"/>
    </row>
    <row r="549" ht="15.75" customHeight="1">
      <c r="Z549" s="1416"/>
      <c r="AA549" s="1416"/>
    </row>
    <row r="550" ht="15.75" customHeight="1">
      <c r="Z550" s="1416"/>
      <c r="AA550" s="1416"/>
    </row>
    <row r="551" ht="15.75" customHeight="1">
      <c r="Z551" s="1416"/>
      <c r="AA551" s="1416"/>
    </row>
    <row r="552" ht="15.75" customHeight="1">
      <c r="Z552" s="1416"/>
      <c r="AA552" s="1416"/>
    </row>
    <row r="553" ht="15.75" customHeight="1">
      <c r="Z553" s="1416"/>
      <c r="AA553" s="1416"/>
    </row>
    <row r="554" ht="15.75" customHeight="1">
      <c r="Z554" s="1416"/>
      <c r="AA554" s="1416"/>
    </row>
    <row r="555" ht="15.75" customHeight="1">
      <c r="Z555" s="1416"/>
      <c r="AA555" s="1416"/>
    </row>
    <row r="556" ht="15.75" customHeight="1">
      <c r="Z556" s="1416"/>
      <c r="AA556" s="1416"/>
    </row>
    <row r="557" ht="15.75" customHeight="1">
      <c r="Z557" s="1416"/>
      <c r="AA557" s="1416"/>
    </row>
    <row r="558" ht="15.75" customHeight="1">
      <c r="Z558" s="1416"/>
      <c r="AA558" s="1416"/>
    </row>
    <row r="559" ht="15.75" customHeight="1">
      <c r="Z559" s="1416"/>
      <c r="AA559" s="1416"/>
    </row>
    <row r="560" ht="15.75" customHeight="1">
      <c r="Z560" s="1416"/>
      <c r="AA560" s="1416"/>
    </row>
    <row r="561" ht="15.75" customHeight="1">
      <c r="Z561" s="1416"/>
      <c r="AA561" s="1416"/>
    </row>
    <row r="562" ht="15.75" customHeight="1">
      <c r="Z562" s="1416"/>
      <c r="AA562" s="1416"/>
    </row>
    <row r="563" ht="15.75" customHeight="1">
      <c r="Z563" s="1416"/>
      <c r="AA563" s="1416"/>
    </row>
    <row r="564" ht="15.75" customHeight="1">
      <c r="Z564" s="1416"/>
      <c r="AA564" s="1416"/>
    </row>
    <row r="565" ht="15.75" customHeight="1">
      <c r="Z565" s="1416"/>
      <c r="AA565" s="1416"/>
    </row>
    <row r="566" ht="15.75" customHeight="1">
      <c r="Z566" s="1416"/>
      <c r="AA566" s="1416"/>
    </row>
    <row r="567" ht="15.75" customHeight="1">
      <c r="Z567" s="1416"/>
      <c r="AA567" s="1416"/>
    </row>
    <row r="568" ht="15.75" customHeight="1">
      <c r="Z568" s="1416"/>
      <c r="AA568" s="1416"/>
    </row>
    <row r="569" ht="15.75" customHeight="1">
      <c r="Z569" s="1416"/>
      <c r="AA569" s="1416"/>
    </row>
    <row r="570" ht="15.75" customHeight="1">
      <c r="Z570" s="1416"/>
      <c r="AA570" s="1416"/>
    </row>
    <row r="571" ht="15.75" customHeight="1">
      <c r="Z571" s="1416"/>
      <c r="AA571" s="1416"/>
    </row>
    <row r="572" ht="15.75" customHeight="1">
      <c r="Z572" s="1416"/>
      <c r="AA572" s="1416"/>
    </row>
    <row r="573" ht="15.75" customHeight="1">
      <c r="Z573" s="1416"/>
      <c r="AA573" s="1416"/>
    </row>
    <row r="574" ht="15.75" customHeight="1">
      <c r="Z574" s="1416"/>
      <c r="AA574" s="1416"/>
    </row>
    <row r="575" ht="15.75" customHeight="1">
      <c r="Z575" s="1416"/>
      <c r="AA575" s="1416"/>
    </row>
    <row r="576" ht="15.75" customHeight="1">
      <c r="Z576" s="1416"/>
      <c r="AA576" s="1416"/>
    </row>
    <row r="577" ht="15.75" customHeight="1">
      <c r="Z577" s="1416"/>
      <c r="AA577" s="1416"/>
    </row>
    <row r="578" ht="15.75" customHeight="1">
      <c r="Z578" s="1416"/>
      <c r="AA578" s="1416"/>
    </row>
    <row r="579" ht="15.75" customHeight="1">
      <c r="Z579" s="1416"/>
      <c r="AA579" s="1416"/>
    </row>
    <row r="580" ht="15.75" customHeight="1">
      <c r="Z580" s="1416"/>
      <c r="AA580" s="1416"/>
    </row>
    <row r="581" ht="15.75" customHeight="1">
      <c r="Z581" s="1416"/>
      <c r="AA581" s="1416"/>
    </row>
    <row r="582" ht="15.75" customHeight="1">
      <c r="Z582" s="1416"/>
      <c r="AA582" s="1416"/>
    </row>
    <row r="583" ht="15.75" customHeight="1">
      <c r="Z583" s="1416"/>
      <c r="AA583" s="1416"/>
    </row>
    <row r="584" ht="15.75" customHeight="1">
      <c r="Z584" s="1416"/>
      <c r="AA584" s="1416"/>
    </row>
    <row r="585" ht="15.75" customHeight="1">
      <c r="Z585" s="1416"/>
      <c r="AA585" s="1416"/>
    </row>
    <row r="586" ht="15.75" customHeight="1">
      <c r="Z586" s="1416"/>
      <c r="AA586" s="1416"/>
    </row>
    <row r="587" ht="15.75" customHeight="1">
      <c r="Z587" s="1416"/>
      <c r="AA587" s="1416"/>
    </row>
    <row r="588" ht="15.75" customHeight="1">
      <c r="Z588" s="1416"/>
      <c r="AA588" s="1416"/>
    </row>
    <row r="589" ht="15.75" customHeight="1">
      <c r="Z589" s="1416"/>
      <c r="AA589" s="1416"/>
    </row>
    <row r="590" ht="15.75" customHeight="1">
      <c r="Z590" s="1416"/>
      <c r="AA590" s="1416"/>
    </row>
    <row r="591" ht="15.75" customHeight="1">
      <c r="Z591" s="1416"/>
      <c r="AA591" s="1416"/>
    </row>
    <row r="592" ht="15.75" customHeight="1">
      <c r="Z592" s="1416"/>
      <c r="AA592" s="1416"/>
    </row>
    <row r="593" ht="15.75" customHeight="1">
      <c r="Z593" s="1416"/>
      <c r="AA593" s="1416"/>
    </row>
    <row r="594" ht="15.75" customHeight="1">
      <c r="Z594" s="1416"/>
      <c r="AA594" s="1416"/>
    </row>
    <row r="595" ht="15.75" customHeight="1">
      <c r="Z595" s="1416"/>
      <c r="AA595" s="1416"/>
    </row>
    <row r="596" ht="15.75" customHeight="1">
      <c r="Z596" s="1416"/>
      <c r="AA596" s="1416"/>
    </row>
    <row r="597" ht="15.75" customHeight="1">
      <c r="Z597" s="1416"/>
      <c r="AA597" s="1416"/>
    </row>
    <row r="598" ht="15.75" customHeight="1">
      <c r="Z598" s="1416"/>
      <c r="AA598" s="1416"/>
    </row>
    <row r="599" ht="15.75" customHeight="1">
      <c r="Z599" s="1416"/>
      <c r="AA599" s="1416"/>
    </row>
    <row r="600" ht="15.75" customHeight="1">
      <c r="Z600" s="1416"/>
      <c r="AA600" s="1416"/>
    </row>
    <row r="601" ht="15.75" customHeight="1">
      <c r="Z601" s="1416"/>
      <c r="AA601" s="1416"/>
    </row>
    <row r="602" ht="15.75" customHeight="1">
      <c r="Z602" s="1416"/>
      <c r="AA602" s="1416"/>
    </row>
    <row r="603" ht="15.75" customHeight="1">
      <c r="Z603" s="1416"/>
      <c r="AA603" s="1416"/>
    </row>
    <row r="604" ht="15.75" customHeight="1">
      <c r="Z604" s="1416"/>
      <c r="AA604" s="1416"/>
    </row>
    <row r="605" ht="15.75" customHeight="1">
      <c r="Z605" s="1416"/>
      <c r="AA605" s="1416"/>
    </row>
    <row r="606" ht="15.75" customHeight="1">
      <c r="Z606" s="1416"/>
      <c r="AA606" s="1416"/>
    </row>
    <row r="607" ht="15.75" customHeight="1">
      <c r="Z607" s="1416"/>
      <c r="AA607" s="1416"/>
    </row>
    <row r="608" ht="15.75" customHeight="1">
      <c r="Z608" s="1416"/>
      <c r="AA608" s="1416"/>
    </row>
    <row r="609" ht="15.75" customHeight="1">
      <c r="Z609" s="1416"/>
      <c r="AA609" s="1416"/>
    </row>
    <row r="610" ht="15.75" customHeight="1">
      <c r="Z610" s="1416"/>
      <c r="AA610" s="1416"/>
    </row>
    <row r="611" ht="15.75" customHeight="1">
      <c r="Z611" s="1416"/>
      <c r="AA611" s="1416"/>
    </row>
    <row r="612" ht="15.75" customHeight="1">
      <c r="Z612" s="1416"/>
      <c r="AA612" s="1416"/>
    </row>
    <row r="613" ht="15.75" customHeight="1">
      <c r="Z613" s="1416"/>
      <c r="AA613" s="1416"/>
    </row>
    <row r="614" ht="15.75" customHeight="1">
      <c r="Z614" s="1416"/>
      <c r="AA614" s="1416"/>
    </row>
    <row r="615" ht="15.75" customHeight="1">
      <c r="Z615" s="1416"/>
      <c r="AA615" s="1416"/>
    </row>
    <row r="616" ht="15.75" customHeight="1">
      <c r="Z616" s="1416"/>
      <c r="AA616" s="1416"/>
    </row>
    <row r="617" ht="15.75" customHeight="1">
      <c r="Z617" s="1416"/>
      <c r="AA617" s="1416"/>
    </row>
    <row r="618" ht="15.75" customHeight="1">
      <c r="Z618" s="1416"/>
      <c r="AA618" s="1416"/>
    </row>
    <row r="619" ht="15.75" customHeight="1">
      <c r="Z619" s="1416"/>
      <c r="AA619" s="1416"/>
    </row>
    <row r="620" ht="15.75" customHeight="1">
      <c r="Z620" s="1416"/>
      <c r="AA620" s="1416"/>
    </row>
    <row r="621" ht="15.75" customHeight="1">
      <c r="Z621" s="1416"/>
      <c r="AA621" s="1416"/>
    </row>
    <row r="622" ht="15.75" customHeight="1">
      <c r="Z622" s="1416"/>
      <c r="AA622" s="1416"/>
    </row>
    <row r="623" ht="15.75" customHeight="1">
      <c r="Z623" s="1416"/>
      <c r="AA623" s="1416"/>
    </row>
    <row r="624" ht="15.75" customHeight="1">
      <c r="Z624" s="1416"/>
      <c r="AA624" s="1416"/>
    </row>
    <row r="625" ht="15.75" customHeight="1">
      <c r="Z625" s="1416"/>
      <c r="AA625" s="1416"/>
    </row>
    <row r="626" ht="15.75" customHeight="1">
      <c r="Z626" s="1416"/>
      <c r="AA626" s="1416"/>
    </row>
    <row r="627" ht="15.75" customHeight="1">
      <c r="Z627" s="1416"/>
      <c r="AA627" s="1416"/>
    </row>
    <row r="628" ht="15.75" customHeight="1">
      <c r="Z628" s="1416"/>
      <c r="AA628" s="1416"/>
    </row>
    <row r="629" ht="15.75" customHeight="1">
      <c r="Z629" s="1416"/>
      <c r="AA629" s="1416"/>
    </row>
    <row r="630" ht="15.75" customHeight="1">
      <c r="Z630" s="1416"/>
      <c r="AA630" s="1416"/>
    </row>
    <row r="631" ht="15.75" customHeight="1">
      <c r="Z631" s="1416"/>
      <c r="AA631" s="1416"/>
    </row>
    <row r="632" ht="15.75" customHeight="1">
      <c r="Z632" s="1416"/>
      <c r="AA632" s="1416"/>
    </row>
    <row r="633" ht="15.75" customHeight="1">
      <c r="Z633" s="1416"/>
      <c r="AA633" s="1416"/>
    </row>
    <row r="634" ht="15.75" customHeight="1">
      <c r="Z634" s="1416"/>
      <c r="AA634" s="1416"/>
    </row>
    <row r="635" ht="15.75" customHeight="1">
      <c r="Z635" s="1416"/>
      <c r="AA635" s="1416"/>
    </row>
    <row r="636" ht="15.75" customHeight="1">
      <c r="Z636" s="1416"/>
      <c r="AA636" s="1416"/>
    </row>
    <row r="637" ht="15.75" customHeight="1">
      <c r="Z637" s="1416"/>
      <c r="AA637" s="1416"/>
    </row>
    <row r="638" ht="15.75" customHeight="1">
      <c r="Z638" s="1416"/>
      <c r="AA638" s="1416"/>
    </row>
    <row r="639" ht="15.75" customHeight="1">
      <c r="Z639" s="1416"/>
      <c r="AA639" s="1416"/>
    </row>
    <row r="640" ht="15.75" customHeight="1">
      <c r="Z640" s="1416"/>
      <c r="AA640" s="1416"/>
    </row>
    <row r="641" ht="15.75" customHeight="1">
      <c r="Z641" s="1416"/>
      <c r="AA641" s="1416"/>
    </row>
    <row r="642" ht="15.75" customHeight="1">
      <c r="Z642" s="1416"/>
      <c r="AA642" s="1416"/>
    </row>
    <row r="643" ht="15.75" customHeight="1">
      <c r="Z643" s="1416"/>
      <c r="AA643" s="1416"/>
    </row>
    <row r="644" ht="15.75" customHeight="1">
      <c r="Z644" s="1416"/>
      <c r="AA644" s="1416"/>
    </row>
    <row r="645" ht="15.75" customHeight="1">
      <c r="Z645" s="1416"/>
      <c r="AA645" s="1416"/>
    </row>
    <row r="646" ht="15.75" customHeight="1">
      <c r="Z646" s="1416"/>
      <c r="AA646" s="1416"/>
    </row>
    <row r="647" ht="15.75" customHeight="1">
      <c r="Z647" s="1416"/>
      <c r="AA647" s="1416"/>
    </row>
    <row r="648" ht="15.75" customHeight="1">
      <c r="Z648" s="1416"/>
      <c r="AA648" s="1416"/>
    </row>
    <row r="649" ht="15.75" customHeight="1">
      <c r="Z649" s="1416"/>
      <c r="AA649" s="1416"/>
    </row>
    <row r="650" ht="15.75" customHeight="1">
      <c r="Z650" s="1416"/>
      <c r="AA650" s="1416"/>
    </row>
    <row r="651" ht="15.75" customHeight="1">
      <c r="Z651" s="1416"/>
      <c r="AA651" s="1416"/>
    </row>
    <row r="652" ht="15.75" customHeight="1">
      <c r="Z652" s="1416"/>
      <c r="AA652" s="1416"/>
    </row>
    <row r="653" ht="15.75" customHeight="1">
      <c r="Z653" s="1416"/>
      <c r="AA653" s="1416"/>
    </row>
    <row r="654" ht="15.75" customHeight="1">
      <c r="Z654" s="1416"/>
      <c r="AA654" s="1416"/>
    </row>
    <row r="655" ht="15.75" customHeight="1">
      <c r="Z655" s="1416"/>
      <c r="AA655" s="1416"/>
    </row>
    <row r="656" ht="15.75" customHeight="1">
      <c r="Z656" s="1416"/>
      <c r="AA656" s="1416"/>
    </row>
    <row r="657" ht="15.75" customHeight="1">
      <c r="Z657" s="1416"/>
      <c r="AA657" s="1416"/>
    </row>
    <row r="658" ht="15.75" customHeight="1">
      <c r="Z658" s="1416"/>
      <c r="AA658" s="1416"/>
    </row>
    <row r="659" ht="15.75" customHeight="1">
      <c r="Z659" s="1416"/>
      <c r="AA659" s="1416"/>
    </row>
    <row r="660" ht="15.75" customHeight="1">
      <c r="Z660" s="1416"/>
      <c r="AA660" s="1416"/>
    </row>
    <row r="661" ht="15.75" customHeight="1">
      <c r="Z661" s="1416"/>
      <c r="AA661" s="1416"/>
    </row>
    <row r="662" ht="15.75" customHeight="1">
      <c r="Z662" s="1416"/>
      <c r="AA662" s="1416"/>
    </row>
    <row r="663" ht="15.75" customHeight="1">
      <c r="Z663" s="1416"/>
      <c r="AA663" s="1416"/>
    </row>
    <row r="664" ht="15.75" customHeight="1">
      <c r="Z664" s="1416"/>
      <c r="AA664" s="1416"/>
    </row>
    <row r="665" ht="15.75" customHeight="1">
      <c r="Z665" s="1416"/>
      <c r="AA665" s="1416"/>
    </row>
    <row r="666" ht="15.75" customHeight="1">
      <c r="Z666" s="1416"/>
      <c r="AA666" s="1416"/>
    </row>
    <row r="667" ht="15.75" customHeight="1">
      <c r="Z667" s="1416"/>
      <c r="AA667" s="1416"/>
    </row>
    <row r="668" ht="15.75" customHeight="1">
      <c r="Z668" s="1416"/>
      <c r="AA668" s="1416"/>
    </row>
    <row r="669" ht="15.75" customHeight="1">
      <c r="Z669" s="1416"/>
      <c r="AA669" s="1416"/>
    </row>
    <row r="670" ht="15.75" customHeight="1">
      <c r="Z670" s="1416"/>
      <c r="AA670" s="1416"/>
    </row>
    <row r="671" ht="15.75" customHeight="1">
      <c r="Z671" s="1416"/>
      <c r="AA671" s="1416"/>
    </row>
    <row r="672" ht="15.75" customHeight="1">
      <c r="Z672" s="1416"/>
      <c r="AA672" s="1416"/>
    </row>
    <row r="673" ht="15.75" customHeight="1">
      <c r="Z673" s="1416"/>
      <c r="AA673" s="1416"/>
    </row>
    <row r="674" ht="15.75" customHeight="1">
      <c r="Z674" s="1416"/>
      <c r="AA674" s="1416"/>
    </row>
    <row r="675" ht="15.75" customHeight="1">
      <c r="Z675" s="1416"/>
      <c r="AA675" s="1416"/>
    </row>
    <row r="676" ht="15.75" customHeight="1">
      <c r="Z676" s="1416"/>
      <c r="AA676" s="1416"/>
    </row>
    <row r="677" ht="15.75" customHeight="1">
      <c r="Z677" s="1416"/>
      <c r="AA677" s="1416"/>
    </row>
    <row r="678" ht="15.75" customHeight="1">
      <c r="Z678" s="1416"/>
      <c r="AA678" s="1416"/>
    </row>
    <row r="679" ht="15.75" customHeight="1">
      <c r="Z679" s="1416"/>
      <c r="AA679" s="1416"/>
    </row>
    <row r="680" ht="15.75" customHeight="1">
      <c r="Z680" s="1416"/>
      <c r="AA680" s="1416"/>
    </row>
    <row r="681" ht="15.75" customHeight="1">
      <c r="Z681" s="1416"/>
      <c r="AA681" s="1416"/>
    </row>
    <row r="682" ht="15.75" customHeight="1">
      <c r="Z682" s="1416"/>
      <c r="AA682" s="1416"/>
    </row>
    <row r="683" ht="15.75" customHeight="1">
      <c r="Z683" s="1416"/>
      <c r="AA683" s="1416"/>
    </row>
    <row r="684" ht="15.75" customHeight="1">
      <c r="Z684" s="1416"/>
      <c r="AA684" s="1416"/>
    </row>
    <row r="685" ht="15.75" customHeight="1">
      <c r="Z685" s="1416"/>
      <c r="AA685" s="1416"/>
    </row>
    <row r="686" ht="15.75" customHeight="1">
      <c r="Z686" s="1416"/>
      <c r="AA686" s="1416"/>
    </row>
    <row r="687" ht="15.75" customHeight="1">
      <c r="Z687" s="1416"/>
      <c r="AA687" s="1416"/>
    </row>
    <row r="688" ht="15.75" customHeight="1">
      <c r="Z688" s="1416"/>
      <c r="AA688" s="1416"/>
    </row>
    <row r="689" ht="15.75" customHeight="1">
      <c r="Z689" s="1416"/>
      <c r="AA689" s="1416"/>
    </row>
    <row r="690" ht="15.75" customHeight="1">
      <c r="Z690" s="1416"/>
      <c r="AA690" s="1416"/>
    </row>
    <row r="691" ht="15.75" customHeight="1">
      <c r="Z691" s="1416"/>
      <c r="AA691" s="1416"/>
    </row>
    <row r="692" ht="15.75" customHeight="1">
      <c r="Z692" s="1416"/>
      <c r="AA692" s="1416"/>
    </row>
    <row r="693" ht="15.75" customHeight="1">
      <c r="Z693" s="1416"/>
      <c r="AA693" s="1416"/>
    </row>
    <row r="694" ht="15.75" customHeight="1">
      <c r="Z694" s="1416"/>
      <c r="AA694" s="1416"/>
    </row>
    <row r="695" ht="15.75" customHeight="1">
      <c r="Z695" s="1416"/>
      <c r="AA695" s="1416"/>
    </row>
    <row r="696" ht="15.75" customHeight="1">
      <c r="Z696" s="1416"/>
      <c r="AA696" s="1416"/>
    </row>
    <row r="697" ht="15.75" customHeight="1">
      <c r="Z697" s="1416"/>
      <c r="AA697" s="1416"/>
    </row>
    <row r="698" ht="15.75" customHeight="1">
      <c r="Z698" s="1416"/>
      <c r="AA698" s="1416"/>
    </row>
    <row r="699" ht="15.75" customHeight="1">
      <c r="Z699" s="1416"/>
      <c r="AA699" s="1416"/>
    </row>
    <row r="700" ht="15.75" customHeight="1">
      <c r="Z700" s="1416"/>
      <c r="AA700" s="1416"/>
    </row>
    <row r="701" ht="15.75" customHeight="1">
      <c r="Z701" s="1416"/>
      <c r="AA701" s="1416"/>
    </row>
    <row r="702" ht="15.75" customHeight="1">
      <c r="Z702" s="1416"/>
      <c r="AA702" s="1416"/>
    </row>
    <row r="703" ht="15.75" customHeight="1">
      <c r="Z703" s="1416"/>
      <c r="AA703" s="1416"/>
    </row>
    <row r="704" ht="15.75" customHeight="1">
      <c r="Z704" s="1416"/>
      <c r="AA704" s="1416"/>
    </row>
    <row r="705" ht="15.75" customHeight="1">
      <c r="Z705" s="1416"/>
      <c r="AA705" s="1416"/>
    </row>
    <row r="706" ht="15.75" customHeight="1">
      <c r="Z706" s="1416"/>
      <c r="AA706" s="1416"/>
    </row>
    <row r="707" ht="15.75" customHeight="1">
      <c r="Z707" s="1416"/>
      <c r="AA707" s="1416"/>
    </row>
    <row r="708" ht="15.75" customHeight="1">
      <c r="Z708" s="1416"/>
      <c r="AA708" s="1416"/>
    </row>
    <row r="709" ht="15.75" customHeight="1">
      <c r="Z709" s="1416"/>
      <c r="AA709" s="1416"/>
    </row>
    <row r="710" ht="15.75" customHeight="1">
      <c r="Z710" s="1416"/>
      <c r="AA710" s="1416"/>
    </row>
    <row r="711" ht="15.75" customHeight="1">
      <c r="Z711" s="1416"/>
      <c r="AA711" s="1416"/>
    </row>
    <row r="712" ht="15.75" customHeight="1">
      <c r="Z712" s="1416"/>
      <c r="AA712" s="1416"/>
    </row>
    <row r="713" ht="15.75" customHeight="1">
      <c r="Z713" s="1416"/>
      <c r="AA713" s="1416"/>
    </row>
    <row r="714" ht="15.75" customHeight="1">
      <c r="Z714" s="1416"/>
      <c r="AA714" s="1416"/>
    </row>
    <row r="715" ht="15.75" customHeight="1">
      <c r="Z715" s="1416"/>
      <c r="AA715" s="1416"/>
    </row>
    <row r="716" ht="15.75" customHeight="1">
      <c r="Z716" s="1416"/>
      <c r="AA716" s="1416"/>
    </row>
    <row r="717" ht="15.75" customHeight="1">
      <c r="Z717" s="1416"/>
      <c r="AA717" s="1416"/>
    </row>
    <row r="718" ht="15.75" customHeight="1">
      <c r="Z718" s="1416"/>
      <c r="AA718" s="1416"/>
    </row>
    <row r="719" ht="15.75" customHeight="1">
      <c r="Z719" s="1416"/>
      <c r="AA719" s="1416"/>
    </row>
    <row r="720" ht="15.75" customHeight="1">
      <c r="Z720" s="1416"/>
      <c r="AA720" s="1416"/>
    </row>
    <row r="721" ht="15.75" customHeight="1">
      <c r="Z721" s="1416"/>
      <c r="AA721" s="1416"/>
    </row>
    <row r="722" ht="15.75" customHeight="1">
      <c r="Z722" s="1416"/>
      <c r="AA722" s="1416"/>
    </row>
    <row r="723" ht="15.75" customHeight="1">
      <c r="Z723" s="1416"/>
      <c r="AA723" s="1416"/>
    </row>
    <row r="724" ht="15.75" customHeight="1">
      <c r="Z724" s="1416"/>
      <c r="AA724" s="1416"/>
    </row>
    <row r="725" ht="15.75" customHeight="1">
      <c r="Z725" s="1416"/>
      <c r="AA725" s="1416"/>
    </row>
    <row r="726" ht="15.75" customHeight="1">
      <c r="Z726" s="1416"/>
      <c r="AA726" s="1416"/>
    </row>
    <row r="727" ht="15.75" customHeight="1">
      <c r="Z727" s="1416"/>
      <c r="AA727" s="1416"/>
    </row>
    <row r="728" ht="15.75" customHeight="1">
      <c r="Z728" s="1416"/>
      <c r="AA728" s="1416"/>
    </row>
    <row r="729" ht="15.75" customHeight="1">
      <c r="Z729" s="1416"/>
      <c r="AA729" s="1416"/>
    </row>
    <row r="730" ht="15.75" customHeight="1">
      <c r="Z730" s="1416"/>
      <c r="AA730" s="1416"/>
    </row>
    <row r="731" ht="15.75" customHeight="1">
      <c r="Z731" s="1416"/>
      <c r="AA731" s="1416"/>
    </row>
    <row r="732" ht="15.75" customHeight="1">
      <c r="Z732" s="1416"/>
      <c r="AA732" s="1416"/>
    </row>
    <row r="733" ht="15.75" customHeight="1">
      <c r="Z733" s="1416"/>
      <c r="AA733" s="1416"/>
    </row>
    <row r="734" ht="15.75" customHeight="1">
      <c r="Z734" s="1416"/>
      <c r="AA734" s="1416"/>
    </row>
    <row r="735" ht="15.75" customHeight="1">
      <c r="Z735" s="1416"/>
      <c r="AA735" s="1416"/>
    </row>
    <row r="736" ht="15.75" customHeight="1">
      <c r="Z736" s="1416"/>
      <c r="AA736" s="1416"/>
    </row>
    <row r="737" ht="15.75" customHeight="1">
      <c r="Z737" s="1416"/>
      <c r="AA737" s="1416"/>
    </row>
    <row r="738" ht="15.75" customHeight="1">
      <c r="Z738" s="1416"/>
      <c r="AA738" s="1416"/>
    </row>
    <row r="739" ht="15.75" customHeight="1">
      <c r="Z739" s="1416"/>
      <c r="AA739" s="1416"/>
    </row>
    <row r="740" ht="15.75" customHeight="1">
      <c r="Z740" s="1416"/>
      <c r="AA740" s="1416"/>
    </row>
    <row r="741" ht="15.75" customHeight="1">
      <c r="Z741" s="1416"/>
      <c r="AA741" s="1416"/>
    </row>
    <row r="742" ht="15.75" customHeight="1">
      <c r="Z742" s="1416"/>
      <c r="AA742" s="1416"/>
    </row>
    <row r="743" ht="15.75" customHeight="1">
      <c r="Z743" s="1416"/>
      <c r="AA743" s="1416"/>
    </row>
    <row r="744" ht="15.75" customHeight="1">
      <c r="Z744" s="1416"/>
      <c r="AA744" s="1416"/>
    </row>
    <row r="745" ht="15.75" customHeight="1">
      <c r="Z745" s="1416"/>
      <c r="AA745" s="1416"/>
    </row>
    <row r="746" ht="15.75" customHeight="1">
      <c r="Z746" s="1416"/>
      <c r="AA746" s="1416"/>
    </row>
    <row r="747" ht="15.75" customHeight="1">
      <c r="Z747" s="1416"/>
      <c r="AA747" s="1416"/>
    </row>
    <row r="748" ht="15.75" customHeight="1">
      <c r="Z748" s="1416"/>
      <c r="AA748" s="1416"/>
    </row>
    <row r="749" ht="15.75" customHeight="1">
      <c r="Z749" s="1416"/>
      <c r="AA749" s="1416"/>
    </row>
    <row r="750" ht="15.75" customHeight="1">
      <c r="Z750" s="1416"/>
      <c r="AA750" s="1416"/>
    </row>
    <row r="751" ht="15.75" customHeight="1">
      <c r="Z751" s="1416"/>
      <c r="AA751" s="1416"/>
    </row>
    <row r="752" ht="15.75" customHeight="1">
      <c r="Z752" s="1416"/>
      <c r="AA752" s="1416"/>
    </row>
    <row r="753" ht="15.75" customHeight="1">
      <c r="Z753" s="1416"/>
      <c r="AA753" s="1416"/>
    </row>
    <row r="754" ht="15.75" customHeight="1">
      <c r="Z754" s="1416"/>
      <c r="AA754" s="1416"/>
    </row>
    <row r="755" ht="15.75" customHeight="1">
      <c r="Z755" s="1416"/>
      <c r="AA755" s="1416"/>
    </row>
    <row r="756" ht="15.75" customHeight="1">
      <c r="Z756" s="1416"/>
      <c r="AA756" s="1416"/>
    </row>
    <row r="757" ht="15.75" customHeight="1">
      <c r="Z757" s="1416"/>
      <c r="AA757" s="1416"/>
    </row>
    <row r="758" ht="15.75" customHeight="1">
      <c r="Z758" s="1416"/>
      <c r="AA758" s="1416"/>
    </row>
    <row r="759" ht="15.75" customHeight="1">
      <c r="Z759" s="1416"/>
      <c r="AA759" s="1416"/>
    </row>
    <row r="760" ht="15.75" customHeight="1">
      <c r="Z760" s="1416"/>
      <c r="AA760" s="1416"/>
    </row>
    <row r="761" ht="15.75" customHeight="1">
      <c r="Z761" s="1416"/>
      <c r="AA761" s="1416"/>
    </row>
    <row r="762" ht="15.75" customHeight="1">
      <c r="Z762" s="1416"/>
      <c r="AA762" s="1416"/>
    </row>
    <row r="763" ht="15.75" customHeight="1">
      <c r="Z763" s="1416"/>
      <c r="AA763" s="1416"/>
    </row>
    <row r="764" ht="15.75" customHeight="1">
      <c r="Z764" s="1416"/>
      <c r="AA764" s="1416"/>
    </row>
    <row r="765" ht="15.75" customHeight="1">
      <c r="Z765" s="1416"/>
      <c r="AA765" s="1416"/>
    </row>
    <row r="766" ht="15.75" customHeight="1">
      <c r="Z766" s="1416"/>
      <c r="AA766" s="1416"/>
    </row>
    <row r="767" ht="15.75" customHeight="1">
      <c r="Z767" s="1416"/>
      <c r="AA767" s="1416"/>
    </row>
    <row r="768" ht="15.75" customHeight="1">
      <c r="Z768" s="1416"/>
      <c r="AA768" s="1416"/>
    </row>
    <row r="769" ht="15.75" customHeight="1">
      <c r="Z769" s="1416"/>
      <c r="AA769" s="1416"/>
    </row>
    <row r="770" ht="15.75" customHeight="1">
      <c r="Z770" s="1416"/>
      <c r="AA770" s="1416"/>
    </row>
    <row r="771" ht="15.75" customHeight="1">
      <c r="Z771" s="1416"/>
      <c r="AA771" s="1416"/>
    </row>
    <row r="772" ht="15.75" customHeight="1">
      <c r="Z772" s="1416"/>
      <c r="AA772" s="1416"/>
    </row>
    <row r="773" ht="15.75" customHeight="1">
      <c r="Z773" s="1416"/>
      <c r="AA773" s="1416"/>
    </row>
    <row r="774" ht="15.75" customHeight="1">
      <c r="Z774" s="1416"/>
      <c r="AA774" s="1416"/>
    </row>
    <row r="775" ht="15.75" customHeight="1">
      <c r="Z775" s="1416"/>
      <c r="AA775" s="1416"/>
    </row>
    <row r="776" ht="15.75" customHeight="1">
      <c r="Z776" s="1416"/>
      <c r="AA776" s="1416"/>
    </row>
    <row r="777" ht="15.75" customHeight="1">
      <c r="Z777" s="1416"/>
      <c r="AA777" s="1416"/>
    </row>
    <row r="778" ht="15.75" customHeight="1">
      <c r="Z778" s="1416"/>
      <c r="AA778" s="1416"/>
    </row>
    <row r="779" ht="15.75" customHeight="1">
      <c r="Z779" s="1416"/>
      <c r="AA779" s="1416"/>
    </row>
    <row r="780" ht="15.75" customHeight="1">
      <c r="Z780" s="1416"/>
      <c r="AA780" s="1416"/>
    </row>
    <row r="781" ht="15.75" customHeight="1">
      <c r="Z781" s="1416"/>
      <c r="AA781" s="1416"/>
    </row>
    <row r="782" ht="15.75" customHeight="1">
      <c r="Z782" s="1416"/>
      <c r="AA782" s="1416"/>
    </row>
    <row r="783" ht="15.75" customHeight="1">
      <c r="Z783" s="1416"/>
      <c r="AA783" s="1416"/>
    </row>
    <row r="784" ht="15.75" customHeight="1">
      <c r="Z784" s="1416"/>
      <c r="AA784" s="1416"/>
    </row>
    <row r="785" ht="15.75" customHeight="1">
      <c r="Z785" s="1416"/>
      <c r="AA785" s="1416"/>
    </row>
    <row r="786" ht="15.75" customHeight="1">
      <c r="Z786" s="1416"/>
      <c r="AA786" s="1416"/>
    </row>
    <row r="787" ht="15.75" customHeight="1">
      <c r="Z787" s="1416"/>
      <c r="AA787" s="1416"/>
    </row>
    <row r="788" ht="15.75" customHeight="1">
      <c r="Z788" s="1416"/>
      <c r="AA788" s="1416"/>
    </row>
    <row r="789" ht="15.75" customHeight="1">
      <c r="Z789" s="1416"/>
      <c r="AA789" s="1416"/>
    </row>
    <row r="790" ht="15.75" customHeight="1">
      <c r="Z790" s="1416"/>
      <c r="AA790" s="1416"/>
    </row>
    <row r="791" ht="15.75" customHeight="1">
      <c r="Z791" s="1416"/>
      <c r="AA791" s="1416"/>
    </row>
    <row r="792" ht="15.75" customHeight="1">
      <c r="Z792" s="1416"/>
      <c r="AA792" s="1416"/>
    </row>
    <row r="793" ht="15.75" customHeight="1">
      <c r="Z793" s="1416"/>
      <c r="AA793" s="1416"/>
    </row>
    <row r="794" ht="15.75" customHeight="1">
      <c r="Z794" s="1416"/>
      <c r="AA794" s="1416"/>
    </row>
    <row r="795" ht="15.75" customHeight="1">
      <c r="Z795" s="1416"/>
      <c r="AA795" s="1416"/>
    </row>
    <row r="796" ht="15.75" customHeight="1">
      <c r="Z796" s="1416"/>
      <c r="AA796" s="1416"/>
    </row>
    <row r="797" ht="15.75" customHeight="1">
      <c r="Z797" s="1416"/>
      <c r="AA797" s="1416"/>
    </row>
    <row r="798" ht="15.75" customHeight="1">
      <c r="Z798" s="1416"/>
      <c r="AA798" s="1416"/>
    </row>
    <row r="799" ht="15.75" customHeight="1">
      <c r="Z799" s="1416"/>
      <c r="AA799" s="1416"/>
    </row>
    <row r="800" ht="15.75" customHeight="1">
      <c r="Z800" s="1416"/>
      <c r="AA800" s="1416"/>
    </row>
    <row r="801" ht="15.75" customHeight="1">
      <c r="Z801" s="1416"/>
      <c r="AA801" s="1416"/>
    </row>
    <row r="802" ht="15.75" customHeight="1">
      <c r="Z802" s="1416"/>
      <c r="AA802" s="1416"/>
    </row>
    <row r="803" ht="15.75" customHeight="1">
      <c r="Z803" s="1416"/>
      <c r="AA803" s="1416"/>
    </row>
    <row r="804" ht="15.75" customHeight="1">
      <c r="Z804" s="1416"/>
      <c r="AA804" s="1416"/>
    </row>
    <row r="805" ht="15.75" customHeight="1">
      <c r="Z805" s="1416"/>
      <c r="AA805" s="1416"/>
    </row>
    <row r="806" ht="15.75" customHeight="1">
      <c r="Z806" s="1416"/>
      <c r="AA806" s="1416"/>
    </row>
    <row r="807" ht="15.75" customHeight="1">
      <c r="Z807" s="1416"/>
      <c r="AA807" s="1416"/>
    </row>
    <row r="808" ht="15.75" customHeight="1">
      <c r="Z808" s="1416"/>
      <c r="AA808" s="1416"/>
    </row>
    <row r="809" ht="15.75" customHeight="1">
      <c r="Z809" s="1416"/>
      <c r="AA809" s="1416"/>
    </row>
    <row r="810" ht="15.75" customHeight="1">
      <c r="Z810" s="1416"/>
      <c r="AA810" s="1416"/>
    </row>
    <row r="811" ht="15.75" customHeight="1">
      <c r="Z811" s="1416"/>
      <c r="AA811" s="1416"/>
    </row>
    <row r="812" ht="15.75" customHeight="1">
      <c r="Z812" s="1416"/>
      <c r="AA812" s="1416"/>
    </row>
    <row r="813" ht="15.75" customHeight="1">
      <c r="Z813" s="1416"/>
      <c r="AA813" s="1416"/>
    </row>
    <row r="814" ht="15.75" customHeight="1">
      <c r="Z814" s="1416"/>
      <c r="AA814" s="1416"/>
    </row>
    <row r="815" ht="15.75" customHeight="1">
      <c r="Z815" s="1416"/>
      <c r="AA815" s="1416"/>
    </row>
    <row r="816" ht="15.75" customHeight="1">
      <c r="Z816" s="1416"/>
      <c r="AA816" s="1416"/>
    </row>
    <row r="817" ht="15.75" customHeight="1">
      <c r="Z817" s="1416"/>
      <c r="AA817" s="1416"/>
    </row>
    <row r="818" ht="15.75" customHeight="1">
      <c r="Z818" s="1416"/>
      <c r="AA818" s="1416"/>
    </row>
    <row r="819" ht="15.75" customHeight="1">
      <c r="Z819" s="1416"/>
      <c r="AA819" s="1416"/>
    </row>
    <row r="820" ht="15.75" customHeight="1">
      <c r="Z820" s="1416"/>
      <c r="AA820" s="1416"/>
    </row>
    <row r="821" ht="15.75" customHeight="1">
      <c r="Z821" s="1416"/>
      <c r="AA821" s="1416"/>
    </row>
    <row r="822" ht="15.75" customHeight="1">
      <c r="Z822" s="1416"/>
      <c r="AA822" s="1416"/>
    </row>
    <row r="823" ht="15.75" customHeight="1">
      <c r="Z823" s="1416"/>
      <c r="AA823" s="1416"/>
    </row>
    <row r="824" ht="15.75" customHeight="1">
      <c r="Z824" s="1416"/>
      <c r="AA824" s="1416"/>
    </row>
    <row r="825" ht="15.75" customHeight="1">
      <c r="Z825" s="1416"/>
      <c r="AA825" s="1416"/>
    </row>
    <row r="826" ht="15.75" customHeight="1">
      <c r="Z826" s="1416"/>
      <c r="AA826" s="1416"/>
    </row>
    <row r="827" ht="15.75" customHeight="1">
      <c r="Z827" s="1416"/>
      <c r="AA827" s="1416"/>
    </row>
    <row r="828" ht="15.75" customHeight="1">
      <c r="Z828" s="1416"/>
      <c r="AA828" s="1416"/>
    </row>
    <row r="829" ht="15.75" customHeight="1">
      <c r="Z829" s="1416"/>
      <c r="AA829" s="1416"/>
    </row>
    <row r="830" ht="15.75" customHeight="1">
      <c r="Z830" s="1416"/>
      <c r="AA830" s="1416"/>
    </row>
    <row r="831" ht="15.75" customHeight="1">
      <c r="Z831" s="1416"/>
      <c r="AA831" s="1416"/>
    </row>
    <row r="832" ht="15.75" customHeight="1">
      <c r="Z832" s="1416"/>
      <c r="AA832" s="1416"/>
    </row>
    <row r="833" ht="15.75" customHeight="1">
      <c r="Z833" s="1416"/>
      <c r="AA833" s="1416"/>
    </row>
    <row r="834" ht="15.75" customHeight="1">
      <c r="Z834" s="1416"/>
      <c r="AA834" s="1416"/>
    </row>
    <row r="835" ht="15.75" customHeight="1">
      <c r="Z835" s="1416"/>
      <c r="AA835" s="1416"/>
    </row>
    <row r="836" ht="15.75" customHeight="1">
      <c r="Z836" s="1416"/>
      <c r="AA836" s="1416"/>
    </row>
    <row r="837" ht="15.75" customHeight="1">
      <c r="Z837" s="1416"/>
      <c r="AA837" s="1416"/>
    </row>
    <row r="838" ht="15.75" customHeight="1">
      <c r="Z838" s="1416"/>
      <c r="AA838" s="1416"/>
    </row>
    <row r="839" ht="15.75" customHeight="1">
      <c r="Z839" s="1416"/>
      <c r="AA839" s="1416"/>
    </row>
    <row r="840" ht="15.75" customHeight="1">
      <c r="Z840" s="1416"/>
      <c r="AA840" s="1416"/>
    </row>
    <row r="841" ht="15.75" customHeight="1">
      <c r="Z841" s="1416"/>
      <c r="AA841" s="1416"/>
    </row>
    <row r="842" ht="15.75" customHeight="1">
      <c r="Z842" s="1416"/>
      <c r="AA842" s="1416"/>
    </row>
    <row r="843" ht="15.75" customHeight="1">
      <c r="Z843" s="1416"/>
      <c r="AA843" s="1416"/>
    </row>
    <row r="844" ht="15.75" customHeight="1">
      <c r="Z844" s="1416"/>
      <c r="AA844" s="1416"/>
    </row>
    <row r="845" ht="15.75" customHeight="1">
      <c r="Z845" s="1416"/>
      <c r="AA845" s="1416"/>
    </row>
    <row r="846" ht="15.75" customHeight="1">
      <c r="Z846" s="1416"/>
      <c r="AA846" s="1416"/>
    </row>
    <row r="847" ht="15.75" customHeight="1">
      <c r="Z847" s="1416"/>
      <c r="AA847" s="1416"/>
    </row>
    <row r="848" ht="15.75" customHeight="1">
      <c r="Z848" s="1416"/>
      <c r="AA848" s="1416"/>
    </row>
    <row r="849" ht="15.75" customHeight="1">
      <c r="Z849" s="1416"/>
      <c r="AA849" s="1416"/>
    </row>
    <row r="850" ht="15.75" customHeight="1">
      <c r="Z850" s="1416"/>
      <c r="AA850" s="1416"/>
    </row>
    <row r="851" ht="15.75" customHeight="1">
      <c r="Z851" s="1416"/>
      <c r="AA851" s="1416"/>
    </row>
    <row r="852" ht="15.75" customHeight="1">
      <c r="Z852" s="1416"/>
      <c r="AA852" s="1416"/>
    </row>
    <row r="853" ht="15.75" customHeight="1">
      <c r="Z853" s="1416"/>
      <c r="AA853" s="1416"/>
    </row>
    <row r="854" ht="15.75" customHeight="1">
      <c r="Z854" s="1416"/>
      <c r="AA854" s="1416"/>
    </row>
    <row r="855" ht="15.75" customHeight="1">
      <c r="Z855" s="1416"/>
      <c r="AA855" s="1416"/>
    </row>
    <row r="856" ht="15.75" customHeight="1">
      <c r="Z856" s="1416"/>
      <c r="AA856" s="1416"/>
    </row>
    <row r="857" ht="15.75" customHeight="1">
      <c r="Z857" s="1416"/>
      <c r="AA857" s="1416"/>
    </row>
    <row r="858" ht="15.75" customHeight="1">
      <c r="Z858" s="1416"/>
      <c r="AA858" s="1416"/>
    </row>
    <row r="859" ht="15.75" customHeight="1">
      <c r="Z859" s="1416"/>
      <c r="AA859" s="1416"/>
    </row>
    <row r="860" ht="15.75" customHeight="1">
      <c r="Z860" s="1416"/>
      <c r="AA860" s="1416"/>
    </row>
    <row r="861" ht="15.75" customHeight="1">
      <c r="Z861" s="1416"/>
      <c r="AA861" s="1416"/>
    </row>
    <row r="862" ht="15.75" customHeight="1">
      <c r="Z862" s="1416"/>
      <c r="AA862" s="1416"/>
    </row>
    <row r="863" ht="15.75" customHeight="1">
      <c r="Z863" s="1416"/>
      <c r="AA863" s="1416"/>
    </row>
    <row r="864" ht="15.75" customHeight="1">
      <c r="Z864" s="1416"/>
      <c r="AA864" s="1416"/>
    </row>
    <row r="865" ht="15.75" customHeight="1">
      <c r="Z865" s="1416"/>
      <c r="AA865" s="1416"/>
    </row>
    <row r="866" ht="15.75" customHeight="1">
      <c r="Z866" s="1416"/>
      <c r="AA866" s="1416"/>
    </row>
    <row r="867" ht="15.75" customHeight="1">
      <c r="Z867" s="1416"/>
      <c r="AA867" s="1416"/>
    </row>
    <row r="868" ht="15.75" customHeight="1">
      <c r="Z868" s="1416"/>
      <c r="AA868" s="1416"/>
    </row>
    <row r="869" ht="15.75" customHeight="1">
      <c r="Z869" s="1416"/>
      <c r="AA869" s="1416"/>
    </row>
    <row r="870" ht="15.75" customHeight="1">
      <c r="Z870" s="1416"/>
      <c r="AA870" s="1416"/>
    </row>
    <row r="871" ht="15.75" customHeight="1">
      <c r="Z871" s="1416"/>
      <c r="AA871" s="1416"/>
    </row>
    <row r="872" ht="15.75" customHeight="1">
      <c r="Z872" s="1416"/>
      <c r="AA872" s="1416"/>
    </row>
    <row r="873" ht="15.75" customHeight="1">
      <c r="Z873" s="1416"/>
      <c r="AA873" s="1416"/>
    </row>
    <row r="874" ht="15.75" customHeight="1">
      <c r="Z874" s="1416"/>
      <c r="AA874" s="1416"/>
    </row>
    <row r="875" ht="15.75" customHeight="1">
      <c r="Z875" s="1416"/>
      <c r="AA875" s="1416"/>
    </row>
    <row r="876" ht="15.75" customHeight="1">
      <c r="Z876" s="1416"/>
      <c r="AA876" s="1416"/>
    </row>
    <row r="877" ht="15.75" customHeight="1">
      <c r="Z877" s="1416"/>
      <c r="AA877" s="1416"/>
    </row>
    <row r="878" ht="15.75" customHeight="1">
      <c r="Z878" s="1416"/>
      <c r="AA878" s="1416"/>
    </row>
    <row r="879" ht="15.75" customHeight="1">
      <c r="Z879" s="1416"/>
      <c r="AA879" s="1416"/>
    </row>
    <row r="880" ht="15.75" customHeight="1">
      <c r="Z880" s="1416"/>
      <c r="AA880" s="1416"/>
    </row>
    <row r="881" ht="15.75" customHeight="1">
      <c r="Z881" s="1416"/>
      <c r="AA881" s="1416"/>
    </row>
    <row r="882" ht="15.75" customHeight="1">
      <c r="Z882" s="1416"/>
      <c r="AA882" s="1416"/>
    </row>
    <row r="883" ht="15.75" customHeight="1">
      <c r="Z883" s="1416"/>
      <c r="AA883" s="1416"/>
    </row>
    <row r="884" ht="15.75" customHeight="1">
      <c r="Z884" s="1416"/>
      <c r="AA884" s="1416"/>
    </row>
    <row r="885" ht="15.75" customHeight="1">
      <c r="Z885" s="1416"/>
      <c r="AA885" s="1416"/>
    </row>
    <row r="886" ht="15.75" customHeight="1">
      <c r="Z886" s="1416"/>
      <c r="AA886" s="1416"/>
    </row>
    <row r="887" ht="15.75" customHeight="1">
      <c r="Z887" s="1416"/>
      <c r="AA887" s="1416"/>
    </row>
    <row r="888" ht="15.75" customHeight="1">
      <c r="Z888" s="1416"/>
      <c r="AA888" s="1416"/>
    </row>
    <row r="889" ht="15.75" customHeight="1">
      <c r="Z889" s="1416"/>
      <c r="AA889" s="1416"/>
    </row>
    <row r="890" ht="15.75" customHeight="1">
      <c r="Z890" s="1416"/>
      <c r="AA890" s="1416"/>
    </row>
    <row r="891" ht="15.75" customHeight="1">
      <c r="Z891" s="1416"/>
      <c r="AA891" s="1416"/>
    </row>
    <row r="892" ht="15.75" customHeight="1">
      <c r="Z892" s="1416"/>
      <c r="AA892" s="1416"/>
    </row>
    <row r="893" ht="15.75" customHeight="1">
      <c r="Z893" s="1416"/>
      <c r="AA893" s="1416"/>
    </row>
    <row r="894" ht="15.75" customHeight="1">
      <c r="Z894" s="1416"/>
      <c r="AA894" s="1416"/>
    </row>
    <row r="895" ht="15.75" customHeight="1">
      <c r="Z895" s="1416"/>
      <c r="AA895" s="1416"/>
    </row>
    <row r="896" ht="15.75" customHeight="1">
      <c r="Z896" s="1416"/>
      <c r="AA896" s="1416"/>
    </row>
    <row r="897" ht="15.75" customHeight="1">
      <c r="Z897" s="1416"/>
      <c r="AA897" s="1416"/>
    </row>
    <row r="898" ht="15.75" customHeight="1">
      <c r="Z898" s="1416"/>
      <c r="AA898" s="1416"/>
    </row>
    <row r="899" ht="15.75" customHeight="1">
      <c r="Z899" s="1416"/>
      <c r="AA899" s="1416"/>
    </row>
    <row r="900" ht="15.75" customHeight="1">
      <c r="Z900" s="1416"/>
      <c r="AA900" s="1416"/>
    </row>
    <row r="901" ht="15.75" customHeight="1">
      <c r="Z901" s="1416"/>
      <c r="AA901" s="1416"/>
    </row>
    <row r="902" ht="15.75" customHeight="1">
      <c r="Z902" s="1416"/>
      <c r="AA902" s="1416"/>
    </row>
    <row r="903" ht="15.75" customHeight="1">
      <c r="Z903" s="1416"/>
      <c r="AA903" s="1416"/>
    </row>
    <row r="904" ht="15.75" customHeight="1">
      <c r="Z904" s="1416"/>
      <c r="AA904" s="1416"/>
    </row>
    <row r="905" ht="15.75" customHeight="1">
      <c r="Z905" s="1416"/>
      <c r="AA905" s="1416"/>
    </row>
    <row r="906" ht="15.75" customHeight="1">
      <c r="Z906" s="1416"/>
      <c r="AA906" s="1416"/>
    </row>
    <row r="907" ht="15.75" customHeight="1">
      <c r="Z907" s="1416"/>
      <c r="AA907" s="1416"/>
    </row>
    <row r="908" ht="15.75" customHeight="1">
      <c r="Z908" s="1416"/>
      <c r="AA908" s="1416"/>
    </row>
    <row r="909" ht="15.75" customHeight="1">
      <c r="Z909" s="1416"/>
      <c r="AA909" s="1416"/>
    </row>
    <row r="910" ht="15.75" customHeight="1">
      <c r="Z910" s="1416"/>
      <c r="AA910" s="1416"/>
    </row>
    <row r="911" ht="15.75" customHeight="1">
      <c r="Z911" s="1416"/>
      <c r="AA911" s="1416"/>
    </row>
    <row r="912" ht="15.75" customHeight="1">
      <c r="Z912" s="1416"/>
      <c r="AA912" s="1416"/>
    </row>
    <row r="913" ht="15.75" customHeight="1">
      <c r="Z913" s="1416"/>
      <c r="AA913" s="1416"/>
    </row>
    <row r="914" ht="15.75" customHeight="1">
      <c r="Z914" s="1416"/>
      <c r="AA914" s="1416"/>
    </row>
    <row r="915" ht="15.75" customHeight="1">
      <c r="Z915" s="1416"/>
      <c r="AA915" s="1416"/>
    </row>
    <row r="916" ht="15.75" customHeight="1">
      <c r="Z916" s="1416"/>
      <c r="AA916" s="1416"/>
    </row>
    <row r="917" ht="15.75" customHeight="1">
      <c r="Z917" s="1416"/>
      <c r="AA917" s="1416"/>
    </row>
    <row r="918" ht="15.75" customHeight="1">
      <c r="Z918" s="1416"/>
      <c r="AA918" s="1416"/>
    </row>
    <row r="919" ht="15.75" customHeight="1">
      <c r="Z919" s="1416"/>
      <c r="AA919" s="1416"/>
    </row>
    <row r="920" ht="15.75" customHeight="1">
      <c r="Z920" s="1416"/>
      <c r="AA920" s="1416"/>
    </row>
    <row r="921" ht="15.75" customHeight="1">
      <c r="Z921" s="1416"/>
      <c r="AA921" s="1416"/>
    </row>
    <row r="922" ht="15.75" customHeight="1">
      <c r="Z922" s="1416"/>
      <c r="AA922" s="1416"/>
    </row>
    <row r="923" ht="15.75" customHeight="1">
      <c r="Z923" s="1416"/>
      <c r="AA923" s="1416"/>
    </row>
    <row r="924" ht="15.75" customHeight="1">
      <c r="Z924" s="1416"/>
      <c r="AA924" s="1416"/>
    </row>
    <row r="925" ht="15.75" customHeight="1">
      <c r="Z925" s="1416"/>
      <c r="AA925" s="1416"/>
    </row>
    <row r="926" ht="15.75" customHeight="1">
      <c r="Z926" s="1416"/>
      <c r="AA926" s="1416"/>
    </row>
    <row r="927" ht="15.75" customHeight="1">
      <c r="Z927" s="1416"/>
      <c r="AA927" s="1416"/>
    </row>
    <row r="928" ht="15.75" customHeight="1">
      <c r="Z928" s="1416"/>
      <c r="AA928" s="1416"/>
    </row>
    <row r="929" ht="15.75" customHeight="1">
      <c r="Z929" s="1416"/>
      <c r="AA929" s="1416"/>
    </row>
    <row r="930" ht="15.75" customHeight="1">
      <c r="Z930" s="1416"/>
      <c r="AA930" s="1416"/>
    </row>
    <row r="931" ht="15.75" customHeight="1">
      <c r="Z931" s="1416"/>
      <c r="AA931" s="1416"/>
    </row>
    <row r="932" ht="15.75" customHeight="1">
      <c r="Z932" s="1416"/>
      <c r="AA932" s="1416"/>
    </row>
    <row r="933" ht="15.75" customHeight="1">
      <c r="Z933" s="1416"/>
      <c r="AA933" s="1416"/>
    </row>
    <row r="934" ht="15.75" customHeight="1">
      <c r="Z934" s="1416"/>
      <c r="AA934" s="1416"/>
    </row>
    <row r="935" ht="15.75" customHeight="1">
      <c r="Z935" s="1416"/>
      <c r="AA935" s="1416"/>
    </row>
    <row r="936" ht="15.75" customHeight="1">
      <c r="Z936" s="1416"/>
      <c r="AA936" s="1416"/>
    </row>
    <row r="937" ht="15.75" customHeight="1">
      <c r="Z937" s="1416"/>
      <c r="AA937" s="1416"/>
    </row>
    <row r="938" ht="15.75" customHeight="1">
      <c r="Z938" s="1416"/>
      <c r="AA938" s="1416"/>
    </row>
    <row r="939" ht="15.75" customHeight="1">
      <c r="Z939" s="1416"/>
      <c r="AA939" s="1416"/>
    </row>
    <row r="940" ht="15.75" customHeight="1">
      <c r="Z940" s="1416"/>
      <c r="AA940" s="1416"/>
    </row>
    <row r="941" ht="15.75" customHeight="1">
      <c r="Z941" s="1416"/>
      <c r="AA941" s="1416"/>
    </row>
    <row r="942" ht="15.75" customHeight="1">
      <c r="Z942" s="1416"/>
      <c r="AA942" s="1416"/>
    </row>
    <row r="943" ht="15.75" customHeight="1">
      <c r="Z943" s="1416"/>
      <c r="AA943" s="1416"/>
    </row>
    <row r="944" ht="15.75" customHeight="1">
      <c r="Z944" s="1416"/>
      <c r="AA944" s="1416"/>
    </row>
    <row r="945" ht="15.75" customHeight="1">
      <c r="Z945" s="1416"/>
      <c r="AA945" s="1416"/>
    </row>
    <row r="946" ht="15.75" customHeight="1">
      <c r="Z946" s="1416"/>
      <c r="AA946" s="1416"/>
    </row>
    <row r="947" ht="15.75" customHeight="1">
      <c r="Z947" s="1416"/>
      <c r="AA947" s="1416"/>
    </row>
    <row r="948" ht="15.75" customHeight="1">
      <c r="Z948" s="1416"/>
      <c r="AA948" s="1416"/>
    </row>
    <row r="949" ht="15.75" customHeight="1">
      <c r="Z949" s="1416"/>
      <c r="AA949" s="1416"/>
    </row>
    <row r="950" ht="15.75" customHeight="1">
      <c r="Z950" s="1416"/>
      <c r="AA950" s="1416"/>
    </row>
    <row r="951" ht="15.75" customHeight="1">
      <c r="Z951" s="1416"/>
      <c r="AA951" s="1416"/>
    </row>
    <row r="952" ht="15.75" customHeight="1">
      <c r="Z952" s="1416"/>
      <c r="AA952" s="1416"/>
    </row>
    <row r="953" ht="15.75" customHeight="1">
      <c r="Z953" s="1416"/>
      <c r="AA953" s="1416"/>
    </row>
    <row r="954" ht="15.75" customHeight="1">
      <c r="Z954" s="1416"/>
      <c r="AA954" s="1416"/>
    </row>
    <row r="955" ht="15.75" customHeight="1">
      <c r="Z955" s="1416"/>
      <c r="AA955" s="1416"/>
    </row>
    <row r="956" ht="15.75" customHeight="1">
      <c r="Z956" s="1416"/>
      <c r="AA956" s="1416"/>
    </row>
    <row r="957" ht="15.75" customHeight="1">
      <c r="Z957" s="1416"/>
      <c r="AA957" s="1416"/>
    </row>
    <row r="958" ht="15.75" customHeight="1">
      <c r="Z958" s="1416"/>
      <c r="AA958" s="1416"/>
    </row>
    <row r="959" ht="15.75" customHeight="1">
      <c r="Z959" s="1416"/>
      <c r="AA959" s="1416"/>
    </row>
    <row r="960" ht="15.75" customHeight="1">
      <c r="Z960" s="1416"/>
      <c r="AA960" s="1416"/>
    </row>
    <row r="961" ht="15.75" customHeight="1">
      <c r="Z961" s="1416"/>
      <c r="AA961" s="1416"/>
    </row>
    <row r="962" ht="15.75" customHeight="1">
      <c r="Z962" s="1416"/>
      <c r="AA962" s="1416"/>
    </row>
    <row r="963" ht="15.75" customHeight="1">
      <c r="Z963" s="1416"/>
      <c r="AA963" s="1416"/>
    </row>
    <row r="964" ht="15.75" customHeight="1">
      <c r="Z964" s="1416"/>
      <c r="AA964" s="1416"/>
    </row>
    <row r="965" ht="15.75" customHeight="1">
      <c r="Z965" s="1416"/>
      <c r="AA965" s="1416"/>
    </row>
    <row r="966" ht="15.75" customHeight="1">
      <c r="Z966" s="1416"/>
      <c r="AA966" s="1416"/>
    </row>
    <row r="967" ht="15.75" customHeight="1">
      <c r="Z967" s="1416"/>
      <c r="AA967" s="1416"/>
    </row>
    <row r="968" ht="15.75" customHeight="1">
      <c r="Z968" s="1416"/>
      <c r="AA968" s="1416"/>
    </row>
    <row r="969" ht="15.75" customHeight="1">
      <c r="Z969" s="1416"/>
      <c r="AA969" s="1416"/>
    </row>
    <row r="970" ht="15.75" customHeight="1">
      <c r="Z970" s="1416"/>
      <c r="AA970" s="1416"/>
    </row>
    <row r="971" ht="15.75" customHeight="1">
      <c r="Z971" s="1416"/>
      <c r="AA971" s="1416"/>
    </row>
    <row r="972" ht="15.75" customHeight="1">
      <c r="Z972" s="1416"/>
      <c r="AA972" s="1416"/>
    </row>
    <row r="973" ht="15.75" customHeight="1">
      <c r="Z973" s="1416"/>
      <c r="AA973" s="1416"/>
    </row>
    <row r="974" ht="15.75" customHeight="1">
      <c r="Z974" s="1416"/>
      <c r="AA974" s="1416"/>
    </row>
    <row r="975" ht="15.75" customHeight="1">
      <c r="Z975" s="1416"/>
      <c r="AA975" s="1416"/>
    </row>
    <row r="976" ht="15.75" customHeight="1">
      <c r="Z976" s="1416"/>
      <c r="AA976" s="1416"/>
    </row>
    <row r="977" ht="15.75" customHeight="1">
      <c r="Z977" s="1416"/>
      <c r="AA977" s="1416"/>
    </row>
    <row r="978" ht="15.75" customHeight="1">
      <c r="Z978" s="1416"/>
      <c r="AA978" s="1416"/>
    </row>
    <row r="979" ht="15.75" customHeight="1">
      <c r="Z979" s="1416"/>
      <c r="AA979" s="1416"/>
    </row>
    <row r="980" ht="15.75" customHeight="1">
      <c r="Z980" s="1416"/>
      <c r="AA980" s="1416"/>
    </row>
    <row r="981" ht="15.75" customHeight="1">
      <c r="Z981" s="1416"/>
      <c r="AA981" s="1416"/>
    </row>
    <row r="982" ht="15.75" customHeight="1">
      <c r="Z982" s="1416"/>
      <c r="AA982" s="1416"/>
    </row>
    <row r="983" ht="15.75" customHeight="1">
      <c r="Z983" s="1416"/>
      <c r="AA983" s="1416"/>
    </row>
    <row r="984" ht="15.75" customHeight="1">
      <c r="Z984" s="1416"/>
      <c r="AA984" s="1416"/>
    </row>
    <row r="985" ht="15.75" customHeight="1">
      <c r="Z985" s="1416"/>
      <c r="AA985" s="1416"/>
    </row>
    <row r="986" ht="15.75" customHeight="1">
      <c r="Z986" s="1416"/>
      <c r="AA986" s="1416"/>
    </row>
    <row r="987" ht="15.75" customHeight="1">
      <c r="Z987" s="1416"/>
      <c r="AA987" s="1416"/>
    </row>
    <row r="988" ht="15.75" customHeight="1">
      <c r="Z988" s="1416"/>
      <c r="AA988" s="1416"/>
    </row>
    <row r="989" ht="15.75" customHeight="1">
      <c r="Z989" s="1416"/>
      <c r="AA989" s="1416"/>
    </row>
    <row r="990" ht="15.75" customHeight="1">
      <c r="Z990" s="1416"/>
      <c r="AA990" s="1416"/>
    </row>
    <row r="991" ht="15.75" customHeight="1">
      <c r="Z991" s="1416"/>
      <c r="AA991" s="1416"/>
    </row>
    <row r="992" ht="15.75" customHeight="1">
      <c r="Z992" s="1416"/>
      <c r="AA992" s="1416"/>
    </row>
    <row r="993" ht="15.75" customHeight="1">
      <c r="Z993" s="1416"/>
      <c r="AA993" s="1416"/>
    </row>
    <row r="994" ht="15.75" customHeight="1">
      <c r="Z994" s="1416"/>
      <c r="AA994" s="1416"/>
    </row>
    <row r="995" ht="15.75" customHeight="1">
      <c r="Z995" s="1416"/>
      <c r="AA995" s="1416"/>
    </row>
    <row r="996" ht="15.75" customHeight="1">
      <c r="Z996" s="1416"/>
      <c r="AA996" s="1416"/>
    </row>
    <row r="997" ht="15.75" customHeight="1">
      <c r="Z997" s="1416"/>
      <c r="AA997" s="1416"/>
    </row>
    <row r="998" ht="15.75" customHeight="1">
      <c r="Z998" s="1416"/>
      <c r="AA998" s="1416"/>
    </row>
    <row r="999" ht="15.75" customHeight="1">
      <c r="Z999" s="1416"/>
      <c r="AA999" s="1416"/>
    </row>
    <row r="1000" ht="15.75" customHeight="1">
      <c r="Z1000" s="1416"/>
      <c r="AA1000" s="1416"/>
    </row>
  </sheetData>
  <mergeCells count="110">
    <mergeCell ref="M3:M4"/>
    <mergeCell ref="N3:O4"/>
    <mergeCell ref="P3:P4"/>
    <mergeCell ref="Q3:Q4"/>
    <mergeCell ref="A1:X1"/>
    <mergeCell ref="A2:X2"/>
    <mergeCell ref="C3:C4"/>
    <mergeCell ref="D3:D4"/>
    <mergeCell ref="E3:E4"/>
    <mergeCell ref="F3:I3"/>
    <mergeCell ref="J3:K4"/>
    <mergeCell ref="Y3:Y4"/>
    <mergeCell ref="R3:T3"/>
    <mergeCell ref="U3:X3"/>
    <mergeCell ref="Z3:AB3"/>
    <mergeCell ref="AC3:AC4"/>
    <mergeCell ref="AD3:AE3"/>
    <mergeCell ref="AF3:AG3"/>
    <mergeCell ref="AH3:AH4"/>
    <mergeCell ref="V4:W4"/>
    <mergeCell ref="V5:W5"/>
    <mergeCell ref="V6:W6"/>
    <mergeCell ref="V7:W7"/>
    <mergeCell ref="V8:W8"/>
    <mergeCell ref="V9:W9"/>
    <mergeCell ref="V10:W10"/>
    <mergeCell ref="V11:W11"/>
    <mergeCell ref="V12:W12"/>
    <mergeCell ref="V13:W13"/>
    <mergeCell ref="V14:W14"/>
    <mergeCell ref="V15:W15"/>
    <mergeCell ref="V16:W16"/>
    <mergeCell ref="V17:W17"/>
    <mergeCell ref="V18:W18"/>
    <mergeCell ref="V19:W19"/>
    <mergeCell ref="V20:W20"/>
    <mergeCell ref="V21:W21"/>
    <mergeCell ref="V22:W22"/>
    <mergeCell ref="V23:W23"/>
    <mergeCell ref="V24:W24"/>
    <mergeCell ref="V75:W75"/>
    <mergeCell ref="V79:W79"/>
    <mergeCell ref="V80:W80"/>
    <mergeCell ref="V81:W81"/>
    <mergeCell ref="V82:W82"/>
    <mergeCell ref="V84:W84"/>
    <mergeCell ref="V85:W85"/>
    <mergeCell ref="V93:W93"/>
    <mergeCell ref="V94:W94"/>
    <mergeCell ref="V95:W95"/>
    <mergeCell ref="V96:W96"/>
    <mergeCell ref="V97:W97"/>
    <mergeCell ref="B98:C98"/>
    <mergeCell ref="V98:W98"/>
    <mergeCell ref="V86:W86"/>
    <mergeCell ref="V87:W87"/>
    <mergeCell ref="V88:W88"/>
    <mergeCell ref="V89:W89"/>
    <mergeCell ref="V90:W90"/>
    <mergeCell ref="V91:W91"/>
    <mergeCell ref="V92:W92"/>
    <mergeCell ref="V25:W25"/>
    <mergeCell ref="V26:W26"/>
    <mergeCell ref="V27:W27"/>
    <mergeCell ref="V28:W28"/>
    <mergeCell ref="V29:W29"/>
    <mergeCell ref="V30:W30"/>
    <mergeCell ref="V31:W31"/>
    <mergeCell ref="V32:W32"/>
    <mergeCell ref="V33:W33"/>
    <mergeCell ref="V34:W34"/>
    <mergeCell ref="V35:W35"/>
    <mergeCell ref="V36:W36"/>
    <mergeCell ref="V37:W37"/>
    <mergeCell ref="V38:W38"/>
    <mergeCell ref="V39:W39"/>
    <mergeCell ref="V40:W40"/>
    <mergeCell ref="V41:W41"/>
    <mergeCell ref="V42:W42"/>
    <mergeCell ref="V43:W43"/>
    <mergeCell ref="V44:W44"/>
    <mergeCell ref="V45:W45"/>
    <mergeCell ref="V46:W46"/>
    <mergeCell ref="V47:W47"/>
    <mergeCell ref="V48:W48"/>
    <mergeCell ref="V49:W49"/>
    <mergeCell ref="V50:W50"/>
    <mergeCell ref="V51:W51"/>
    <mergeCell ref="V52:W52"/>
    <mergeCell ref="V53:W53"/>
    <mergeCell ref="V54:W54"/>
    <mergeCell ref="V55:W55"/>
    <mergeCell ref="V56:W56"/>
    <mergeCell ref="V57:W57"/>
    <mergeCell ref="V58:W58"/>
    <mergeCell ref="V59:W59"/>
    <mergeCell ref="V60:W60"/>
    <mergeCell ref="V61:W61"/>
    <mergeCell ref="V62:W62"/>
    <mergeCell ref="V63:W63"/>
    <mergeCell ref="V64:W64"/>
    <mergeCell ref="V65:W65"/>
    <mergeCell ref="V66:W66"/>
    <mergeCell ref="V67:W67"/>
    <mergeCell ref="V68:W68"/>
    <mergeCell ref="V70:W70"/>
    <mergeCell ref="V71:W71"/>
    <mergeCell ref="V72:W72"/>
    <mergeCell ref="V73:W73"/>
    <mergeCell ref="V74:W7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8.0"/>
    <col customWidth="1" min="2" max="2" width="27.75"/>
    <col customWidth="1" min="3" max="3" width="26.88"/>
    <col customWidth="1" min="4" max="4" width="25.38"/>
    <col customWidth="1" min="5" max="5" width="27.88"/>
    <col customWidth="1" min="6" max="6" width="18.25"/>
    <col customWidth="1" min="7" max="7" width="16.0"/>
    <col customWidth="1" min="8" max="8" width="19.0"/>
    <col customWidth="1" min="9" max="9" width="30.0"/>
    <col customWidth="1" min="10" max="10" width="24.13"/>
    <col customWidth="1" min="11" max="11" width="22.38"/>
    <col customWidth="1" min="12" max="12" width="25.0"/>
    <col customWidth="1" min="13" max="13" width="17.63"/>
    <col customWidth="1" min="14" max="14" width="17.88"/>
    <col customWidth="1" min="15" max="15" width="18.88"/>
    <col customWidth="1" min="16" max="16" width="22.63"/>
    <col customWidth="1" min="17" max="17" width="24.0"/>
    <col customWidth="1" min="18" max="18" width="23.63"/>
    <col customWidth="1" min="19" max="19" width="18.63"/>
    <col customWidth="1" min="20" max="20" width="23.13"/>
    <col customWidth="1" min="21" max="21" width="26.75"/>
    <col customWidth="1" min="22" max="22" width="33.38"/>
    <col customWidth="1" min="23" max="23" width="37.63"/>
    <col customWidth="1" min="24" max="26" width="32.63"/>
    <col customWidth="1" min="27" max="28" width="21.88"/>
    <col customWidth="1" min="29" max="29" width="32.63"/>
    <col customWidth="1" min="30" max="30" width="8.63"/>
    <col customWidth="1" min="31" max="31" width="22.38"/>
    <col customWidth="1" min="32" max="35" width="8.63"/>
  </cols>
  <sheetData>
    <row r="1">
      <c r="A1" s="1426"/>
      <c r="V1" s="1430"/>
      <c r="W1" s="1430"/>
      <c r="X1" s="1430"/>
      <c r="Y1" s="1430"/>
      <c r="Z1" s="1430"/>
      <c r="AA1" s="1430"/>
      <c r="AB1" s="1430"/>
      <c r="AC1" s="1432"/>
      <c r="AD1" s="1436"/>
      <c r="AE1" s="1436"/>
      <c r="AF1" s="1436"/>
      <c r="AG1" s="1436"/>
      <c r="AH1" s="1436"/>
      <c r="AI1" s="1436"/>
    </row>
    <row r="2" ht="19.5" customHeight="1">
      <c r="A2" s="1440" t="s">
        <v>916</v>
      </c>
      <c r="V2" s="1430"/>
      <c r="W2" s="1430"/>
      <c r="X2" s="1430"/>
      <c r="Y2" s="1430"/>
      <c r="Z2" s="1430"/>
      <c r="AA2" s="1430"/>
      <c r="AB2" s="1430"/>
      <c r="AC2" s="1432"/>
      <c r="AD2" s="1436"/>
      <c r="AE2" s="1436"/>
      <c r="AF2" s="1436"/>
      <c r="AG2" s="1436"/>
      <c r="AH2" s="1436"/>
      <c r="AI2" s="1436"/>
    </row>
    <row r="3" ht="19.5" customHeight="1">
      <c r="A3" s="1444" t="s">
        <v>4615</v>
      </c>
      <c r="V3" s="1430"/>
      <c r="W3" s="1430"/>
      <c r="X3" s="1430"/>
      <c r="Y3" s="1430"/>
      <c r="Z3" s="1430"/>
      <c r="AA3" s="1430"/>
      <c r="AB3" s="1430"/>
      <c r="AC3" s="1432"/>
      <c r="AD3" s="1436"/>
      <c r="AE3" s="1436"/>
      <c r="AF3" s="1436"/>
      <c r="AG3" s="1436"/>
      <c r="AH3" s="1436"/>
      <c r="AI3" s="1436"/>
    </row>
    <row r="4">
      <c r="A4" s="1426"/>
      <c r="V4" s="1430"/>
      <c r="W4" s="1430"/>
      <c r="X4" s="1430"/>
      <c r="Y4" s="1430"/>
      <c r="Z4" s="1430"/>
      <c r="AA4" s="1430"/>
      <c r="AB4" s="1430"/>
      <c r="AC4" s="1432"/>
      <c r="AD4" s="1436"/>
      <c r="AE4" s="1436"/>
      <c r="AF4" s="1436"/>
      <c r="AG4" s="1436"/>
      <c r="AH4" s="1436"/>
      <c r="AI4" s="1436"/>
    </row>
    <row r="5">
      <c r="A5" s="1426"/>
      <c r="V5" s="1430"/>
      <c r="W5" s="1430"/>
      <c r="X5" s="1430"/>
      <c r="Y5" s="1430"/>
      <c r="Z5" s="1430"/>
      <c r="AA5" s="1430"/>
      <c r="AB5" s="1430"/>
      <c r="AC5" s="1462"/>
      <c r="AD5" s="1465"/>
      <c r="AE5" s="1465"/>
      <c r="AF5" s="1465"/>
      <c r="AG5" s="1465"/>
      <c r="AH5" s="1465"/>
      <c r="AI5" s="1465"/>
    </row>
    <row r="6" ht="72.75" customHeight="1">
      <c r="A6" s="1471" t="s">
        <v>4716</v>
      </c>
      <c r="B6" s="1471" t="s">
        <v>4735</v>
      </c>
      <c r="C6" s="1471" t="s">
        <v>4736</v>
      </c>
      <c r="D6" s="1471" t="s">
        <v>4737</v>
      </c>
      <c r="E6" s="1476" t="s">
        <v>4738</v>
      </c>
      <c r="F6" s="1479" t="s">
        <v>4748</v>
      </c>
      <c r="G6" s="1483"/>
      <c r="H6" s="1483"/>
      <c r="I6" s="1486"/>
      <c r="J6" s="1471" t="s">
        <v>11</v>
      </c>
      <c r="K6" s="1471" t="s">
        <v>4761</v>
      </c>
      <c r="L6" s="1471" t="s">
        <v>13</v>
      </c>
      <c r="M6" s="1471" t="s">
        <v>14</v>
      </c>
      <c r="N6" s="1471" t="s">
        <v>4762</v>
      </c>
      <c r="O6" s="1471" t="s">
        <v>13</v>
      </c>
      <c r="P6" s="1471" t="s">
        <v>4763</v>
      </c>
      <c r="Q6" s="1491" t="s">
        <v>22</v>
      </c>
      <c r="R6" s="1494" t="s">
        <v>4771</v>
      </c>
      <c r="S6" s="803" t="s">
        <v>4786</v>
      </c>
      <c r="T6" s="803" t="s">
        <v>4787</v>
      </c>
      <c r="U6" s="1498" t="s">
        <v>4788</v>
      </c>
      <c r="V6" s="1459" t="s">
        <v>4662</v>
      </c>
      <c r="W6" s="28"/>
      <c r="X6" s="1461" t="s">
        <v>4671</v>
      </c>
      <c r="Y6" s="1459" t="s">
        <v>4681</v>
      </c>
      <c r="Z6" s="28"/>
      <c r="AA6" s="1459" t="s">
        <v>4723</v>
      </c>
      <c r="AB6" s="28"/>
      <c r="AC6" s="1461" t="s">
        <v>4728</v>
      </c>
      <c r="AD6" s="1430"/>
      <c r="AE6" s="1430"/>
      <c r="AF6" s="1430"/>
      <c r="AG6" s="1430"/>
      <c r="AH6" s="1430"/>
      <c r="AI6" s="1430"/>
    </row>
    <row r="7">
      <c r="A7" s="1504"/>
      <c r="B7" s="1504"/>
      <c r="C7" s="1504"/>
      <c r="D7" s="1504"/>
      <c r="E7" s="1504"/>
      <c r="F7" s="1509" t="s">
        <v>4791</v>
      </c>
      <c r="G7" s="1509" t="s">
        <v>4795</v>
      </c>
      <c r="H7" s="1509" t="s">
        <v>4796</v>
      </c>
      <c r="I7" s="1513" t="s">
        <v>4797</v>
      </c>
      <c r="J7" s="1504"/>
      <c r="K7" s="1504"/>
      <c r="L7" s="1504"/>
      <c r="M7" s="1504"/>
      <c r="N7" s="1504"/>
      <c r="O7" s="1504"/>
      <c r="P7" s="1504"/>
      <c r="Q7" s="1504"/>
      <c r="R7" s="1517"/>
      <c r="S7" s="779"/>
      <c r="T7" s="779"/>
      <c r="U7" s="1384"/>
      <c r="V7" s="1503" t="s">
        <v>4789</v>
      </c>
      <c r="W7" s="1508" t="s">
        <v>4790</v>
      </c>
      <c r="X7" s="31"/>
      <c r="Y7" s="1503" t="s">
        <v>4793</v>
      </c>
      <c r="Z7" s="1503" t="s">
        <v>4794</v>
      </c>
      <c r="AA7" s="1512" t="s">
        <v>4799</v>
      </c>
      <c r="AB7" s="1503" t="s">
        <v>4800</v>
      </c>
      <c r="AC7" s="31"/>
      <c r="AD7" s="1430"/>
      <c r="AE7" s="1430"/>
      <c r="AF7" s="1430"/>
      <c r="AG7" s="1430"/>
      <c r="AH7" s="1430"/>
      <c r="AI7" s="1430"/>
    </row>
    <row r="8">
      <c r="A8" s="1523"/>
      <c r="B8" s="1527"/>
      <c r="C8" s="1527"/>
      <c r="D8" s="1527"/>
      <c r="E8" s="1527"/>
      <c r="F8" s="1523"/>
      <c r="G8" s="1523"/>
      <c r="H8" s="1523"/>
      <c r="I8" s="1527"/>
      <c r="J8" s="1527"/>
      <c r="K8" s="1523"/>
      <c r="L8" s="1523"/>
      <c r="M8" s="1523"/>
      <c r="N8" s="1523"/>
      <c r="O8" s="1527"/>
      <c r="P8" s="1527"/>
      <c r="Q8" s="1527"/>
      <c r="R8" s="1527"/>
      <c r="S8" s="1531"/>
      <c r="T8" s="1535"/>
      <c r="U8" s="1539"/>
      <c r="V8" s="1543"/>
      <c r="W8" s="1543"/>
      <c r="X8" s="1543"/>
      <c r="Y8" s="1543"/>
      <c r="Z8" s="1543"/>
      <c r="AA8" s="1543"/>
      <c r="AB8" s="1543"/>
      <c r="AC8" s="1543"/>
      <c r="AD8" s="1430"/>
      <c r="AE8" s="1430"/>
      <c r="AF8" s="1430"/>
      <c r="AG8" s="1430"/>
      <c r="AH8" s="1430"/>
      <c r="AI8" s="1430"/>
    </row>
    <row r="9" ht="15.0" customHeight="1">
      <c r="A9" s="1547" t="s">
        <v>27</v>
      </c>
      <c r="B9" s="289"/>
      <c r="C9" s="636"/>
      <c r="D9" s="1551"/>
      <c r="E9" s="1551"/>
      <c r="F9" s="1555"/>
      <c r="G9" s="1555"/>
      <c r="H9" s="1555"/>
      <c r="I9" s="1551"/>
      <c r="J9" s="1551"/>
      <c r="K9" s="1555"/>
      <c r="L9" s="1555"/>
      <c r="M9" s="1555"/>
      <c r="N9" s="1555"/>
      <c r="O9" s="1551"/>
      <c r="P9" s="1551"/>
      <c r="Q9" s="1551"/>
      <c r="R9" s="1551"/>
      <c r="S9" s="1558"/>
      <c r="T9" s="1558"/>
      <c r="U9" s="1562"/>
      <c r="V9" s="1543"/>
      <c r="W9" s="1543"/>
      <c r="X9" s="1543"/>
      <c r="Y9" s="1543"/>
      <c r="Z9" s="1543"/>
      <c r="AA9" s="1543"/>
      <c r="AB9" s="1543"/>
      <c r="AC9" s="1543"/>
      <c r="AD9" s="1430"/>
      <c r="AE9" s="1430"/>
      <c r="AF9" s="1430"/>
      <c r="AG9" s="1430"/>
      <c r="AH9" s="1430"/>
      <c r="AI9" s="1430"/>
    </row>
    <row r="10">
      <c r="A10" s="1568">
        <v>1.0</v>
      </c>
      <c r="B10" s="1572">
        <v>46030.0</v>
      </c>
      <c r="C10" s="1568" t="s">
        <v>4867</v>
      </c>
      <c r="D10" s="1568" t="s">
        <v>4554</v>
      </c>
      <c r="E10" s="1568" t="s">
        <v>557</v>
      </c>
      <c r="F10" s="1568" t="s">
        <v>4868</v>
      </c>
      <c r="G10" s="1568">
        <v>1.65</v>
      </c>
      <c r="H10" s="1568">
        <v>703.6</v>
      </c>
      <c r="I10" s="1576">
        <v>49252.0</v>
      </c>
      <c r="J10" s="1578"/>
      <c r="K10" s="1568" t="s">
        <v>4883</v>
      </c>
      <c r="L10" s="1578"/>
      <c r="M10" s="1578"/>
      <c r="N10" s="1583" t="s">
        <v>1343</v>
      </c>
      <c r="O10" s="1578"/>
      <c r="P10" s="1568" t="s">
        <v>4894</v>
      </c>
      <c r="Q10" s="1568" t="s">
        <v>4896</v>
      </c>
      <c r="R10" s="1568" t="s">
        <v>4898</v>
      </c>
      <c r="S10" s="1578"/>
      <c r="T10" s="1578"/>
      <c r="U10" s="1587"/>
      <c r="V10" s="1226"/>
      <c r="W10" s="1226"/>
      <c r="X10" s="1226"/>
      <c r="Y10" s="1226"/>
      <c r="Z10" s="1226"/>
      <c r="AA10" s="1226"/>
      <c r="AB10" s="1226"/>
      <c r="AC10" s="1226"/>
      <c r="AD10" s="604"/>
      <c r="AE10" s="604"/>
      <c r="AF10" s="604"/>
      <c r="AG10" s="604"/>
      <c r="AH10" s="604"/>
      <c r="AI10" s="604"/>
    </row>
    <row r="11">
      <c r="A11" s="1590">
        <v>1.0</v>
      </c>
      <c r="B11" s="1594">
        <v>46031.0</v>
      </c>
      <c r="C11" s="1590" t="s">
        <v>4937</v>
      </c>
      <c r="D11" s="1590" t="s">
        <v>4938</v>
      </c>
      <c r="E11" s="1590" t="s">
        <v>4939</v>
      </c>
      <c r="F11" s="1590" t="s">
        <v>4940</v>
      </c>
      <c r="G11" s="1590">
        <v>2.8</v>
      </c>
      <c r="H11" s="1598">
        <v>1198.54</v>
      </c>
      <c r="I11" s="1598">
        <v>119854.0</v>
      </c>
      <c r="J11" s="1590">
        <v>1.0</v>
      </c>
      <c r="K11" s="1590" t="s">
        <v>4949</v>
      </c>
      <c r="L11" s="1598">
        <v>1200000.0</v>
      </c>
      <c r="M11" s="1602"/>
      <c r="N11" s="1606" t="s">
        <v>1343</v>
      </c>
      <c r="O11" s="1602"/>
      <c r="P11" s="1590" t="s">
        <v>4963</v>
      </c>
      <c r="Q11" s="1590" t="s">
        <v>4964</v>
      </c>
      <c r="R11" s="1590" t="s">
        <v>4965</v>
      </c>
      <c r="S11" s="1608">
        <v>46092.0</v>
      </c>
      <c r="T11" s="1608">
        <v>46100.0</v>
      </c>
      <c r="U11" s="1610" t="s">
        <v>4970</v>
      </c>
      <c r="V11" s="1614">
        <v>1.0</v>
      </c>
      <c r="W11" s="581"/>
      <c r="X11" s="581"/>
      <c r="Y11" s="581"/>
      <c r="Z11" s="581"/>
      <c r="AA11" s="581"/>
      <c r="AB11" s="581"/>
      <c r="AC11" s="581" t="s">
        <v>5003</v>
      </c>
      <c r="AD11" s="604"/>
      <c r="AE11" s="604"/>
      <c r="AF11" s="604"/>
      <c r="AG11" s="604"/>
      <c r="AH11" s="604"/>
      <c r="AI11" s="604"/>
    </row>
    <row r="12">
      <c r="A12" s="1568">
        <v>1.0</v>
      </c>
      <c r="B12" s="1572">
        <v>46034.0</v>
      </c>
      <c r="C12" s="1568" t="s">
        <v>5004</v>
      </c>
      <c r="D12" s="1568" t="s">
        <v>5005</v>
      </c>
      <c r="E12" s="1568" t="s">
        <v>5006</v>
      </c>
      <c r="F12" s="1568" t="s">
        <v>5006</v>
      </c>
      <c r="G12" s="1568">
        <v>0.14</v>
      </c>
      <c r="H12" s="1568">
        <v>63.2</v>
      </c>
      <c r="I12" s="1576">
        <v>4424.0</v>
      </c>
      <c r="J12" s="1578"/>
      <c r="K12" s="1568" t="s">
        <v>4883</v>
      </c>
      <c r="L12" s="1578"/>
      <c r="M12" s="1583">
        <v>1.0</v>
      </c>
      <c r="N12" s="1583" t="s">
        <v>5009</v>
      </c>
      <c r="O12" s="1568">
        <v>4000.0</v>
      </c>
      <c r="P12" s="1583" t="s">
        <v>5011</v>
      </c>
      <c r="Q12" s="1583" t="s">
        <v>4896</v>
      </c>
      <c r="R12" s="1616"/>
      <c r="S12" s="1616"/>
      <c r="T12" s="1616"/>
      <c r="U12" s="1620"/>
      <c r="V12" s="1543"/>
      <c r="W12" s="1543"/>
      <c r="X12" s="1543"/>
      <c r="Y12" s="1543"/>
      <c r="Z12" s="1543"/>
      <c r="AA12" s="1543"/>
      <c r="AB12" s="1543"/>
      <c r="AC12" s="1543"/>
      <c r="AD12" s="604"/>
      <c r="AE12" s="604"/>
      <c r="AF12" s="604"/>
      <c r="AG12" s="604"/>
      <c r="AH12" s="604"/>
      <c r="AI12" s="604"/>
    </row>
    <row r="13">
      <c r="A13" s="1568">
        <v>1.0</v>
      </c>
      <c r="B13" s="1622">
        <v>46039.0</v>
      </c>
      <c r="C13" s="1568" t="s">
        <v>5043</v>
      </c>
      <c r="D13" s="1568" t="s">
        <v>5045</v>
      </c>
      <c r="E13" s="1568" t="s">
        <v>5046</v>
      </c>
      <c r="F13" s="1624" t="s">
        <v>5047</v>
      </c>
      <c r="G13" s="1568">
        <v>1.07</v>
      </c>
      <c r="H13" s="1568">
        <v>454.5</v>
      </c>
      <c r="I13" s="1626">
        <v>31815.0</v>
      </c>
      <c r="J13" s="1616"/>
      <c r="K13" s="1568" t="s">
        <v>4883</v>
      </c>
      <c r="L13" s="1578"/>
      <c r="M13" s="1578"/>
      <c r="N13" s="1578"/>
      <c r="O13" s="1616"/>
      <c r="P13" s="1568" t="s">
        <v>4894</v>
      </c>
      <c r="Q13" s="1583" t="s">
        <v>4896</v>
      </c>
      <c r="R13" s="1629" t="s">
        <v>5091</v>
      </c>
      <c r="S13" s="1616"/>
      <c r="T13" s="1616"/>
      <c r="U13" s="1620"/>
      <c r="V13" s="1543"/>
      <c r="W13" s="1543"/>
      <c r="X13" s="1543"/>
      <c r="Y13" s="1543"/>
      <c r="Z13" s="1543"/>
      <c r="AA13" s="1543"/>
      <c r="AB13" s="1543"/>
      <c r="AC13" s="1543"/>
      <c r="AD13" s="1430"/>
      <c r="AE13" s="1430"/>
      <c r="AF13" s="1430"/>
      <c r="AG13" s="1430"/>
      <c r="AH13" s="1430"/>
      <c r="AI13" s="1430"/>
    </row>
    <row r="14">
      <c r="A14" s="1568">
        <v>1.0</v>
      </c>
      <c r="B14" s="1622">
        <v>46045.0</v>
      </c>
      <c r="C14" s="1568" t="s">
        <v>5126</v>
      </c>
      <c r="D14" s="1568" t="s">
        <v>228</v>
      </c>
      <c r="E14" s="1568" t="s">
        <v>5127</v>
      </c>
      <c r="F14" s="1624" t="s">
        <v>5128</v>
      </c>
      <c r="G14" s="1568">
        <v>0.36</v>
      </c>
      <c r="H14" s="1568">
        <v>155.0</v>
      </c>
      <c r="I14" s="1626">
        <v>7750.0</v>
      </c>
      <c r="J14" s="1616"/>
      <c r="K14" s="1568" t="s">
        <v>4883</v>
      </c>
      <c r="L14" s="1578"/>
      <c r="M14" s="1578"/>
      <c r="N14" s="1583" t="s">
        <v>1343</v>
      </c>
      <c r="O14" s="1616"/>
      <c r="P14" s="1578"/>
      <c r="Q14" s="1583" t="s">
        <v>4896</v>
      </c>
      <c r="R14" s="1629" t="s">
        <v>5129</v>
      </c>
      <c r="S14" s="1631">
        <v>46162.0</v>
      </c>
      <c r="T14" s="1631">
        <v>46168.0</v>
      </c>
      <c r="U14" s="1620"/>
      <c r="V14" s="1543"/>
      <c r="W14" s="1543"/>
      <c r="X14" s="1543"/>
      <c r="Y14" s="1543"/>
      <c r="Z14" s="1543"/>
      <c r="AA14" s="1543"/>
      <c r="AB14" s="1543"/>
      <c r="AC14" s="1543"/>
      <c r="AD14" s="1430"/>
      <c r="AE14" s="1430"/>
      <c r="AF14" s="1430"/>
      <c r="AG14" s="1430"/>
      <c r="AH14" s="1430"/>
      <c r="AI14" s="1430"/>
    </row>
    <row r="15">
      <c r="A15" s="1568">
        <v>1.0</v>
      </c>
      <c r="B15" s="1629" t="s">
        <v>5134</v>
      </c>
      <c r="C15" s="1568" t="s">
        <v>5126</v>
      </c>
      <c r="D15" s="1568" t="s">
        <v>1577</v>
      </c>
      <c r="E15" s="1568" t="s">
        <v>5135</v>
      </c>
      <c r="F15" s="1568" t="s">
        <v>5136</v>
      </c>
      <c r="G15" s="1568">
        <v>1.48</v>
      </c>
      <c r="H15" s="1568">
        <v>628.65</v>
      </c>
      <c r="I15" s="1626">
        <v>50292.0</v>
      </c>
      <c r="J15" s="1616"/>
      <c r="K15" s="1578"/>
      <c r="L15" s="1578"/>
      <c r="M15" s="1578"/>
      <c r="N15" s="1578"/>
      <c r="O15" s="1616"/>
      <c r="P15" s="1578"/>
      <c r="Q15" s="1583" t="s">
        <v>4896</v>
      </c>
      <c r="R15" s="1629" t="s">
        <v>5140</v>
      </c>
      <c r="S15" s="1616"/>
      <c r="T15" s="1616"/>
      <c r="U15" s="1620"/>
      <c r="V15" s="1635"/>
      <c r="W15" s="1635"/>
      <c r="X15" s="1543"/>
      <c r="Y15" s="1543"/>
      <c r="Z15" s="1543"/>
      <c r="AA15" s="1543"/>
      <c r="AB15" s="1543"/>
      <c r="AC15" s="1543"/>
      <c r="AD15" s="1430"/>
      <c r="AE15" s="1430"/>
      <c r="AF15" s="1430"/>
      <c r="AG15" s="1430"/>
      <c r="AH15" s="1430"/>
      <c r="AI15" s="1430"/>
    </row>
    <row r="16">
      <c r="A16" s="1568">
        <v>1.0</v>
      </c>
      <c r="B16" s="1622">
        <v>46046.0</v>
      </c>
      <c r="C16" s="1568" t="s">
        <v>2354</v>
      </c>
      <c r="D16" s="1568" t="s">
        <v>228</v>
      </c>
      <c r="E16" s="1568" t="s">
        <v>5157</v>
      </c>
      <c r="F16" s="1624" t="s">
        <v>5158</v>
      </c>
      <c r="G16" s="1568">
        <v>0.93</v>
      </c>
      <c r="H16" s="1568">
        <v>395.0</v>
      </c>
      <c r="I16" s="1626">
        <v>31600.0</v>
      </c>
      <c r="J16" s="1616"/>
      <c r="K16" s="1568" t="s">
        <v>4883</v>
      </c>
      <c r="L16" s="1578"/>
      <c r="M16" s="1578"/>
      <c r="N16" s="1583" t="s">
        <v>1343</v>
      </c>
      <c r="O16" s="1616"/>
      <c r="P16" s="1568" t="s">
        <v>5159</v>
      </c>
      <c r="Q16" s="1583" t="s">
        <v>4896</v>
      </c>
      <c r="R16" s="1629" t="s">
        <v>5160</v>
      </c>
      <c r="S16" s="1631">
        <v>46091.0</v>
      </c>
      <c r="T16" s="1631">
        <v>46093.0</v>
      </c>
      <c r="U16" s="1620"/>
      <c r="V16" s="1543"/>
      <c r="W16" s="1543"/>
      <c r="X16" s="1543"/>
      <c r="Y16" s="1543"/>
      <c r="Z16" s="1543"/>
      <c r="AA16" s="1543"/>
      <c r="AB16" s="1543"/>
      <c r="AC16" s="1543"/>
      <c r="AD16" s="1430"/>
      <c r="AE16" s="1430"/>
      <c r="AF16" s="1430"/>
      <c r="AG16" s="1430"/>
      <c r="AH16" s="1430"/>
      <c r="AI16" s="1430"/>
    </row>
    <row r="17">
      <c r="A17" s="1568">
        <v>1.0</v>
      </c>
      <c r="B17" s="1622">
        <v>46050.0</v>
      </c>
      <c r="C17" s="1568" t="s">
        <v>5161</v>
      </c>
      <c r="D17" s="1568" t="s">
        <v>5045</v>
      </c>
      <c r="E17" s="1568" t="s">
        <v>557</v>
      </c>
      <c r="F17" s="1624" t="s">
        <v>5162</v>
      </c>
      <c r="G17" s="1568">
        <v>0.82</v>
      </c>
      <c r="H17" s="1568">
        <v>349.86</v>
      </c>
      <c r="I17" s="1626">
        <v>24490.0</v>
      </c>
      <c r="J17" s="1616"/>
      <c r="K17" s="1568" t="s">
        <v>4883</v>
      </c>
      <c r="L17" s="1578"/>
      <c r="M17" s="1578"/>
      <c r="N17" s="1640" t="s">
        <v>1343</v>
      </c>
      <c r="O17" s="1616"/>
      <c r="P17" s="1568" t="s">
        <v>5164</v>
      </c>
      <c r="Q17" s="1583" t="s">
        <v>4896</v>
      </c>
      <c r="R17" s="1629" t="s">
        <v>5165</v>
      </c>
      <c r="S17" s="1616"/>
      <c r="T17" s="1616"/>
      <c r="U17" s="1620"/>
      <c r="V17" s="1543"/>
      <c r="W17" s="1543"/>
      <c r="X17" s="1543"/>
      <c r="Y17" s="1543"/>
      <c r="Z17" s="1543"/>
      <c r="AA17" s="1543"/>
      <c r="AB17" s="1543"/>
      <c r="AC17" s="1543"/>
      <c r="AD17" s="1430"/>
      <c r="AE17" s="1430"/>
      <c r="AF17" s="1430"/>
      <c r="AG17" s="1430"/>
      <c r="AH17" s="1430"/>
      <c r="AI17" s="1430"/>
    </row>
    <row r="18">
      <c r="A18" s="1568">
        <v>1.0</v>
      </c>
      <c r="B18" s="1622">
        <v>46050.0</v>
      </c>
      <c r="C18" s="1568" t="s">
        <v>5166</v>
      </c>
      <c r="D18" s="1568" t="s">
        <v>4147</v>
      </c>
      <c r="E18" s="1568" t="s">
        <v>5167</v>
      </c>
      <c r="F18" s="1624" t="s">
        <v>5168</v>
      </c>
      <c r="G18" s="1568">
        <v>3.08</v>
      </c>
      <c r="H18" s="1568" t="s">
        <v>5169</v>
      </c>
      <c r="I18" s="1626">
        <v>94166.0</v>
      </c>
      <c r="J18" s="1616"/>
      <c r="K18" s="1568" t="s">
        <v>4883</v>
      </c>
      <c r="L18" s="1578"/>
      <c r="M18" s="1578"/>
      <c r="N18" s="1640" t="s">
        <v>1343</v>
      </c>
      <c r="O18" s="1616"/>
      <c r="P18" s="1568" t="s">
        <v>4147</v>
      </c>
      <c r="Q18" s="1583" t="s">
        <v>4896</v>
      </c>
      <c r="R18" s="1629" t="s">
        <v>5170</v>
      </c>
      <c r="S18" s="1616"/>
      <c r="T18" s="1616"/>
      <c r="U18" s="1620"/>
      <c r="V18" s="1543"/>
      <c r="W18" s="1543"/>
      <c r="X18" s="1543"/>
      <c r="Y18" s="1543"/>
      <c r="Z18" s="1543"/>
      <c r="AA18" s="1543"/>
      <c r="AB18" s="1543"/>
      <c r="AC18" s="1543"/>
      <c r="AD18" s="1430"/>
      <c r="AE18" s="1430"/>
      <c r="AF18" s="1430"/>
      <c r="AG18" s="1430"/>
      <c r="AH18" s="1430"/>
      <c r="AI18" s="1430"/>
    </row>
    <row r="19">
      <c r="A19" s="1568">
        <v>1.0</v>
      </c>
      <c r="B19" s="1622">
        <v>46050.0</v>
      </c>
      <c r="C19" s="1568" t="s">
        <v>5171</v>
      </c>
      <c r="D19" s="1568" t="s">
        <v>5172</v>
      </c>
      <c r="E19" s="1568" t="s">
        <v>557</v>
      </c>
      <c r="F19" s="1624" t="s">
        <v>5173</v>
      </c>
      <c r="G19" s="1568">
        <v>0.55</v>
      </c>
      <c r="H19" s="1568">
        <v>229.16</v>
      </c>
      <c r="I19" s="1626">
        <v>16041.2</v>
      </c>
      <c r="J19" s="1616"/>
      <c r="K19" s="1568" t="s">
        <v>4883</v>
      </c>
      <c r="L19" s="1578"/>
      <c r="M19" s="1578"/>
      <c r="N19" s="1640" t="s">
        <v>1343</v>
      </c>
      <c r="O19" s="1616"/>
      <c r="P19" s="1568" t="s">
        <v>5174</v>
      </c>
      <c r="Q19" s="1583" t="s">
        <v>4896</v>
      </c>
      <c r="R19" s="1629" t="s">
        <v>5175</v>
      </c>
      <c r="S19" s="1616"/>
      <c r="T19" s="1616"/>
      <c r="U19" s="1620"/>
      <c r="V19" s="1543"/>
      <c r="W19" s="1543"/>
      <c r="X19" s="1543"/>
      <c r="Y19" s="1543"/>
      <c r="Z19" s="1543"/>
      <c r="AA19" s="1543"/>
      <c r="AB19" s="1543"/>
      <c r="AC19" s="1543"/>
      <c r="AD19" s="1430"/>
      <c r="AE19" s="1430"/>
      <c r="AF19" s="1430"/>
      <c r="AG19" s="1430"/>
      <c r="AH19" s="1430"/>
      <c r="AI19" s="1430"/>
    </row>
    <row r="20">
      <c r="A20" s="1568">
        <v>1.0</v>
      </c>
      <c r="B20" s="1622">
        <v>46055.0</v>
      </c>
      <c r="C20" s="1568" t="s">
        <v>5176</v>
      </c>
      <c r="D20" s="1568" t="s">
        <v>5177</v>
      </c>
      <c r="E20" s="1568" t="s">
        <v>5178</v>
      </c>
      <c r="F20" s="1624" t="s">
        <v>5179</v>
      </c>
      <c r="G20" s="1568">
        <v>3.58</v>
      </c>
      <c r="H20" s="1576">
        <v>1519.91</v>
      </c>
      <c r="I20" s="1626">
        <v>129349.4</v>
      </c>
      <c r="J20" s="1616"/>
      <c r="K20" s="1568" t="s">
        <v>4883</v>
      </c>
      <c r="L20" s="1578"/>
      <c r="M20" s="1578"/>
      <c r="N20" s="1640" t="s">
        <v>1343</v>
      </c>
      <c r="O20" s="1616"/>
      <c r="P20" s="1568" t="s">
        <v>5177</v>
      </c>
      <c r="Q20" s="1583" t="s">
        <v>4896</v>
      </c>
      <c r="R20" s="1629" t="s">
        <v>5181</v>
      </c>
      <c r="S20" s="1616"/>
      <c r="T20" s="1616"/>
      <c r="U20" s="1620"/>
      <c r="V20" s="1543"/>
      <c r="W20" s="1543"/>
      <c r="X20" s="1543"/>
      <c r="Y20" s="1543"/>
      <c r="Z20" s="1543"/>
      <c r="AA20" s="1543"/>
      <c r="AB20" s="1543"/>
      <c r="AC20" s="1543"/>
      <c r="AD20" s="1430"/>
      <c r="AE20" s="1430"/>
      <c r="AF20" s="1430"/>
      <c r="AG20" s="1430"/>
      <c r="AH20" s="1430"/>
      <c r="AI20" s="1430"/>
    </row>
    <row r="21" ht="15.75" customHeight="1">
      <c r="A21" s="1568">
        <v>1.0</v>
      </c>
      <c r="B21" s="1622">
        <v>46055.0</v>
      </c>
      <c r="C21" s="1568" t="s">
        <v>5183</v>
      </c>
      <c r="D21" s="1568" t="s">
        <v>5184</v>
      </c>
      <c r="E21" s="1568" t="s">
        <v>5185</v>
      </c>
      <c r="F21" s="1624" t="s">
        <v>5186</v>
      </c>
      <c r="G21" s="1568">
        <v>0.23</v>
      </c>
      <c r="H21" s="1568">
        <v>100.33</v>
      </c>
      <c r="I21" s="1626">
        <v>6019.8</v>
      </c>
      <c r="J21" s="1616"/>
      <c r="K21" s="1568" t="s">
        <v>4883</v>
      </c>
      <c r="L21" s="1578"/>
      <c r="M21" s="1578"/>
      <c r="N21" s="1578"/>
      <c r="O21" s="1616"/>
      <c r="P21" s="1568" t="s">
        <v>4963</v>
      </c>
      <c r="Q21" s="1583" t="s">
        <v>4896</v>
      </c>
      <c r="R21" s="1629" t="s">
        <v>5181</v>
      </c>
      <c r="S21" s="1631">
        <v>46098.0</v>
      </c>
      <c r="T21" s="1631">
        <v>46104.0</v>
      </c>
      <c r="U21" s="1644" t="s">
        <v>5190</v>
      </c>
      <c r="V21" s="1543"/>
      <c r="W21" s="1543"/>
      <c r="X21" s="1543"/>
      <c r="Y21" s="1543"/>
      <c r="Z21" s="1543"/>
      <c r="AA21" s="1543"/>
      <c r="AB21" s="1543"/>
      <c r="AC21" s="1543" t="s">
        <v>5196</v>
      </c>
      <c r="AD21" s="1430"/>
      <c r="AE21" s="1648">
        <v>46063.0</v>
      </c>
      <c r="AF21" s="1430"/>
      <c r="AG21" s="1430"/>
      <c r="AH21" s="1430"/>
      <c r="AI21" s="1430"/>
    </row>
    <row r="22" ht="15.75" customHeight="1">
      <c r="A22" s="1568">
        <v>1.0</v>
      </c>
      <c r="B22" s="1622">
        <v>46057.0</v>
      </c>
      <c r="C22" s="1568" t="s">
        <v>5209</v>
      </c>
      <c r="D22" s="1568" t="s">
        <v>5210</v>
      </c>
      <c r="E22" s="1568" t="s">
        <v>557</v>
      </c>
      <c r="F22" s="1624" t="s">
        <v>5212</v>
      </c>
      <c r="G22" s="1568">
        <v>1.02</v>
      </c>
      <c r="H22" s="1568">
        <v>433.58</v>
      </c>
      <c r="I22" s="1626">
        <v>30350.6</v>
      </c>
      <c r="J22" s="1616"/>
      <c r="K22" s="1568" t="s">
        <v>4883</v>
      </c>
      <c r="L22" s="1578"/>
      <c r="M22" s="1578"/>
      <c r="N22" s="1578"/>
      <c r="O22" s="1616"/>
      <c r="P22" s="1629" t="s">
        <v>5164</v>
      </c>
      <c r="Q22" s="1583" t="s">
        <v>4896</v>
      </c>
      <c r="R22" s="1629" t="s">
        <v>5165</v>
      </c>
      <c r="S22" s="1616"/>
      <c r="T22" s="1616"/>
      <c r="U22" s="1620"/>
      <c r="V22" s="1543"/>
      <c r="W22" s="1543"/>
      <c r="X22" s="1543"/>
      <c r="Y22" s="1543"/>
      <c r="Z22" s="1543"/>
      <c r="AA22" s="1543"/>
      <c r="AB22" s="1543"/>
      <c r="AC22" s="1543"/>
      <c r="AD22" s="1430"/>
      <c r="AE22" s="1648">
        <v>46063.0</v>
      </c>
      <c r="AF22" s="1430"/>
      <c r="AG22" s="1430"/>
      <c r="AH22" s="1430"/>
      <c r="AI22" s="1430"/>
    </row>
    <row r="23" ht="15.75" customHeight="1">
      <c r="A23" s="1568">
        <v>1.0</v>
      </c>
      <c r="B23" s="1622">
        <v>46062.0</v>
      </c>
      <c r="C23" s="1568" t="s">
        <v>2675</v>
      </c>
      <c r="D23" s="1568" t="s">
        <v>4147</v>
      </c>
      <c r="E23" s="1568" t="s">
        <v>5222</v>
      </c>
      <c r="F23" s="1624" t="s">
        <v>5224</v>
      </c>
      <c r="G23" s="1568">
        <v>0.27</v>
      </c>
      <c r="H23" s="1568">
        <v>116.0</v>
      </c>
      <c r="I23" s="1626">
        <v>8120.0</v>
      </c>
      <c r="J23" s="1629">
        <v>1.0</v>
      </c>
      <c r="K23" s="1568" t="s">
        <v>5226</v>
      </c>
      <c r="L23" s="1576">
        <v>60000.0</v>
      </c>
      <c r="M23" s="1578"/>
      <c r="N23" s="1578"/>
      <c r="O23" s="1616"/>
      <c r="P23" s="1629" t="s">
        <v>5228</v>
      </c>
      <c r="Q23" s="1583" t="s">
        <v>4896</v>
      </c>
      <c r="R23" s="1616"/>
      <c r="S23" s="1616"/>
      <c r="T23" s="1616"/>
      <c r="U23" s="1620"/>
      <c r="V23" s="1543"/>
      <c r="W23" s="1543"/>
      <c r="X23" s="1543"/>
      <c r="Y23" s="1543"/>
      <c r="Z23" s="1543"/>
      <c r="AA23" s="1543"/>
      <c r="AB23" s="1543"/>
      <c r="AC23" s="1543"/>
      <c r="AD23" s="1430"/>
      <c r="AE23" s="1648">
        <v>46063.0</v>
      </c>
      <c r="AF23" s="1430"/>
      <c r="AG23" s="1430"/>
      <c r="AH23" s="1430"/>
      <c r="AI23" s="1430"/>
    </row>
    <row r="24" ht="15.75" customHeight="1">
      <c r="A24" s="1568">
        <v>1.0</v>
      </c>
      <c r="B24" s="1622">
        <v>46062.0</v>
      </c>
      <c r="C24" s="1568" t="s">
        <v>2675</v>
      </c>
      <c r="D24" s="1568" t="s">
        <v>4147</v>
      </c>
      <c r="E24" s="1568" t="s">
        <v>5233</v>
      </c>
      <c r="F24" s="1624" t="s">
        <v>5234</v>
      </c>
      <c r="G24" s="1568">
        <v>0.37</v>
      </c>
      <c r="H24" s="1568">
        <v>159.0</v>
      </c>
      <c r="I24" s="1626">
        <v>11130.0</v>
      </c>
      <c r="J24" s="1629">
        <v>1.0</v>
      </c>
      <c r="K24" s="1568" t="s">
        <v>5237</v>
      </c>
      <c r="L24" s="1576">
        <v>30000.0</v>
      </c>
      <c r="M24" s="1578"/>
      <c r="N24" s="1578"/>
      <c r="O24" s="1616"/>
      <c r="P24" s="1629" t="s">
        <v>4147</v>
      </c>
      <c r="Q24" s="1583" t="s">
        <v>4896</v>
      </c>
      <c r="R24" s="1629" t="s">
        <v>5239</v>
      </c>
      <c r="S24" s="1616"/>
      <c r="T24" s="1616"/>
      <c r="U24" s="1620"/>
      <c r="V24" s="1543"/>
      <c r="W24" s="1543"/>
      <c r="X24" s="1543"/>
      <c r="Y24" s="1543"/>
      <c r="Z24" s="1543"/>
      <c r="AA24" s="1543"/>
      <c r="AB24" s="1543"/>
      <c r="AC24" s="1543"/>
      <c r="AD24" s="1430"/>
      <c r="AE24" s="1648">
        <v>46063.0</v>
      </c>
      <c r="AF24" s="1430"/>
      <c r="AG24" s="1430"/>
      <c r="AH24" s="1430"/>
      <c r="AI24" s="1430"/>
    </row>
    <row r="25" ht="15.75" customHeight="1">
      <c r="A25" s="1568">
        <v>1.0</v>
      </c>
      <c r="B25" s="1622">
        <v>46063.0</v>
      </c>
      <c r="C25" s="1568" t="s">
        <v>5209</v>
      </c>
      <c r="D25" s="1568" t="s">
        <v>5045</v>
      </c>
      <c r="E25" s="1568" t="s">
        <v>557</v>
      </c>
      <c r="F25" s="1624" t="s">
        <v>5246</v>
      </c>
      <c r="G25" s="1568">
        <v>0.55</v>
      </c>
      <c r="H25" s="1568">
        <v>235.33</v>
      </c>
      <c r="I25" s="1626">
        <v>14119.8</v>
      </c>
      <c r="J25" s="1616"/>
      <c r="K25" s="1568" t="s">
        <v>4883</v>
      </c>
      <c r="L25" s="1578"/>
      <c r="M25" s="1578"/>
      <c r="N25" s="1640" t="s">
        <v>1343</v>
      </c>
      <c r="O25" s="1616"/>
      <c r="P25" s="1629" t="s">
        <v>5164</v>
      </c>
      <c r="Q25" s="1583" t="s">
        <v>4896</v>
      </c>
      <c r="R25" s="1629" t="s">
        <v>5165</v>
      </c>
      <c r="S25" s="1616"/>
      <c r="T25" s="1616"/>
      <c r="U25" s="1620"/>
      <c r="V25" s="1543"/>
      <c r="W25" s="1543"/>
      <c r="X25" s="1543"/>
      <c r="Y25" s="1543"/>
      <c r="Z25" s="1543"/>
      <c r="AA25" s="1543"/>
      <c r="AB25" s="1543"/>
      <c r="AC25" s="1543"/>
      <c r="AD25" s="1430"/>
      <c r="AE25" s="1430"/>
      <c r="AF25" s="1430"/>
      <c r="AG25" s="1430"/>
      <c r="AH25" s="1430"/>
      <c r="AI25" s="1430"/>
    </row>
    <row r="26" ht="15.75" customHeight="1">
      <c r="A26" s="1568">
        <v>1.0</v>
      </c>
      <c r="B26" s="1622">
        <v>46068.0</v>
      </c>
      <c r="C26" s="1568" t="s">
        <v>5257</v>
      </c>
      <c r="D26" s="1568" t="s">
        <v>5258</v>
      </c>
      <c r="E26" s="1629" t="s">
        <v>5260</v>
      </c>
      <c r="F26" s="1624" t="s">
        <v>5261</v>
      </c>
      <c r="G26" s="1568">
        <v>0.38</v>
      </c>
      <c r="H26" s="1568">
        <v>163.33</v>
      </c>
      <c r="I26" s="1626">
        <v>11433.1</v>
      </c>
      <c r="J26" s="1616"/>
      <c r="K26" s="1568" t="s">
        <v>4883</v>
      </c>
      <c r="L26" s="1578"/>
      <c r="M26" s="1653">
        <v>1.0</v>
      </c>
      <c r="N26" s="1653" t="s">
        <v>5273</v>
      </c>
      <c r="O26" s="1626">
        <v>10000.0</v>
      </c>
      <c r="P26" s="1583" t="s">
        <v>5274</v>
      </c>
      <c r="Q26" s="1583" t="s">
        <v>4896</v>
      </c>
      <c r="R26" s="1629" t="s">
        <v>5170</v>
      </c>
      <c r="S26" s="1616"/>
      <c r="T26" s="1616"/>
      <c r="U26" s="1620"/>
      <c r="V26" s="1543"/>
      <c r="W26" s="1543"/>
      <c r="X26" s="1543"/>
      <c r="Y26" s="1543"/>
      <c r="Z26" s="1543"/>
      <c r="AA26" s="1543"/>
      <c r="AB26" s="1543"/>
      <c r="AC26" s="1543"/>
      <c r="AD26" s="1430"/>
      <c r="AE26" s="1430"/>
      <c r="AF26" s="1430"/>
      <c r="AG26" s="1430"/>
      <c r="AH26" s="1430"/>
      <c r="AI26" s="1430"/>
    </row>
    <row r="27" ht="15.75" customHeight="1">
      <c r="A27" s="1568">
        <v>1.0</v>
      </c>
      <c r="B27" s="1622">
        <v>46073.0</v>
      </c>
      <c r="C27" s="1568" t="s">
        <v>5275</v>
      </c>
      <c r="D27" s="1568" t="s">
        <v>5274</v>
      </c>
      <c r="E27" s="1629" t="s">
        <v>557</v>
      </c>
      <c r="F27" s="1624" t="s">
        <v>5276</v>
      </c>
      <c r="G27" s="1568">
        <v>0.08</v>
      </c>
      <c r="H27" s="1568">
        <v>36.0</v>
      </c>
      <c r="I27" s="1626">
        <v>3600.0</v>
      </c>
      <c r="J27" s="1616"/>
      <c r="K27" s="1568" t="s">
        <v>4883</v>
      </c>
      <c r="L27" s="1578"/>
      <c r="M27" s="1578"/>
      <c r="N27" s="1655" t="s">
        <v>1343</v>
      </c>
      <c r="O27" s="1616"/>
      <c r="P27" s="1583" t="s">
        <v>5274</v>
      </c>
      <c r="Q27" s="1583" t="s">
        <v>4896</v>
      </c>
      <c r="R27" s="1629" t="s">
        <v>5289</v>
      </c>
      <c r="S27" s="1616"/>
      <c r="T27" s="1616"/>
      <c r="U27" s="1620"/>
      <c r="V27" s="1543"/>
      <c r="W27" s="1543"/>
      <c r="X27" s="1543"/>
      <c r="Y27" s="1543"/>
      <c r="Z27" s="1543"/>
      <c r="AA27" s="1543"/>
      <c r="AB27" s="1543"/>
      <c r="AC27" s="1543"/>
      <c r="AD27" s="1430"/>
      <c r="AE27" s="1430"/>
      <c r="AF27" s="1430"/>
      <c r="AG27" s="1430"/>
      <c r="AH27" s="1430"/>
      <c r="AI27" s="1430"/>
    </row>
    <row r="28" ht="15.75" customHeight="1">
      <c r="A28" s="1568">
        <v>1.0</v>
      </c>
      <c r="B28" s="1622">
        <v>46074.0</v>
      </c>
      <c r="C28" s="1568" t="s">
        <v>5290</v>
      </c>
      <c r="D28" s="1568" t="s">
        <v>5291</v>
      </c>
      <c r="E28" s="1629" t="s">
        <v>5292</v>
      </c>
      <c r="F28" s="1624" t="s">
        <v>5293</v>
      </c>
      <c r="G28" s="1578"/>
      <c r="H28" s="1578"/>
      <c r="I28" s="1626">
        <v>2800.0</v>
      </c>
      <c r="J28" s="1629">
        <v>1.0</v>
      </c>
      <c r="K28" s="1659" t="s">
        <v>5294</v>
      </c>
      <c r="L28" s="1663">
        <v>42500.0</v>
      </c>
      <c r="M28" s="1578"/>
      <c r="N28" s="1655" t="s">
        <v>1343</v>
      </c>
      <c r="O28" s="1616"/>
      <c r="P28" s="1583" t="s">
        <v>5291</v>
      </c>
      <c r="Q28" s="1583" t="s">
        <v>4896</v>
      </c>
      <c r="R28" s="1629" t="s">
        <v>5302</v>
      </c>
      <c r="S28" s="1616"/>
      <c r="T28" s="1616"/>
      <c r="U28" s="1620"/>
      <c r="V28" s="1543"/>
      <c r="W28" s="1543"/>
      <c r="X28" s="1543"/>
      <c r="Y28" s="1543"/>
      <c r="Z28" s="1543"/>
      <c r="AA28" s="1543"/>
      <c r="AB28" s="1543"/>
      <c r="AC28" s="1543"/>
      <c r="AD28" s="1430"/>
      <c r="AE28" s="1430"/>
      <c r="AF28" s="1430"/>
      <c r="AG28" s="1430"/>
      <c r="AH28" s="1430"/>
      <c r="AI28" s="1430"/>
    </row>
    <row r="29" ht="15.75" customHeight="1">
      <c r="A29" s="1568">
        <v>1.0</v>
      </c>
      <c r="B29" s="1622">
        <v>46076.0</v>
      </c>
      <c r="C29" s="1568" t="s">
        <v>5303</v>
      </c>
      <c r="D29" s="1568" t="s">
        <v>4147</v>
      </c>
      <c r="E29" s="1629" t="s">
        <v>5304</v>
      </c>
      <c r="F29" s="1624" t="s">
        <v>5305</v>
      </c>
      <c r="G29" s="1578"/>
      <c r="H29" s="1578"/>
      <c r="I29" s="1626">
        <v>4750.0</v>
      </c>
      <c r="J29" s="1629">
        <v>1.0</v>
      </c>
      <c r="K29" s="1659" t="s">
        <v>5306</v>
      </c>
      <c r="L29" s="1663">
        <v>42500.0</v>
      </c>
      <c r="M29" s="1578"/>
      <c r="N29" s="1655" t="s">
        <v>1343</v>
      </c>
      <c r="O29" s="1578"/>
      <c r="P29" s="1583" t="s">
        <v>5307</v>
      </c>
      <c r="Q29" s="1583" t="s">
        <v>4896</v>
      </c>
      <c r="R29" s="1629" t="s">
        <v>5302</v>
      </c>
      <c r="S29" s="1616"/>
      <c r="T29" s="1616"/>
      <c r="U29" s="1620"/>
      <c r="V29" s="1543"/>
      <c r="W29" s="1543"/>
      <c r="X29" s="1543"/>
      <c r="Y29" s="1543"/>
      <c r="Z29" s="1543"/>
      <c r="AA29" s="1543"/>
      <c r="AB29" s="1543"/>
      <c r="AC29" s="1543"/>
      <c r="AD29" s="1430"/>
      <c r="AE29" s="1430"/>
      <c r="AF29" s="1430"/>
      <c r="AG29" s="1430"/>
      <c r="AH29" s="1430"/>
      <c r="AI29" s="1430"/>
    </row>
    <row r="30" ht="15.75" customHeight="1">
      <c r="A30" s="1629">
        <v>1.0</v>
      </c>
      <c r="B30" s="1622">
        <v>46078.0</v>
      </c>
      <c r="C30" s="1667" t="s">
        <v>5308</v>
      </c>
      <c r="D30" s="1667" t="s">
        <v>481</v>
      </c>
      <c r="E30" s="1667" t="s">
        <v>557</v>
      </c>
      <c r="F30" s="1667" t="s">
        <v>5309</v>
      </c>
      <c r="G30" s="1671">
        <v>1.91</v>
      </c>
      <c r="H30" s="1671">
        <v>810.13</v>
      </c>
      <c r="I30" s="1674">
        <v>48607.8</v>
      </c>
      <c r="J30" s="1671">
        <v>0.0</v>
      </c>
      <c r="K30" s="1616"/>
      <c r="L30" s="1616"/>
      <c r="M30" s="1671">
        <v>1.0</v>
      </c>
      <c r="N30" s="1667" t="s">
        <v>5336</v>
      </c>
      <c r="O30" s="1616"/>
      <c r="P30" s="1667" t="s">
        <v>4147</v>
      </c>
      <c r="Q30" s="1583" t="s">
        <v>4896</v>
      </c>
      <c r="R30" s="1667" t="s">
        <v>5337</v>
      </c>
      <c r="S30" s="1616"/>
      <c r="T30" s="1616"/>
      <c r="U30" s="1620"/>
      <c r="V30" s="1543"/>
      <c r="W30" s="1543"/>
      <c r="X30" s="1543"/>
      <c r="Y30" s="1543"/>
      <c r="Z30" s="1543"/>
      <c r="AA30" s="1543"/>
      <c r="AB30" s="1543"/>
      <c r="AC30" s="1543"/>
      <c r="AD30" s="1430"/>
      <c r="AE30" s="1430"/>
      <c r="AF30" s="1430"/>
      <c r="AG30" s="1430"/>
      <c r="AH30" s="1430"/>
      <c r="AI30" s="1430"/>
    </row>
    <row r="31" ht="15.75" customHeight="1">
      <c r="A31" s="1568">
        <v>1.0</v>
      </c>
      <c r="B31" s="1622">
        <v>46084.0</v>
      </c>
      <c r="C31" s="1629" t="s">
        <v>5339</v>
      </c>
      <c r="D31" s="1629" t="s">
        <v>5340</v>
      </c>
      <c r="E31" s="1568" t="s">
        <v>5341</v>
      </c>
      <c r="F31" s="1624" t="s">
        <v>5342</v>
      </c>
      <c r="G31" s="1568">
        <v>0.39</v>
      </c>
      <c r="H31" s="1568">
        <v>166.5</v>
      </c>
      <c r="I31" s="1626">
        <v>9990.0</v>
      </c>
      <c r="J31" s="1629">
        <v>0.0</v>
      </c>
      <c r="K31" s="1578"/>
      <c r="L31" s="1578"/>
      <c r="M31" s="1653">
        <v>0.0</v>
      </c>
      <c r="N31" s="1578"/>
      <c r="O31" s="1616"/>
      <c r="P31" s="1629" t="s">
        <v>2473</v>
      </c>
      <c r="Q31" s="1583" t="s">
        <v>4896</v>
      </c>
      <c r="R31" s="1568" t="s">
        <v>5345</v>
      </c>
      <c r="S31" s="1616"/>
      <c r="T31" s="1616"/>
      <c r="U31" s="1620"/>
      <c r="V31" s="1543"/>
      <c r="W31" s="1543"/>
      <c r="X31" s="1543"/>
      <c r="Y31" s="1543"/>
      <c r="Z31" s="1543"/>
      <c r="AA31" s="1543"/>
      <c r="AB31" s="1543"/>
      <c r="AC31" s="1543"/>
      <c r="AD31" s="1430"/>
      <c r="AE31" s="1430"/>
      <c r="AF31" s="1430"/>
      <c r="AG31" s="1430"/>
      <c r="AH31" s="1430"/>
      <c r="AI31" s="1430"/>
    </row>
    <row r="32" ht="15.75" customHeight="1">
      <c r="A32" s="1568">
        <v>1.0</v>
      </c>
      <c r="B32" s="1622">
        <v>46087.0</v>
      </c>
      <c r="C32" s="1629" t="s">
        <v>5346</v>
      </c>
      <c r="D32" s="1629" t="s">
        <v>4718</v>
      </c>
      <c r="E32" s="1629" t="s">
        <v>5347</v>
      </c>
      <c r="F32" s="1624" t="s">
        <v>5348</v>
      </c>
      <c r="G32" s="1568">
        <v>0.19</v>
      </c>
      <c r="H32" s="1568">
        <v>81.49</v>
      </c>
      <c r="I32" s="1626">
        <v>4074.5</v>
      </c>
      <c r="J32" s="1629">
        <v>0.0</v>
      </c>
      <c r="K32" s="1578"/>
      <c r="L32" s="1578"/>
      <c r="M32" s="1653">
        <v>1.0</v>
      </c>
      <c r="N32" s="1677" t="s">
        <v>5356</v>
      </c>
      <c r="O32" s="1616"/>
      <c r="P32" s="1629" t="s">
        <v>5274</v>
      </c>
      <c r="Q32" s="1583" t="s">
        <v>4896</v>
      </c>
      <c r="R32" s="1629" t="s">
        <v>5365</v>
      </c>
      <c r="S32" s="1631">
        <v>46181.0</v>
      </c>
      <c r="T32" s="1631">
        <v>46188.0</v>
      </c>
      <c r="U32" s="1620"/>
      <c r="V32" s="1543"/>
      <c r="W32" s="1543"/>
      <c r="X32" s="1543"/>
      <c r="Y32" s="1543"/>
      <c r="Z32" s="1543"/>
      <c r="AA32" s="1543"/>
      <c r="AB32" s="1543"/>
      <c r="AC32" s="1543"/>
      <c r="AD32" s="1430"/>
      <c r="AE32" s="1430"/>
      <c r="AF32" s="1430"/>
      <c r="AG32" s="1430"/>
      <c r="AH32" s="1430"/>
      <c r="AI32" s="1430"/>
    </row>
    <row r="33" ht="15.75" customHeight="1">
      <c r="A33" s="1568">
        <v>1.0</v>
      </c>
      <c r="B33" s="1622">
        <v>46091.0</v>
      </c>
      <c r="C33" s="1629" t="s">
        <v>1063</v>
      </c>
      <c r="D33" s="1629" t="s">
        <v>228</v>
      </c>
      <c r="E33" s="1568" t="s">
        <v>5370</v>
      </c>
      <c r="F33" s="1568" t="s">
        <v>5371</v>
      </c>
      <c r="G33" s="1568">
        <v>0.47</v>
      </c>
      <c r="H33" s="1568">
        <v>200.0</v>
      </c>
      <c r="I33" s="1626">
        <v>10000.0</v>
      </c>
      <c r="J33" s="1629">
        <v>0.0</v>
      </c>
      <c r="K33" s="1578"/>
      <c r="L33" s="1578"/>
      <c r="M33" s="1677">
        <v>0.0</v>
      </c>
      <c r="N33" s="1578"/>
      <c r="O33" s="1616"/>
      <c r="P33" s="1629" t="s">
        <v>228</v>
      </c>
      <c r="Q33" s="1578"/>
      <c r="R33" s="1629" t="s">
        <v>5372</v>
      </c>
      <c r="S33" s="1616"/>
      <c r="T33" s="1616"/>
      <c r="U33" s="1620"/>
      <c r="V33" s="1543"/>
      <c r="W33" s="1543"/>
      <c r="X33" s="1543"/>
      <c r="Y33" s="1543"/>
      <c r="Z33" s="1543"/>
      <c r="AA33" s="1543"/>
      <c r="AB33" s="1543"/>
      <c r="AC33" s="1543"/>
      <c r="AD33" s="1430"/>
      <c r="AE33" s="1430"/>
      <c r="AF33" s="1430"/>
      <c r="AG33" s="1430"/>
      <c r="AH33" s="1430"/>
      <c r="AI33" s="1430"/>
    </row>
    <row r="34" ht="15.75" customHeight="1">
      <c r="A34" s="1568">
        <v>1.0</v>
      </c>
      <c r="B34" s="1622">
        <v>46098.0</v>
      </c>
      <c r="C34" s="1629" t="s">
        <v>5374</v>
      </c>
      <c r="D34" s="1629" t="s">
        <v>5375</v>
      </c>
      <c r="E34" s="1629" t="s">
        <v>5376</v>
      </c>
      <c r="F34" s="1568" t="s">
        <v>5377</v>
      </c>
      <c r="G34" s="1568">
        <v>0.41</v>
      </c>
      <c r="H34" s="1568">
        <v>176.0</v>
      </c>
      <c r="I34" s="1626">
        <v>12389.3</v>
      </c>
      <c r="J34" s="1629">
        <v>0.0</v>
      </c>
      <c r="K34" s="1578"/>
      <c r="L34" s="1578"/>
      <c r="M34" s="1653">
        <v>0.0</v>
      </c>
      <c r="N34" s="1578"/>
      <c r="O34" s="1616"/>
      <c r="P34" s="1629" t="s">
        <v>5378</v>
      </c>
      <c r="Q34" s="1578"/>
      <c r="R34" s="1629" t="s">
        <v>5379</v>
      </c>
      <c r="S34" s="1616"/>
      <c r="T34" s="1616"/>
      <c r="U34" s="1620"/>
      <c r="V34" s="1543"/>
      <c r="W34" s="1543"/>
      <c r="X34" s="1543"/>
      <c r="Y34" s="1543"/>
      <c r="Z34" s="1543"/>
      <c r="AA34" s="1543"/>
      <c r="AB34" s="1543"/>
      <c r="AC34" s="1543"/>
      <c r="AD34" s="1430"/>
      <c r="AE34" s="1430"/>
      <c r="AF34" s="1430"/>
      <c r="AG34" s="1430"/>
      <c r="AH34" s="1430"/>
      <c r="AI34" s="1430"/>
    </row>
    <row r="35" ht="15.75" customHeight="1">
      <c r="A35" s="1568">
        <v>1.0</v>
      </c>
      <c r="B35" s="1622">
        <v>46099.0</v>
      </c>
      <c r="C35" s="1629" t="s">
        <v>5374</v>
      </c>
      <c r="D35" s="1568" t="s">
        <v>134</v>
      </c>
      <c r="E35" s="1568" t="s">
        <v>5380</v>
      </c>
      <c r="F35" s="1568" t="s">
        <v>5381</v>
      </c>
      <c r="G35" s="1578"/>
      <c r="H35" s="1578"/>
      <c r="I35" s="1629">
        <v>355.0</v>
      </c>
      <c r="J35" s="1629">
        <v>0.0</v>
      </c>
      <c r="K35" s="1578"/>
      <c r="L35" s="1578"/>
      <c r="M35" s="1677">
        <v>0.0</v>
      </c>
      <c r="N35" s="1578"/>
      <c r="O35" s="1616"/>
      <c r="P35" s="1568" t="s">
        <v>5177</v>
      </c>
      <c r="Q35" s="1568" t="s">
        <v>4896</v>
      </c>
      <c r="R35" s="1629" t="s">
        <v>5382</v>
      </c>
      <c r="S35" s="1616"/>
      <c r="T35" s="1616"/>
      <c r="U35" s="1620"/>
      <c r="V35" s="1543"/>
      <c r="W35" s="1543"/>
      <c r="X35" s="1543"/>
      <c r="Y35" s="1543"/>
      <c r="Z35" s="1543"/>
      <c r="AA35" s="1543"/>
      <c r="AB35" s="1543"/>
      <c r="AC35" s="1543"/>
      <c r="AD35" s="1430"/>
      <c r="AE35" s="1430"/>
      <c r="AF35" s="1430"/>
      <c r="AG35" s="1430"/>
      <c r="AH35" s="1430"/>
      <c r="AI35" s="1430"/>
    </row>
    <row r="36" ht="60.75" customHeight="1">
      <c r="A36" s="1683">
        <v>1.0</v>
      </c>
      <c r="B36" s="1687">
        <v>46101.0</v>
      </c>
      <c r="C36" s="1683" t="s">
        <v>5389</v>
      </c>
      <c r="D36" s="1683" t="s">
        <v>503</v>
      </c>
      <c r="E36" s="1683" t="s">
        <v>5390</v>
      </c>
      <c r="F36" s="1683" t="s">
        <v>5391</v>
      </c>
      <c r="G36" s="1683">
        <v>0.14</v>
      </c>
      <c r="H36" s="1683">
        <v>61.99</v>
      </c>
      <c r="I36" s="1691">
        <v>4339.0</v>
      </c>
      <c r="J36" s="1629">
        <v>1.0</v>
      </c>
      <c r="K36" s="1659" t="s">
        <v>5395</v>
      </c>
      <c r="L36" s="1659">
        <v>25000.0</v>
      </c>
      <c r="M36" s="1695">
        <v>0.0</v>
      </c>
      <c r="N36" s="1699"/>
      <c r="O36" s="1703"/>
      <c r="P36" s="1683" t="s">
        <v>503</v>
      </c>
      <c r="Q36" s="1683" t="s">
        <v>4896</v>
      </c>
      <c r="R36" s="1683" t="s">
        <v>5401</v>
      </c>
      <c r="S36" s="1703"/>
      <c r="T36" s="1703"/>
      <c r="U36" s="1710"/>
      <c r="V36" s="1543"/>
      <c r="W36" s="1543"/>
      <c r="X36" s="1543"/>
      <c r="Y36" s="1543"/>
      <c r="Z36" s="1543"/>
      <c r="AA36" s="1543"/>
      <c r="AB36" s="1543"/>
      <c r="AC36" s="1543"/>
      <c r="AD36" s="1430"/>
      <c r="AE36" s="1430"/>
      <c r="AF36" s="1430"/>
      <c r="AG36" s="1430"/>
      <c r="AH36" s="1430"/>
      <c r="AI36" s="1430"/>
    </row>
    <row r="37">
      <c r="A37" s="779"/>
      <c r="B37" s="779"/>
      <c r="C37" s="779"/>
      <c r="D37" s="779"/>
      <c r="E37" s="779"/>
      <c r="F37" s="779"/>
      <c r="G37" s="779"/>
      <c r="H37" s="779"/>
      <c r="I37" s="779"/>
      <c r="J37" s="1629">
        <v>1.0</v>
      </c>
      <c r="K37" s="1659" t="s">
        <v>5416</v>
      </c>
      <c r="L37" s="1659">
        <v>25000.0</v>
      </c>
      <c r="M37" s="779"/>
      <c r="N37" s="779"/>
      <c r="O37" s="779"/>
      <c r="P37" s="779"/>
      <c r="Q37" s="779"/>
      <c r="R37" s="779"/>
      <c r="S37" s="779"/>
      <c r="T37" s="779"/>
      <c r="U37" s="1384"/>
      <c r="V37" s="1543"/>
      <c r="W37" s="1543"/>
      <c r="X37" s="1543"/>
      <c r="Y37" s="1543"/>
      <c r="Z37" s="1543"/>
      <c r="AA37" s="1543"/>
      <c r="AB37" s="1543"/>
      <c r="AC37" s="1543"/>
      <c r="AD37" s="1430"/>
      <c r="AE37" s="1430"/>
      <c r="AF37" s="1430"/>
      <c r="AG37" s="1430"/>
      <c r="AH37" s="1430"/>
      <c r="AI37" s="1430"/>
    </row>
    <row r="38" ht="15.75" customHeight="1">
      <c r="A38" s="1568">
        <v>1.0</v>
      </c>
      <c r="B38" s="1622">
        <v>46102.0</v>
      </c>
      <c r="C38" s="1629" t="s">
        <v>5420</v>
      </c>
      <c r="D38" s="1629" t="s">
        <v>4718</v>
      </c>
      <c r="E38" s="1629" t="s">
        <v>5422</v>
      </c>
      <c r="F38" s="1568" t="s">
        <v>5424</v>
      </c>
      <c r="G38" s="1568">
        <v>0.16</v>
      </c>
      <c r="H38" s="1568">
        <v>69.0</v>
      </c>
      <c r="I38" s="1626">
        <v>4140.0</v>
      </c>
      <c r="J38" s="1629">
        <v>0.0</v>
      </c>
      <c r="K38" s="1578"/>
      <c r="L38" s="1578"/>
      <c r="M38" s="1653">
        <v>1.0</v>
      </c>
      <c r="N38" s="1677" t="s">
        <v>5426</v>
      </c>
      <c r="O38" s="1629">
        <v>2000.0</v>
      </c>
      <c r="P38" s="1629" t="s">
        <v>5274</v>
      </c>
      <c r="Q38" s="1568" t="s">
        <v>4896</v>
      </c>
      <c r="R38" s="1629" t="s">
        <v>5427</v>
      </c>
      <c r="S38" s="1616"/>
      <c r="T38" s="1616"/>
      <c r="U38" s="1620"/>
      <c r="V38" s="1543"/>
      <c r="W38" s="1543"/>
      <c r="X38" s="1543"/>
      <c r="Y38" s="1543"/>
      <c r="Z38" s="1543"/>
      <c r="AA38" s="1543"/>
      <c r="AB38" s="1543"/>
      <c r="AC38" s="1543"/>
      <c r="AD38" s="1430"/>
      <c r="AE38" s="1430"/>
      <c r="AF38" s="1430"/>
      <c r="AG38" s="1430"/>
      <c r="AH38" s="1430"/>
      <c r="AI38" s="1430"/>
    </row>
    <row r="39" ht="15.75" customHeight="1">
      <c r="A39" s="1568">
        <v>1.0</v>
      </c>
      <c r="B39" s="1622">
        <v>46106.0</v>
      </c>
      <c r="C39" s="1629" t="s">
        <v>5428</v>
      </c>
      <c r="D39" s="1629" t="s">
        <v>1033</v>
      </c>
      <c r="E39" s="1568" t="s">
        <v>557</v>
      </c>
      <c r="F39" s="1568" t="s">
        <v>5432</v>
      </c>
      <c r="G39" s="1568">
        <v>0.27</v>
      </c>
      <c r="H39" s="1568">
        <v>114.48</v>
      </c>
      <c r="I39" s="1626">
        <v>6360.0</v>
      </c>
      <c r="J39" s="1629">
        <v>0.0</v>
      </c>
      <c r="K39" s="1578"/>
      <c r="L39" s="1578"/>
      <c r="M39" s="1677">
        <v>0.0</v>
      </c>
      <c r="N39" s="1578"/>
      <c r="O39" s="1616"/>
      <c r="P39" s="1629" t="s">
        <v>5177</v>
      </c>
      <c r="Q39" s="1568" t="s">
        <v>4896</v>
      </c>
      <c r="R39" s="1629" t="s">
        <v>5437</v>
      </c>
      <c r="S39" s="1616"/>
      <c r="T39" s="1616"/>
      <c r="U39" s="1620"/>
      <c r="V39" s="1543"/>
      <c r="W39" s="1543"/>
      <c r="X39" s="1543"/>
      <c r="Y39" s="1543"/>
      <c r="Z39" s="1543"/>
      <c r="AA39" s="1543"/>
      <c r="AB39" s="1543"/>
      <c r="AC39" s="1543"/>
      <c r="AD39" s="1430"/>
      <c r="AE39" s="1430"/>
      <c r="AF39" s="1430"/>
      <c r="AG39" s="1430"/>
      <c r="AH39" s="1430"/>
      <c r="AI39" s="1430"/>
    </row>
    <row r="40" ht="15.75" customHeight="1">
      <c r="A40" s="1568">
        <v>1.0</v>
      </c>
      <c r="B40" s="1622">
        <v>46109.0</v>
      </c>
      <c r="C40" s="1629" t="s">
        <v>5439</v>
      </c>
      <c r="D40" s="1629" t="s">
        <v>228</v>
      </c>
      <c r="E40" s="1568" t="s">
        <v>5440</v>
      </c>
      <c r="F40" s="1568" t="s">
        <v>5441</v>
      </c>
      <c r="G40" s="1568">
        <v>0.19</v>
      </c>
      <c r="H40" s="1568">
        <v>82.5</v>
      </c>
      <c r="I40" s="1626">
        <v>4950.0</v>
      </c>
      <c r="J40" s="1629">
        <v>0.0</v>
      </c>
      <c r="K40" s="1578"/>
      <c r="L40" s="1578"/>
      <c r="M40" s="1677">
        <v>0.0</v>
      </c>
      <c r="N40" s="1578"/>
      <c r="O40" s="1616"/>
      <c r="P40" s="1629" t="s">
        <v>228</v>
      </c>
      <c r="Q40" s="1568" t="s">
        <v>4896</v>
      </c>
      <c r="R40" s="1629" t="s">
        <v>5443</v>
      </c>
      <c r="S40" s="1616"/>
      <c r="T40" s="1616"/>
      <c r="U40" s="1620"/>
      <c r="V40" s="1543"/>
      <c r="W40" s="1543"/>
      <c r="X40" s="1543"/>
      <c r="Y40" s="1543"/>
      <c r="Z40" s="1543"/>
      <c r="AA40" s="1543"/>
      <c r="AB40" s="1543"/>
      <c r="AC40" s="1543"/>
      <c r="AD40" s="1430"/>
      <c r="AE40" s="1430"/>
      <c r="AF40" s="1430"/>
      <c r="AG40" s="1430"/>
      <c r="AH40" s="1430"/>
      <c r="AI40" s="1430"/>
    </row>
    <row r="41" ht="15.75" customHeight="1">
      <c r="A41" s="1568">
        <v>1.0</v>
      </c>
      <c r="B41" s="1622">
        <v>46122.0</v>
      </c>
      <c r="C41" s="1629" t="s">
        <v>5448</v>
      </c>
      <c r="D41" s="1629" t="s">
        <v>4718</v>
      </c>
      <c r="E41" s="1568" t="s">
        <v>5451</v>
      </c>
      <c r="F41" s="1568" t="s">
        <v>5452</v>
      </c>
      <c r="G41" s="1568">
        <v>0.22</v>
      </c>
      <c r="H41" s="1568">
        <v>94.33</v>
      </c>
      <c r="I41" s="1626">
        <v>6603.1</v>
      </c>
      <c r="J41" s="1629">
        <v>0.0</v>
      </c>
      <c r="K41" s="1578"/>
      <c r="L41" s="1578"/>
      <c r="M41" s="1653">
        <v>0.0</v>
      </c>
      <c r="N41" s="1578"/>
      <c r="O41" s="1616"/>
      <c r="P41" s="1629" t="s">
        <v>5274</v>
      </c>
      <c r="Q41" s="1568" t="s">
        <v>4896</v>
      </c>
      <c r="R41" s="1629" t="s">
        <v>5443</v>
      </c>
      <c r="S41" s="1616"/>
      <c r="T41" s="1616"/>
      <c r="U41" s="1620"/>
      <c r="V41" s="1543"/>
      <c r="W41" s="1543"/>
      <c r="X41" s="1543"/>
      <c r="Y41" s="1543"/>
      <c r="Z41" s="1543"/>
      <c r="AA41" s="1543"/>
      <c r="AB41" s="1543"/>
      <c r="AC41" s="1543"/>
      <c r="AD41" s="1430"/>
      <c r="AE41" s="1430"/>
      <c r="AF41" s="1430"/>
      <c r="AG41" s="1430"/>
      <c r="AH41" s="1430"/>
      <c r="AI41" s="1430"/>
    </row>
    <row r="42" ht="15.75" customHeight="1">
      <c r="A42" s="1568">
        <v>1.0</v>
      </c>
      <c r="B42" s="1622">
        <v>46141.0</v>
      </c>
      <c r="C42" s="1629" t="s">
        <v>5453</v>
      </c>
      <c r="D42" s="1629" t="s">
        <v>503</v>
      </c>
      <c r="E42" s="1659" t="s">
        <v>5454</v>
      </c>
      <c r="F42" s="1568" t="s">
        <v>5455</v>
      </c>
      <c r="G42" s="1568">
        <v>0.42</v>
      </c>
      <c r="H42" s="1568">
        <v>178.08</v>
      </c>
      <c r="I42" s="1626">
        <v>5324.0</v>
      </c>
      <c r="J42" s="1629">
        <v>0.0</v>
      </c>
      <c r="K42" s="1578"/>
      <c r="L42" s="1578"/>
      <c r="M42" s="1677">
        <v>0.0</v>
      </c>
      <c r="N42" s="1578"/>
      <c r="O42" s="1616"/>
      <c r="P42" s="1629" t="s">
        <v>503</v>
      </c>
      <c r="Q42" s="1568" t="s">
        <v>5460</v>
      </c>
      <c r="R42" s="1616"/>
      <c r="S42" s="1616"/>
      <c r="T42" s="1616"/>
      <c r="U42" s="1620"/>
      <c r="V42" s="1543"/>
      <c r="W42" s="1543"/>
      <c r="X42" s="1543"/>
      <c r="Y42" s="1543"/>
      <c r="Z42" s="1543"/>
      <c r="AA42" s="1543"/>
      <c r="AB42" s="1543"/>
      <c r="AC42" s="1543"/>
      <c r="AD42" s="1430"/>
      <c r="AE42" s="1430"/>
      <c r="AF42" s="1430"/>
      <c r="AG42" s="1430"/>
      <c r="AH42" s="1430"/>
      <c r="AI42" s="1430"/>
    </row>
    <row r="43" ht="15.75" customHeight="1">
      <c r="A43" s="1568">
        <v>1.0</v>
      </c>
      <c r="B43" s="1622">
        <v>46142.0</v>
      </c>
      <c r="C43" s="1629" t="s">
        <v>5463</v>
      </c>
      <c r="D43" s="1629" t="s">
        <v>606</v>
      </c>
      <c r="E43" s="1568" t="s">
        <v>5464</v>
      </c>
      <c r="F43" s="1568" t="s">
        <v>5465</v>
      </c>
      <c r="G43" s="1568">
        <v>0.8</v>
      </c>
      <c r="H43" s="1568">
        <v>341.83</v>
      </c>
      <c r="I43" s="1576">
        <v>20509.8</v>
      </c>
      <c r="J43" s="1568">
        <v>0.0</v>
      </c>
      <c r="K43" s="1578"/>
      <c r="L43" s="1578"/>
      <c r="M43" s="1640">
        <v>0.0</v>
      </c>
      <c r="N43" s="1578"/>
      <c r="O43" s="1616"/>
      <c r="P43" s="1583" t="s">
        <v>606</v>
      </c>
      <c r="Q43" s="1583" t="s">
        <v>5471</v>
      </c>
      <c r="R43" s="1616"/>
      <c r="S43" s="1616"/>
      <c r="T43" s="1616"/>
      <c r="U43" s="1620"/>
      <c r="V43" s="1543"/>
      <c r="W43" s="1543"/>
      <c r="X43" s="1543"/>
      <c r="Y43" s="1543"/>
      <c r="Z43" s="1543"/>
      <c r="AA43" s="1543"/>
      <c r="AB43" s="1543"/>
      <c r="AC43" s="1543"/>
      <c r="AD43" s="1430"/>
      <c r="AE43" s="1430"/>
      <c r="AF43" s="1430"/>
      <c r="AG43" s="1430"/>
      <c r="AH43" s="1430"/>
      <c r="AI43" s="1430"/>
    </row>
    <row r="44" ht="15.75" customHeight="1">
      <c r="A44" s="1568">
        <v>1.0</v>
      </c>
      <c r="B44" s="1622">
        <v>46143.0</v>
      </c>
      <c r="C44" s="1629" t="s">
        <v>4566</v>
      </c>
      <c r="D44" s="1629" t="s">
        <v>134</v>
      </c>
      <c r="E44" s="1568" t="s">
        <v>557</v>
      </c>
      <c r="F44" s="1568" t="s">
        <v>5474</v>
      </c>
      <c r="G44" s="1568">
        <v>1.27</v>
      </c>
      <c r="H44" s="1568">
        <v>538.6</v>
      </c>
      <c r="I44" s="1576">
        <v>37702.0</v>
      </c>
      <c r="J44" s="1568">
        <v>0.0</v>
      </c>
      <c r="K44" s="1578"/>
      <c r="L44" s="1578"/>
      <c r="M44" s="1653">
        <v>0.0</v>
      </c>
      <c r="N44" s="1578"/>
      <c r="O44" s="1616"/>
      <c r="P44" s="1583" t="s">
        <v>134</v>
      </c>
      <c r="Q44" s="1583" t="s">
        <v>5477</v>
      </c>
      <c r="R44" s="1616"/>
      <c r="S44" s="1616"/>
      <c r="T44" s="1616"/>
      <c r="U44" s="1620"/>
      <c r="V44" s="1543"/>
      <c r="W44" s="1543"/>
      <c r="X44" s="1543"/>
      <c r="Y44" s="1543"/>
      <c r="Z44" s="1543"/>
      <c r="AA44" s="1543"/>
      <c r="AB44" s="1543"/>
      <c r="AC44" s="1543"/>
      <c r="AD44" s="1430"/>
      <c r="AE44" s="1430"/>
      <c r="AF44" s="1430"/>
      <c r="AG44" s="1430"/>
      <c r="AH44" s="1430"/>
      <c r="AI44" s="1430"/>
    </row>
    <row r="45" ht="15.75" customHeight="1">
      <c r="A45" s="1568">
        <v>1.0</v>
      </c>
      <c r="B45" s="1622">
        <v>46148.0</v>
      </c>
      <c r="C45" s="1629" t="s">
        <v>5479</v>
      </c>
      <c r="D45" s="1629" t="s">
        <v>228</v>
      </c>
      <c r="E45" s="1568" t="s">
        <v>5480</v>
      </c>
      <c r="F45" s="1568" t="s">
        <v>5481</v>
      </c>
      <c r="G45" s="1568">
        <v>0.34</v>
      </c>
      <c r="H45" s="1568">
        <v>144.16</v>
      </c>
      <c r="I45" s="1576">
        <v>9370.0</v>
      </c>
      <c r="J45" s="1568">
        <v>0.0</v>
      </c>
      <c r="K45" s="1578"/>
      <c r="L45" s="1578"/>
      <c r="M45" s="1653">
        <v>1.0</v>
      </c>
      <c r="N45" s="1653" t="s">
        <v>5482</v>
      </c>
      <c r="O45" s="1616"/>
      <c r="P45" s="1629" t="s">
        <v>2473</v>
      </c>
      <c r="Q45" s="1583" t="s">
        <v>5471</v>
      </c>
      <c r="R45" s="1616"/>
      <c r="S45" s="1616"/>
      <c r="T45" s="1616"/>
      <c r="U45" s="1620"/>
      <c r="V45" s="1543"/>
      <c r="W45" s="1543"/>
      <c r="X45" s="1543"/>
      <c r="Y45" s="1543"/>
      <c r="Z45" s="1543"/>
      <c r="AA45" s="1543"/>
      <c r="AB45" s="1543"/>
      <c r="AC45" s="1543"/>
      <c r="AD45" s="1430"/>
      <c r="AE45" s="1430"/>
      <c r="AF45" s="1430"/>
      <c r="AG45" s="1430"/>
      <c r="AH45" s="1430"/>
      <c r="AI45" s="1430"/>
    </row>
    <row r="46" ht="15.75" customHeight="1">
      <c r="A46" s="1719">
        <v>1.0</v>
      </c>
      <c r="B46" s="1720">
        <v>46150.0</v>
      </c>
      <c r="C46" s="1723" t="s">
        <v>1765</v>
      </c>
      <c r="D46" s="1723" t="s">
        <v>1969</v>
      </c>
      <c r="E46" s="1719" t="s">
        <v>557</v>
      </c>
      <c r="F46" s="1719" t="s">
        <v>5528</v>
      </c>
      <c r="G46" s="1719">
        <v>0.27</v>
      </c>
      <c r="H46" s="1719">
        <v>188.0</v>
      </c>
      <c r="I46" s="1726">
        <v>8260.0</v>
      </c>
      <c r="J46" s="1719">
        <v>0.0</v>
      </c>
      <c r="K46" s="1729"/>
      <c r="L46" s="1729"/>
      <c r="M46" s="1734">
        <v>0.0</v>
      </c>
      <c r="N46" s="1729"/>
      <c r="O46" s="1739"/>
      <c r="P46" s="1723" t="s">
        <v>5568</v>
      </c>
      <c r="Q46" s="1742" t="s">
        <v>5569</v>
      </c>
      <c r="R46" s="1739"/>
      <c r="S46" s="1616"/>
      <c r="T46" s="1616"/>
      <c r="U46" s="1620"/>
      <c r="V46" s="1543"/>
      <c r="W46" s="1543"/>
      <c r="X46" s="1543"/>
      <c r="Y46" s="1543"/>
      <c r="Z46" s="1543"/>
      <c r="AA46" s="1543"/>
      <c r="AB46" s="1543"/>
      <c r="AC46" s="1543"/>
      <c r="AD46" s="1430"/>
      <c r="AE46" s="1430"/>
      <c r="AF46" s="1430"/>
      <c r="AG46" s="1430"/>
      <c r="AH46" s="1430"/>
      <c r="AI46" s="1430"/>
    </row>
    <row r="47" ht="15.75" customHeight="1">
      <c r="A47" s="1719">
        <v>1.0</v>
      </c>
      <c r="B47" s="1720">
        <v>46150.0</v>
      </c>
      <c r="C47" s="1723" t="s">
        <v>5573</v>
      </c>
      <c r="D47" s="1723" t="s">
        <v>503</v>
      </c>
      <c r="E47" s="1719" t="s">
        <v>5574</v>
      </c>
      <c r="F47" s="1719" t="s">
        <v>5575</v>
      </c>
      <c r="G47" s="1719">
        <v>1.78</v>
      </c>
      <c r="H47" s="1719">
        <v>754.72</v>
      </c>
      <c r="I47" s="1726">
        <v>29934.0</v>
      </c>
      <c r="J47" s="1719">
        <v>0.0</v>
      </c>
      <c r="K47" s="1729"/>
      <c r="L47" s="1729"/>
      <c r="M47" s="1734">
        <v>0.0</v>
      </c>
      <c r="N47" s="1729"/>
      <c r="O47" s="1739"/>
      <c r="P47" s="1742" t="s">
        <v>5579</v>
      </c>
      <c r="Q47" s="1742" t="s">
        <v>5471</v>
      </c>
      <c r="R47" s="1739"/>
      <c r="S47" s="1616"/>
      <c r="T47" s="1616"/>
      <c r="U47" s="1620"/>
      <c r="V47" s="1543"/>
      <c r="W47" s="1543"/>
      <c r="X47" s="1543"/>
      <c r="Y47" s="1543"/>
      <c r="Z47" s="1543"/>
      <c r="AA47" s="1543"/>
      <c r="AB47" s="1543"/>
      <c r="AC47" s="1543"/>
      <c r="AD47" s="1430"/>
      <c r="AE47" s="1430"/>
      <c r="AF47" s="1430"/>
      <c r="AG47" s="1430"/>
      <c r="AH47" s="1430"/>
      <c r="AI47" s="1430"/>
    </row>
    <row r="48" ht="15.75" customHeight="1">
      <c r="A48" s="1719">
        <v>1.0</v>
      </c>
      <c r="B48" s="1720">
        <v>46157.0</v>
      </c>
      <c r="C48" s="1723" t="s">
        <v>5582</v>
      </c>
      <c r="D48" s="1723" t="s">
        <v>481</v>
      </c>
      <c r="E48" s="1719" t="s">
        <v>557</v>
      </c>
      <c r="F48" s="1719" t="s">
        <v>5583</v>
      </c>
      <c r="G48" s="1719">
        <v>2.0</v>
      </c>
      <c r="H48" s="1719">
        <v>822.0</v>
      </c>
      <c r="I48" s="1726">
        <v>75330.0</v>
      </c>
      <c r="J48" s="1719">
        <v>0.0</v>
      </c>
      <c r="K48" s="1729"/>
      <c r="L48" s="1729"/>
      <c r="M48" s="1747">
        <v>0.0</v>
      </c>
      <c r="N48" s="1729"/>
      <c r="O48" s="1739"/>
      <c r="P48" s="1742" t="s">
        <v>1622</v>
      </c>
      <c r="Q48" s="1742" t="s">
        <v>5586</v>
      </c>
      <c r="R48" s="1739"/>
      <c r="S48" s="1616"/>
      <c r="T48" s="1616"/>
      <c r="U48" s="1620"/>
      <c r="V48" s="1543"/>
      <c r="W48" s="1543"/>
      <c r="X48" s="1543"/>
      <c r="Y48" s="1543"/>
      <c r="Z48" s="1543"/>
      <c r="AA48" s="1543"/>
      <c r="AB48" s="1543"/>
      <c r="AC48" s="1543"/>
      <c r="AD48" s="1430"/>
      <c r="AE48" s="1430"/>
      <c r="AF48" s="1430"/>
      <c r="AG48" s="1430"/>
      <c r="AH48" s="1430"/>
      <c r="AI48" s="1430"/>
    </row>
    <row r="49" ht="15.75" customHeight="1">
      <c r="A49" s="1719">
        <v>1.0</v>
      </c>
      <c r="B49" s="1720">
        <v>46162.0</v>
      </c>
      <c r="C49" s="1723" t="s">
        <v>1823</v>
      </c>
      <c r="D49" s="1723" t="s">
        <v>503</v>
      </c>
      <c r="E49" s="1719" t="s">
        <v>5587</v>
      </c>
      <c r="F49" s="1719" t="s">
        <v>5588</v>
      </c>
      <c r="G49" s="1719">
        <v>0.47</v>
      </c>
      <c r="H49" s="1719">
        <v>200.66</v>
      </c>
      <c r="I49" s="1726">
        <v>12039.6</v>
      </c>
      <c r="J49" s="1719">
        <v>0.0</v>
      </c>
      <c r="K49" s="1729"/>
      <c r="L49" s="1729"/>
      <c r="M49" s="1734">
        <v>0.0</v>
      </c>
      <c r="N49" s="1729"/>
      <c r="O49" s="1739"/>
      <c r="P49" s="1742" t="s">
        <v>1823</v>
      </c>
      <c r="Q49" s="1742" t="s">
        <v>5589</v>
      </c>
      <c r="R49" s="1739"/>
      <c r="S49" s="1616"/>
      <c r="T49" s="1616"/>
      <c r="U49" s="1620"/>
      <c r="V49" s="1543"/>
      <c r="W49" s="1543"/>
      <c r="X49" s="1543"/>
      <c r="Y49" s="1543"/>
      <c r="Z49" s="1543"/>
      <c r="AA49" s="1543"/>
      <c r="AB49" s="1543"/>
      <c r="AC49" s="1543"/>
      <c r="AD49" s="1430"/>
      <c r="AE49" s="1430"/>
      <c r="AF49" s="1430"/>
      <c r="AG49" s="1430"/>
      <c r="AH49" s="1430"/>
      <c r="AI49" s="1430"/>
    </row>
    <row r="50" ht="15.75" customHeight="1">
      <c r="A50" s="1719">
        <v>1.0</v>
      </c>
      <c r="B50" s="1720">
        <v>46172.0</v>
      </c>
      <c r="C50" s="1723" t="s">
        <v>5590</v>
      </c>
      <c r="D50" s="1723" t="s">
        <v>4718</v>
      </c>
      <c r="E50" s="1719" t="s">
        <v>5591</v>
      </c>
      <c r="F50" s="1719" t="s">
        <v>5592</v>
      </c>
      <c r="G50" s="1719">
        <v>0.29</v>
      </c>
      <c r="H50" s="1719">
        <v>132.07</v>
      </c>
      <c r="I50" s="1719" t="s">
        <v>5593</v>
      </c>
      <c r="J50" s="1719">
        <v>1.0</v>
      </c>
      <c r="K50" s="1752" t="s">
        <v>5594</v>
      </c>
      <c r="L50" s="1752">
        <v>800000.0</v>
      </c>
      <c r="M50" s="1734">
        <v>0.0</v>
      </c>
      <c r="N50" s="1729"/>
      <c r="O50" s="1739"/>
      <c r="P50" s="1742" t="s">
        <v>5274</v>
      </c>
      <c r="Q50" s="1729"/>
      <c r="R50" s="1739"/>
      <c r="S50" s="1616"/>
      <c r="T50" s="1616"/>
      <c r="U50" s="1620"/>
      <c r="V50" s="1543"/>
      <c r="W50" s="1543"/>
      <c r="X50" s="1543"/>
      <c r="Y50" s="1543"/>
      <c r="Z50" s="1543"/>
      <c r="AA50" s="1543"/>
      <c r="AB50" s="1543"/>
      <c r="AC50" s="1543"/>
      <c r="AD50" s="1430"/>
      <c r="AE50" s="1430"/>
      <c r="AF50" s="1430"/>
      <c r="AG50" s="1430"/>
      <c r="AH50" s="1430"/>
      <c r="AI50" s="1430"/>
    </row>
    <row r="51" ht="15.75" customHeight="1">
      <c r="A51" s="1719">
        <v>1.0</v>
      </c>
      <c r="B51" s="1720">
        <v>46172.0</v>
      </c>
      <c r="C51" s="1723" t="s">
        <v>5627</v>
      </c>
      <c r="D51" s="1757" t="s">
        <v>1058</v>
      </c>
      <c r="E51" s="1719" t="s">
        <v>5629</v>
      </c>
      <c r="F51" s="1719" t="s">
        <v>5630</v>
      </c>
      <c r="G51" s="1719">
        <v>0.4</v>
      </c>
      <c r="H51" s="1719">
        <v>173.0</v>
      </c>
      <c r="I51" s="1726">
        <v>8650.0</v>
      </c>
      <c r="J51" s="1719">
        <v>1.0</v>
      </c>
      <c r="K51" s="1752" t="s">
        <v>5631</v>
      </c>
      <c r="L51" s="1752">
        <v>30000.0</v>
      </c>
      <c r="M51" s="1734">
        <v>0.0</v>
      </c>
      <c r="N51" s="1729"/>
      <c r="O51" s="1739"/>
      <c r="P51" s="1742" t="s">
        <v>1058</v>
      </c>
      <c r="Q51" s="1729"/>
      <c r="R51" s="1739"/>
      <c r="S51" s="1616"/>
      <c r="T51" s="1616"/>
      <c r="U51" s="1620"/>
      <c r="V51" s="1543"/>
      <c r="W51" s="1543"/>
      <c r="X51" s="1543"/>
      <c r="Y51" s="1543"/>
      <c r="Z51" s="1543"/>
      <c r="AA51" s="1543"/>
      <c r="AB51" s="1543"/>
      <c r="AC51" s="1543"/>
      <c r="AD51" s="1430"/>
      <c r="AE51" s="1430"/>
      <c r="AF51" s="1430"/>
      <c r="AG51" s="1430"/>
      <c r="AH51" s="1430"/>
      <c r="AI51" s="1430"/>
    </row>
    <row r="52" ht="15.75" customHeight="1">
      <c r="A52" s="1719">
        <v>1.0</v>
      </c>
      <c r="B52" s="1762">
        <v>46177.0</v>
      </c>
      <c r="C52" s="1719" t="s">
        <v>5637</v>
      </c>
      <c r="D52" s="1719" t="s">
        <v>1969</v>
      </c>
      <c r="E52" s="1719" t="s">
        <v>5638</v>
      </c>
      <c r="F52" s="1719" t="s">
        <v>5639</v>
      </c>
      <c r="G52" s="1719">
        <v>74.0</v>
      </c>
      <c r="H52" s="1719">
        <v>313.76</v>
      </c>
      <c r="I52" s="1726">
        <v>118825.6</v>
      </c>
      <c r="J52" s="1719">
        <v>0.0</v>
      </c>
      <c r="K52" s="1729"/>
      <c r="L52" s="1729"/>
      <c r="M52" s="1734">
        <v>0.0</v>
      </c>
      <c r="N52" s="1729"/>
      <c r="O52" s="1739"/>
      <c r="P52" s="1729"/>
      <c r="Q52" s="1729"/>
      <c r="R52" s="1739"/>
      <c r="S52" s="1616"/>
      <c r="T52" s="1616"/>
      <c r="U52" s="1620"/>
      <c r="V52" s="1543"/>
      <c r="W52" s="1543"/>
      <c r="X52" s="1543"/>
      <c r="Y52" s="1543"/>
      <c r="Z52" s="1543"/>
      <c r="AA52" s="1543"/>
      <c r="AB52" s="1543"/>
      <c r="AC52" s="1543"/>
      <c r="AD52" s="1430"/>
      <c r="AE52" s="1430"/>
      <c r="AF52" s="1430"/>
      <c r="AG52" s="1430"/>
      <c r="AH52" s="1430"/>
      <c r="AI52" s="1430"/>
    </row>
    <row r="53" ht="15.75" customHeight="1">
      <c r="A53" s="1719">
        <v>1.0</v>
      </c>
      <c r="B53" s="1762">
        <v>46191.0</v>
      </c>
      <c r="C53" s="1723" t="s">
        <v>5640</v>
      </c>
      <c r="D53" s="1723" t="s">
        <v>1058</v>
      </c>
      <c r="E53" s="1719" t="s">
        <v>5641</v>
      </c>
      <c r="F53" s="1719" t="s">
        <v>5642</v>
      </c>
      <c r="G53" s="1719">
        <v>0.32</v>
      </c>
      <c r="H53" s="1719">
        <v>137.25</v>
      </c>
      <c r="I53" s="1726">
        <v>12352.0</v>
      </c>
      <c r="J53" s="1719">
        <v>0.0</v>
      </c>
      <c r="K53" s="1729"/>
      <c r="L53" s="1729"/>
      <c r="M53" s="1767">
        <v>0.0</v>
      </c>
      <c r="N53" s="1729"/>
      <c r="O53" s="1739"/>
      <c r="P53" s="1723" t="s">
        <v>2473</v>
      </c>
      <c r="Q53" s="1729"/>
      <c r="R53" s="1729"/>
      <c r="S53" s="1631">
        <v>46184.0</v>
      </c>
      <c r="T53" s="1631">
        <v>46191.0</v>
      </c>
      <c r="U53" s="1620"/>
      <c r="V53" s="1543"/>
      <c r="W53" s="1543"/>
      <c r="X53" s="1543"/>
      <c r="Y53" s="1543"/>
      <c r="Z53" s="1543"/>
      <c r="AA53" s="1543"/>
      <c r="AB53" s="1543"/>
      <c r="AC53" s="1543"/>
      <c r="AD53" s="1430"/>
      <c r="AE53" s="1430"/>
      <c r="AF53" s="1430"/>
      <c r="AG53" s="1430"/>
      <c r="AH53" s="1430"/>
      <c r="AI53" s="1430"/>
    </row>
    <row r="54" ht="15.75" customHeight="1">
      <c r="A54" s="1769"/>
      <c r="B54" s="1774" t="s">
        <v>433</v>
      </c>
      <c r="C54" s="1778"/>
      <c r="D54" s="1778"/>
      <c r="E54" s="1778"/>
      <c r="F54" s="1769"/>
      <c r="G54" s="1781">
        <v>104.42</v>
      </c>
      <c r="H54" s="1785">
        <v>12017.94</v>
      </c>
      <c r="I54" s="1789">
        <v>1052210.6</v>
      </c>
      <c r="J54" s="1774">
        <v>9.0</v>
      </c>
      <c r="K54" s="1769"/>
      <c r="L54" s="1785">
        <v>2255000.0</v>
      </c>
      <c r="M54" s="1781">
        <v>6.0</v>
      </c>
      <c r="N54" s="1769"/>
      <c r="O54" s="1793">
        <v>16000.0</v>
      </c>
      <c r="P54" s="1778"/>
      <c r="Q54" s="1778"/>
      <c r="R54" s="1778"/>
      <c r="S54" s="1778"/>
      <c r="T54" s="1778"/>
      <c r="U54" s="1796"/>
      <c r="V54" s="1543"/>
      <c r="W54" s="1543"/>
      <c r="X54" s="1543"/>
      <c r="Y54" s="1543"/>
      <c r="Z54" s="1543"/>
      <c r="AA54" s="1543"/>
      <c r="AB54" s="1543"/>
      <c r="AC54" s="1543"/>
      <c r="AD54" s="1430"/>
      <c r="AE54" s="1430"/>
      <c r="AF54" s="1430"/>
      <c r="AG54" s="1430"/>
      <c r="AH54" s="1430"/>
      <c r="AI54" s="1430"/>
    </row>
    <row r="55" ht="15.75" customHeight="1">
      <c r="A55" s="1547" t="s">
        <v>390</v>
      </c>
      <c r="B55" s="289"/>
      <c r="C55" s="636"/>
      <c r="D55" s="1551"/>
      <c r="E55" s="1551"/>
      <c r="F55" s="1555"/>
      <c r="G55" s="1555"/>
      <c r="H55" s="1555"/>
      <c r="I55" s="1551"/>
      <c r="J55" s="1551"/>
      <c r="K55" s="1555"/>
      <c r="L55" s="1555"/>
      <c r="M55" s="1555"/>
      <c r="N55" s="1555"/>
      <c r="O55" s="1551"/>
      <c r="P55" s="1551"/>
      <c r="Q55" s="1551"/>
      <c r="R55" s="1551"/>
      <c r="S55" s="1801"/>
      <c r="T55" s="1801"/>
      <c r="U55" s="1806"/>
      <c r="V55" s="1543"/>
      <c r="W55" s="1543"/>
      <c r="X55" s="1543"/>
      <c r="Y55" s="1543"/>
      <c r="Z55" s="1543"/>
      <c r="AA55" s="1543"/>
      <c r="AB55" s="1543"/>
      <c r="AC55" s="1543"/>
      <c r="AD55" s="1430"/>
      <c r="AE55" s="1430"/>
      <c r="AF55" s="1430"/>
      <c r="AG55" s="1430"/>
      <c r="AH55" s="1430"/>
      <c r="AI55" s="1430"/>
    </row>
    <row r="56" ht="15.75" customHeight="1">
      <c r="A56" s="1583">
        <v>1.0</v>
      </c>
      <c r="B56" s="1810">
        <v>46035.0</v>
      </c>
      <c r="C56" s="1568" t="s">
        <v>5705</v>
      </c>
      <c r="D56" s="1583" t="s">
        <v>5706</v>
      </c>
      <c r="E56" s="1583" t="s">
        <v>5707</v>
      </c>
      <c r="F56" s="1815" t="s">
        <v>1343</v>
      </c>
      <c r="G56" s="1583" t="s">
        <v>1343</v>
      </c>
      <c r="H56" s="1583" t="s">
        <v>1343</v>
      </c>
      <c r="I56" s="1583" t="s">
        <v>1343</v>
      </c>
      <c r="J56" s="1578"/>
      <c r="K56" s="1583" t="s">
        <v>1343</v>
      </c>
      <c r="L56" s="1578"/>
      <c r="M56" s="1818">
        <v>1.0</v>
      </c>
      <c r="N56" s="1583" t="s">
        <v>5768</v>
      </c>
      <c r="O56" s="1583" t="s">
        <v>1343</v>
      </c>
      <c r="P56" s="1583" t="s">
        <v>5769</v>
      </c>
      <c r="Q56" s="1583" t="s">
        <v>4896</v>
      </c>
      <c r="R56" s="1578"/>
      <c r="S56" s="1578"/>
      <c r="T56" s="1578"/>
      <c r="U56" s="1587"/>
      <c r="V56" s="1226"/>
      <c r="W56" s="1226"/>
      <c r="X56" s="1226"/>
      <c r="Y56" s="1226"/>
      <c r="Z56" s="1226"/>
      <c r="AA56" s="1226"/>
      <c r="AB56" s="1226"/>
      <c r="AC56" s="1226"/>
      <c r="AD56" s="604"/>
      <c r="AE56" s="604"/>
      <c r="AF56" s="604"/>
      <c r="AG56" s="604"/>
      <c r="AH56" s="604"/>
      <c r="AI56" s="604"/>
    </row>
    <row r="57" ht="15.75" customHeight="1">
      <c r="A57" s="1583">
        <v>1.0</v>
      </c>
      <c r="B57" s="1810">
        <v>46044.0</v>
      </c>
      <c r="C57" s="1568" t="s">
        <v>5777</v>
      </c>
      <c r="D57" s="1583" t="s">
        <v>2882</v>
      </c>
      <c r="E57" s="1583" t="s">
        <v>557</v>
      </c>
      <c r="F57" s="1815" t="s">
        <v>5778</v>
      </c>
      <c r="G57" s="1583">
        <v>0.93</v>
      </c>
      <c r="H57" s="1583">
        <v>394.0</v>
      </c>
      <c r="I57" s="1824">
        <v>27580.0</v>
      </c>
      <c r="J57" s="1578"/>
      <c r="K57" s="1583" t="s">
        <v>1343</v>
      </c>
      <c r="L57" s="1578"/>
      <c r="M57" s="1578"/>
      <c r="N57" s="1583" t="s">
        <v>1343</v>
      </c>
      <c r="O57" s="1583" t="s">
        <v>1343</v>
      </c>
      <c r="P57" s="1568" t="s">
        <v>5787</v>
      </c>
      <c r="Q57" s="1583" t="s">
        <v>4896</v>
      </c>
      <c r="R57" s="1578"/>
      <c r="S57" s="1578"/>
      <c r="T57" s="1578"/>
      <c r="U57" s="1587"/>
      <c r="V57" s="1226"/>
      <c r="W57" s="1226"/>
      <c r="X57" s="1226"/>
      <c r="Y57" s="1226"/>
      <c r="Z57" s="1226"/>
      <c r="AA57" s="1226"/>
      <c r="AB57" s="1226"/>
      <c r="AC57" s="1226"/>
      <c r="AD57" s="604"/>
      <c r="AE57" s="604"/>
      <c r="AF57" s="604"/>
      <c r="AG57" s="604"/>
      <c r="AH57" s="604"/>
      <c r="AI57" s="604"/>
    </row>
    <row r="58" ht="15.75" customHeight="1">
      <c r="A58" s="1583">
        <v>1.0</v>
      </c>
      <c r="B58" s="1810">
        <v>46047.0</v>
      </c>
      <c r="C58" s="1568" t="s">
        <v>5788</v>
      </c>
      <c r="D58" s="1583" t="s">
        <v>5789</v>
      </c>
      <c r="E58" s="1583" t="s">
        <v>5790</v>
      </c>
      <c r="F58" s="1815" t="s">
        <v>5791</v>
      </c>
      <c r="G58" s="1583">
        <v>0.61</v>
      </c>
      <c r="H58" s="1583">
        <v>257.0</v>
      </c>
      <c r="I58" s="1824">
        <v>12850.0</v>
      </c>
      <c r="J58" s="1578"/>
      <c r="K58" s="1583" t="s">
        <v>1343</v>
      </c>
      <c r="L58" s="1578"/>
      <c r="M58" s="1818">
        <v>1.0</v>
      </c>
      <c r="N58" s="1583" t="s">
        <v>5792</v>
      </c>
      <c r="O58" s="1583" t="s">
        <v>1343</v>
      </c>
      <c r="P58" s="1583" t="s">
        <v>5793</v>
      </c>
      <c r="Q58" s="1583" t="s">
        <v>4896</v>
      </c>
      <c r="R58" s="1583" t="s">
        <v>5794</v>
      </c>
      <c r="S58" s="1578"/>
      <c r="T58" s="1578"/>
      <c r="U58" s="1828" t="s">
        <v>5795</v>
      </c>
      <c r="V58" s="1226"/>
      <c r="W58" s="1226"/>
      <c r="X58" s="1226"/>
      <c r="Y58" s="1226"/>
      <c r="Z58" s="1226"/>
      <c r="AA58" s="1226"/>
      <c r="AB58" s="1226"/>
      <c r="AC58" s="1226"/>
      <c r="AD58" s="604"/>
      <c r="AE58" s="604"/>
      <c r="AF58" s="604"/>
      <c r="AG58" s="604"/>
      <c r="AH58" s="604"/>
      <c r="AI58" s="604"/>
    </row>
    <row r="59" ht="15.75" customHeight="1">
      <c r="A59" s="1583">
        <v>1.0</v>
      </c>
      <c r="B59" s="1810">
        <v>46054.0</v>
      </c>
      <c r="C59" s="1568" t="s">
        <v>5796</v>
      </c>
      <c r="D59" s="1583" t="s">
        <v>5797</v>
      </c>
      <c r="E59" s="1583" t="s">
        <v>5798</v>
      </c>
      <c r="F59" s="1815" t="s">
        <v>5799</v>
      </c>
      <c r="G59" s="1583">
        <v>0.81</v>
      </c>
      <c r="H59" s="1583">
        <v>343.0</v>
      </c>
      <c r="I59" s="1824">
        <v>15435.0</v>
      </c>
      <c r="J59" s="1578"/>
      <c r="K59" s="1583" t="s">
        <v>1343</v>
      </c>
      <c r="L59" s="1578"/>
      <c r="M59" s="1578"/>
      <c r="N59" s="1818" t="s">
        <v>1343</v>
      </c>
      <c r="O59" s="1578"/>
      <c r="P59" s="1583" t="s">
        <v>5800</v>
      </c>
      <c r="Q59" s="1583" t="s">
        <v>4896</v>
      </c>
      <c r="R59" s="1578"/>
      <c r="S59" s="1578"/>
      <c r="T59" s="1578"/>
      <c r="U59" s="1587"/>
      <c r="V59" s="1226"/>
      <c r="W59" s="1226"/>
      <c r="X59" s="1226"/>
      <c r="Y59" s="1226"/>
      <c r="Z59" s="1226"/>
      <c r="AA59" s="1226"/>
      <c r="AB59" s="1226"/>
      <c r="AC59" s="1226"/>
      <c r="AD59" s="604"/>
      <c r="AE59" s="1832">
        <v>46058.0</v>
      </c>
      <c r="AF59" s="604"/>
      <c r="AG59" s="604"/>
      <c r="AH59" s="604"/>
      <c r="AI59" s="604"/>
    </row>
    <row r="60">
      <c r="A60" s="1583">
        <v>1.0</v>
      </c>
      <c r="B60" s="1810">
        <v>46057.0</v>
      </c>
      <c r="C60" s="1568" t="s">
        <v>5806</v>
      </c>
      <c r="D60" s="1583" t="s">
        <v>5797</v>
      </c>
      <c r="E60" s="1583" t="s">
        <v>5807</v>
      </c>
      <c r="F60" s="1815" t="s">
        <v>5808</v>
      </c>
      <c r="G60" s="1578"/>
      <c r="H60" s="1583">
        <v>89.0</v>
      </c>
      <c r="I60" s="1824">
        <v>7120.0</v>
      </c>
      <c r="J60" s="1578"/>
      <c r="K60" s="1583" t="s">
        <v>1343</v>
      </c>
      <c r="L60" s="1578"/>
      <c r="M60" s="1583">
        <v>1.0</v>
      </c>
      <c r="N60" s="1640" t="s">
        <v>5809</v>
      </c>
      <c r="O60" s="1578"/>
      <c r="P60" s="1583" t="s">
        <v>5810</v>
      </c>
      <c r="Q60" s="1583" t="s">
        <v>4896</v>
      </c>
      <c r="R60" s="1578"/>
      <c r="S60" s="1810">
        <v>46160.0</v>
      </c>
      <c r="T60" s="1810">
        <v>46170.0</v>
      </c>
      <c r="U60" s="1828" t="s">
        <v>5811</v>
      </c>
      <c r="V60" s="1226"/>
      <c r="W60" s="1226"/>
      <c r="X60" s="1226"/>
      <c r="Y60" s="1226"/>
      <c r="Z60" s="1226"/>
      <c r="AA60" s="1226"/>
      <c r="AB60" s="1226"/>
      <c r="AC60" s="1226"/>
      <c r="AD60" s="604"/>
      <c r="AE60" s="604"/>
      <c r="AF60" s="604"/>
      <c r="AG60" s="604"/>
      <c r="AH60" s="604"/>
      <c r="AI60" s="604"/>
    </row>
    <row r="61" ht="15.75" customHeight="1">
      <c r="A61" s="1583">
        <v>1.0</v>
      </c>
      <c r="B61" s="1810">
        <v>46058.0</v>
      </c>
      <c r="C61" s="1583" t="s">
        <v>5812</v>
      </c>
      <c r="D61" s="1583" t="s">
        <v>2882</v>
      </c>
      <c r="E61" s="1583" t="s">
        <v>557</v>
      </c>
      <c r="F61" s="1815" t="s">
        <v>118</v>
      </c>
      <c r="G61" s="1583" t="s">
        <v>118</v>
      </c>
      <c r="H61" s="1583" t="s">
        <v>118</v>
      </c>
      <c r="I61" s="1583" t="s">
        <v>118</v>
      </c>
      <c r="J61" s="1583" t="s">
        <v>118</v>
      </c>
      <c r="K61" s="1583" t="s">
        <v>118</v>
      </c>
      <c r="L61" s="1818" t="s">
        <v>118</v>
      </c>
      <c r="M61" s="1640">
        <v>1.0</v>
      </c>
      <c r="N61" s="1655" t="s">
        <v>5813</v>
      </c>
      <c r="O61" s="1583">
        <v>10000.0</v>
      </c>
      <c r="P61" s="1583" t="s">
        <v>5810</v>
      </c>
      <c r="Q61" s="1578"/>
      <c r="R61" s="1578"/>
      <c r="S61" s="1578"/>
      <c r="T61" s="1578"/>
      <c r="U61" s="1587"/>
      <c r="V61" s="1226"/>
      <c r="W61" s="1226"/>
      <c r="X61" s="1226"/>
      <c r="Y61" s="1226"/>
      <c r="Z61" s="1226"/>
      <c r="AA61" s="1226"/>
      <c r="AB61" s="1226"/>
      <c r="AC61" s="1226"/>
      <c r="AD61" s="604"/>
      <c r="AE61" s="604"/>
      <c r="AF61" s="604"/>
      <c r="AG61" s="604"/>
      <c r="AH61" s="604"/>
      <c r="AI61" s="604"/>
    </row>
    <row r="62" ht="15.75" customHeight="1">
      <c r="A62" s="1583">
        <v>1.0</v>
      </c>
      <c r="B62" s="1810">
        <v>46064.0</v>
      </c>
      <c r="C62" s="1583" t="s">
        <v>5814</v>
      </c>
      <c r="D62" s="1583" t="s">
        <v>5797</v>
      </c>
      <c r="E62" s="1583" t="s">
        <v>5815</v>
      </c>
      <c r="F62" s="1815" t="s">
        <v>5816</v>
      </c>
      <c r="G62" s="1578"/>
      <c r="H62" s="1583">
        <v>120.0</v>
      </c>
      <c r="I62" s="1824">
        <v>7800.0</v>
      </c>
      <c r="J62" s="1578"/>
      <c r="K62" s="1583" t="s">
        <v>1343</v>
      </c>
      <c r="L62" s="1578"/>
      <c r="M62" s="1578"/>
      <c r="N62" s="1655" t="s">
        <v>1343</v>
      </c>
      <c r="O62" s="1578"/>
      <c r="P62" s="1583" t="s">
        <v>736</v>
      </c>
      <c r="Q62" s="1583" t="s">
        <v>4896</v>
      </c>
      <c r="R62" s="1578"/>
      <c r="S62" s="1578"/>
      <c r="T62" s="1578"/>
      <c r="U62" s="1587"/>
      <c r="V62" s="1226"/>
      <c r="W62" s="1226"/>
      <c r="X62" s="1226"/>
      <c r="Y62" s="1226"/>
      <c r="Z62" s="1226"/>
      <c r="AA62" s="1226"/>
      <c r="AB62" s="1226"/>
      <c r="AC62" s="1226"/>
      <c r="AD62" s="604"/>
      <c r="AE62" s="604"/>
      <c r="AF62" s="604"/>
      <c r="AG62" s="604"/>
      <c r="AH62" s="604"/>
      <c r="AI62" s="604"/>
    </row>
    <row r="63" ht="15.75" customHeight="1">
      <c r="A63" s="1583">
        <v>1.0</v>
      </c>
      <c r="B63" s="1810">
        <v>46067.0</v>
      </c>
      <c r="C63" s="1568" t="s">
        <v>5820</v>
      </c>
      <c r="D63" s="1583" t="s">
        <v>5821</v>
      </c>
      <c r="E63" s="1583" t="s">
        <v>557</v>
      </c>
      <c r="F63" s="1815" t="s">
        <v>5822</v>
      </c>
      <c r="G63" s="1578"/>
      <c r="H63" s="1583">
        <v>258.88</v>
      </c>
      <c r="I63" s="1824">
        <v>20710.4</v>
      </c>
      <c r="J63" s="1578"/>
      <c r="K63" s="1583" t="s">
        <v>1343</v>
      </c>
      <c r="L63" s="1578"/>
      <c r="M63" s="1578"/>
      <c r="N63" s="1655" t="s">
        <v>1343</v>
      </c>
      <c r="O63" s="1578"/>
      <c r="P63" s="1583" t="s">
        <v>736</v>
      </c>
      <c r="Q63" s="1583" t="s">
        <v>4896</v>
      </c>
      <c r="R63" s="1578"/>
      <c r="S63" s="1578"/>
      <c r="T63" s="1578"/>
      <c r="U63" s="1587"/>
      <c r="V63" s="1226"/>
      <c r="W63" s="1226"/>
      <c r="X63" s="1226"/>
      <c r="Y63" s="1226"/>
      <c r="Z63" s="1226"/>
      <c r="AA63" s="1226"/>
      <c r="AB63" s="1226"/>
      <c r="AC63" s="1226"/>
      <c r="AD63" s="604"/>
      <c r="AE63" s="604"/>
      <c r="AF63" s="604"/>
      <c r="AG63" s="604"/>
      <c r="AH63" s="604"/>
      <c r="AI63" s="604"/>
    </row>
    <row r="64" ht="15.75" customHeight="1">
      <c r="A64" s="1606">
        <v>1.0</v>
      </c>
      <c r="B64" s="1837">
        <v>46067.0</v>
      </c>
      <c r="C64" s="1590" t="s">
        <v>5777</v>
      </c>
      <c r="D64" s="1606" t="s">
        <v>5852</v>
      </c>
      <c r="E64" s="1606" t="s">
        <v>557</v>
      </c>
      <c r="F64" s="1839" t="s">
        <v>5857</v>
      </c>
      <c r="G64" s="1602"/>
      <c r="H64" s="1606">
        <v>219.0</v>
      </c>
      <c r="I64" s="1842">
        <v>13140.0</v>
      </c>
      <c r="J64" s="1602"/>
      <c r="K64" s="1606" t="s">
        <v>1343</v>
      </c>
      <c r="L64" s="1602"/>
      <c r="M64" s="1602"/>
      <c r="N64" s="1846" t="s">
        <v>1343</v>
      </c>
      <c r="O64" s="1602"/>
      <c r="P64" s="1606" t="s">
        <v>736</v>
      </c>
      <c r="Q64" s="1606" t="s">
        <v>4896</v>
      </c>
      <c r="R64" s="1602"/>
      <c r="S64" s="1602"/>
      <c r="T64" s="1602"/>
      <c r="U64" s="1850"/>
      <c r="V64" s="581"/>
      <c r="W64" s="581"/>
      <c r="X64" s="581"/>
      <c r="Y64" s="581"/>
      <c r="Z64" s="581"/>
      <c r="AA64" s="581"/>
      <c r="AB64" s="581"/>
      <c r="AC64" s="581" t="s">
        <v>5900</v>
      </c>
      <c r="AD64" s="604"/>
      <c r="AE64" s="604"/>
      <c r="AF64" s="604"/>
      <c r="AG64" s="604"/>
      <c r="AH64" s="604"/>
      <c r="AI64" s="604"/>
    </row>
    <row r="65" ht="15.75" customHeight="1">
      <c r="A65" s="1583">
        <v>1.0</v>
      </c>
      <c r="B65" s="1810">
        <v>46068.0</v>
      </c>
      <c r="C65" s="1568" t="s">
        <v>5901</v>
      </c>
      <c r="D65" s="1583" t="s">
        <v>1780</v>
      </c>
      <c r="E65" s="1583" t="s">
        <v>5902</v>
      </c>
      <c r="F65" s="1815" t="s">
        <v>5903</v>
      </c>
      <c r="G65" s="1578"/>
      <c r="H65" s="1583">
        <v>24.0</v>
      </c>
      <c r="I65" s="1824">
        <v>1680.0</v>
      </c>
      <c r="J65" s="1578"/>
      <c r="K65" s="1583" t="s">
        <v>1343</v>
      </c>
      <c r="L65" s="1578"/>
      <c r="M65" s="1578"/>
      <c r="N65" s="1655" t="s">
        <v>5904</v>
      </c>
      <c r="O65" s="1578"/>
      <c r="P65" s="1583" t="s">
        <v>5905</v>
      </c>
      <c r="Q65" s="1583" t="s">
        <v>4896</v>
      </c>
      <c r="R65" s="1578"/>
      <c r="S65" s="1578"/>
      <c r="T65" s="1578"/>
      <c r="U65" s="1587"/>
      <c r="V65" s="1226"/>
      <c r="W65" s="1226"/>
      <c r="X65" s="1226"/>
      <c r="Y65" s="1226"/>
      <c r="Z65" s="1226"/>
      <c r="AA65" s="1226"/>
      <c r="AB65" s="1226"/>
      <c r="AC65" s="1226"/>
      <c r="AD65" s="604"/>
      <c r="AE65" s="604"/>
      <c r="AF65" s="604"/>
      <c r="AG65" s="604"/>
      <c r="AH65" s="604"/>
      <c r="AI65" s="604"/>
    </row>
    <row r="66" ht="15.75" customHeight="1">
      <c r="A66" s="1583">
        <v>1.0</v>
      </c>
      <c r="B66" s="1583" t="s">
        <v>5907</v>
      </c>
      <c r="C66" s="1568" t="s">
        <v>5908</v>
      </c>
      <c r="D66" s="1583" t="s">
        <v>1780</v>
      </c>
      <c r="E66" s="1583" t="s">
        <v>5909</v>
      </c>
      <c r="F66" s="1815" t="s">
        <v>5910</v>
      </c>
      <c r="G66" s="1578"/>
      <c r="H66" s="1583">
        <v>80.0</v>
      </c>
      <c r="I66" s="1824">
        <v>5000.0</v>
      </c>
      <c r="J66" s="1578"/>
      <c r="K66" s="1583" t="s">
        <v>1343</v>
      </c>
      <c r="L66" s="1578"/>
      <c r="M66" s="1640">
        <v>1.0</v>
      </c>
      <c r="N66" s="1640" t="s">
        <v>5911</v>
      </c>
      <c r="O66" s="1578"/>
      <c r="P66" s="1583" t="s">
        <v>5912</v>
      </c>
      <c r="Q66" s="1583" t="s">
        <v>4896</v>
      </c>
      <c r="R66" s="1578"/>
      <c r="S66" s="1578"/>
      <c r="T66" s="1578"/>
      <c r="U66" s="1587"/>
      <c r="V66" s="1226"/>
      <c r="W66" s="1226"/>
      <c r="X66" s="1226"/>
      <c r="Y66" s="1226"/>
      <c r="Z66" s="1226"/>
      <c r="AA66" s="1226"/>
      <c r="AB66" s="1226"/>
      <c r="AC66" s="1226"/>
      <c r="AD66" s="604"/>
      <c r="AE66" s="604"/>
      <c r="AF66" s="604"/>
      <c r="AG66" s="604"/>
      <c r="AH66" s="604"/>
      <c r="AI66" s="604"/>
    </row>
    <row r="67" ht="15.75" customHeight="1">
      <c r="A67" s="1583">
        <v>1.0</v>
      </c>
      <c r="B67" s="1853">
        <v>46072.0</v>
      </c>
      <c r="C67" s="1583" t="s">
        <v>5914</v>
      </c>
      <c r="D67" s="1616" t="s">
        <v>5915</v>
      </c>
      <c r="E67" s="1583" t="s">
        <v>557</v>
      </c>
      <c r="F67" s="1583" t="s">
        <v>5916</v>
      </c>
      <c r="G67" s="1578"/>
      <c r="H67" s="1583">
        <v>118.72</v>
      </c>
      <c r="I67" s="1824">
        <v>7123.2</v>
      </c>
      <c r="J67" s="1578"/>
      <c r="K67" s="1583" t="s">
        <v>1343</v>
      </c>
      <c r="L67" s="1578"/>
      <c r="M67" s="1578"/>
      <c r="N67" s="1640" t="s">
        <v>1343</v>
      </c>
      <c r="O67" s="1578"/>
      <c r="P67" s="1583" t="s">
        <v>5917</v>
      </c>
      <c r="Q67" s="1583" t="s">
        <v>4896</v>
      </c>
      <c r="R67" s="1578"/>
      <c r="S67" s="1578"/>
      <c r="T67" s="1578"/>
      <c r="U67" s="1587"/>
      <c r="V67" s="1226"/>
      <c r="W67" s="1226"/>
      <c r="X67" s="1226"/>
      <c r="Y67" s="1226"/>
      <c r="Z67" s="1226"/>
      <c r="AA67" s="1226"/>
      <c r="AB67" s="1226"/>
      <c r="AC67" s="1226"/>
      <c r="AD67" s="604"/>
      <c r="AE67" s="604"/>
      <c r="AF67" s="604"/>
      <c r="AG67" s="604"/>
      <c r="AH67" s="604"/>
      <c r="AI67" s="604"/>
    </row>
    <row r="68" ht="15.75" customHeight="1">
      <c r="A68" s="1583">
        <v>1.0</v>
      </c>
      <c r="B68" s="1853">
        <v>46073.0</v>
      </c>
      <c r="C68" s="1583" t="s">
        <v>5918</v>
      </c>
      <c r="D68" s="1616" t="s">
        <v>5797</v>
      </c>
      <c r="E68" s="1583" t="s">
        <v>557</v>
      </c>
      <c r="F68" s="1583" t="s">
        <v>5919</v>
      </c>
      <c r="G68" s="1578"/>
      <c r="H68" s="1583">
        <v>297.0</v>
      </c>
      <c r="I68" s="1824">
        <v>17820.0</v>
      </c>
      <c r="J68" s="1578"/>
      <c r="K68" s="1583" t="s">
        <v>1343</v>
      </c>
      <c r="L68" s="1578"/>
      <c r="M68" s="1578"/>
      <c r="N68" s="1640" t="s">
        <v>1343</v>
      </c>
      <c r="O68" s="1578"/>
      <c r="P68" s="1583" t="s">
        <v>5912</v>
      </c>
      <c r="Q68" s="1583" t="s">
        <v>4896</v>
      </c>
      <c r="R68" s="1578"/>
      <c r="S68" s="1578"/>
      <c r="T68" s="1578"/>
      <c r="U68" s="1587"/>
      <c r="V68" s="1226"/>
      <c r="W68" s="1226"/>
      <c r="X68" s="1226"/>
      <c r="Y68" s="1226"/>
      <c r="Z68" s="1226"/>
      <c r="AA68" s="1226"/>
      <c r="AB68" s="1226"/>
      <c r="AC68" s="1226"/>
      <c r="AD68" s="604"/>
      <c r="AE68" s="604"/>
      <c r="AF68" s="604"/>
      <c r="AG68" s="604"/>
      <c r="AH68" s="604"/>
      <c r="AI68" s="604"/>
    </row>
    <row r="69" ht="15.75" customHeight="1">
      <c r="A69" s="1583">
        <v>1.0</v>
      </c>
      <c r="B69" s="1810">
        <v>46073.0</v>
      </c>
      <c r="C69" s="1568" t="s">
        <v>5777</v>
      </c>
      <c r="D69" s="1583" t="s">
        <v>1780</v>
      </c>
      <c r="E69" s="1583" t="s">
        <v>557</v>
      </c>
      <c r="F69" s="1815" t="s">
        <v>5920</v>
      </c>
      <c r="G69" s="1578"/>
      <c r="H69" s="1583">
        <v>140.0</v>
      </c>
      <c r="I69" s="1824">
        <v>9100.0</v>
      </c>
      <c r="J69" s="1578"/>
      <c r="K69" s="1583" t="s">
        <v>1343</v>
      </c>
      <c r="L69" s="1578"/>
      <c r="M69" s="1578"/>
      <c r="N69" s="1640" t="s">
        <v>1343</v>
      </c>
      <c r="O69" s="1578"/>
      <c r="P69" s="1583" t="s">
        <v>5912</v>
      </c>
      <c r="Q69" s="1583" t="s">
        <v>4896</v>
      </c>
      <c r="R69" s="1578"/>
      <c r="S69" s="1578"/>
      <c r="T69" s="1578"/>
      <c r="U69" s="1587"/>
      <c r="V69" s="1226"/>
      <c r="W69" s="1226"/>
      <c r="X69" s="1226"/>
      <c r="Y69" s="1226"/>
      <c r="Z69" s="1226"/>
      <c r="AA69" s="1226"/>
      <c r="AB69" s="1226"/>
      <c r="AC69" s="1226"/>
      <c r="AD69" s="604"/>
      <c r="AE69" s="604"/>
      <c r="AF69" s="604"/>
      <c r="AG69" s="604"/>
      <c r="AH69" s="604"/>
      <c r="AI69" s="604"/>
    </row>
    <row r="70" ht="15.75" customHeight="1">
      <c r="A70" s="1583">
        <v>1.0</v>
      </c>
      <c r="B70" s="1810">
        <v>46081.0</v>
      </c>
      <c r="C70" s="1568" t="s">
        <v>5924</v>
      </c>
      <c r="D70" s="1583" t="s">
        <v>5789</v>
      </c>
      <c r="E70" s="1583" t="s">
        <v>5926</v>
      </c>
      <c r="F70" s="1815" t="s">
        <v>5927</v>
      </c>
      <c r="G70" s="1578"/>
      <c r="H70" s="1578"/>
      <c r="I70" s="1824">
        <v>5000.0</v>
      </c>
      <c r="J70" s="1583">
        <v>1.0</v>
      </c>
      <c r="K70" s="1583" t="s">
        <v>5929</v>
      </c>
      <c r="L70" s="1578"/>
      <c r="M70" s="1578"/>
      <c r="N70" s="1655" t="s">
        <v>1343</v>
      </c>
      <c r="O70" s="1578"/>
      <c r="P70" s="1583" t="s">
        <v>5930</v>
      </c>
      <c r="Q70" s="1583" t="s">
        <v>4896</v>
      </c>
      <c r="R70" s="1578"/>
      <c r="S70" s="1578"/>
      <c r="T70" s="1578"/>
      <c r="U70" s="1587"/>
      <c r="V70" s="1226"/>
      <c r="W70" s="1226"/>
      <c r="X70" s="1226"/>
      <c r="Y70" s="1226"/>
      <c r="Z70" s="1226"/>
      <c r="AA70" s="1226"/>
      <c r="AB70" s="1226"/>
      <c r="AC70" s="1226"/>
      <c r="AD70" s="604"/>
      <c r="AE70" s="604"/>
      <c r="AF70" s="604"/>
      <c r="AG70" s="604"/>
      <c r="AH70" s="604"/>
      <c r="AI70" s="604"/>
    </row>
    <row r="71" ht="15.75" customHeight="1">
      <c r="A71" s="1583">
        <v>1.0</v>
      </c>
      <c r="B71" s="1810">
        <v>46082.0</v>
      </c>
      <c r="C71" s="1568" t="s">
        <v>5931</v>
      </c>
      <c r="D71" s="1583" t="s">
        <v>736</v>
      </c>
      <c r="E71" s="1583" t="s">
        <v>5932</v>
      </c>
      <c r="F71" s="1815" t="s">
        <v>5933</v>
      </c>
      <c r="G71" s="1583">
        <v>0.771</v>
      </c>
      <c r="H71" s="1583">
        <v>327.0</v>
      </c>
      <c r="I71" s="1583" t="s">
        <v>5934</v>
      </c>
      <c r="J71" s="1578"/>
      <c r="K71" s="1583" t="s">
        <v>1343</v>
      </c>
      <c r="L71" s="1578"/>
      <c r="M71" s="1578"/>
      <c r="N71" s="1583" t="s">
        <v>1343</v>
      </c>
      <c r="O71" s="1578"/>
      <c r="P71" s="1583" t="s">
        <v>5935</v>
      </c>
      <c r="Q71" s="1583" t="s">
        <v>4896</v>
      </c>
      <c r="R71" s="1578"/>
      <c r="S71" s="1578"/>
      <c r="T71" s="1578"/>
      <c r="U71" s="1587"/>
      <c r="V71" s="1226"/>
      <c r="W71" s="1226"/>
      <c r="X71" s="1226"/>
      <c r="Y71" s="1226"/>
      <c r="Z71" s="1226"/>
      <c r="AA71" s="1226"/>
      <c r="AB71" s="1226"/>
      <c r="AC71" s="1226"/>
      <c r="AD71" s="604"/>
      <c r="AE71" s="604"/>
      <c r="AF71" s="604"/>
      <c r="AG71" s="604"/>
      <c r="AH71" s="604"/>
      <c r="AI71" s="604"/>
    </row>
    <row r="72" ht="15.75" customHeight="1">
      <c r="A72" s="1583">
        <v>1.0</v>
      </c>
      <c r="B72" s="1810">
        <v>46084.0</v>
      </c>
      <c r="C72" s="1568" t="s">
        <v>5937</v>
      </c>
      <c r="D72" s="1583" t="s">
        <v>736</v>
      </c>
      <c r="E72" s="1583" t="s">
        <v>5939</v>
      </c>
      <c r="F72" s="1815" t="s">
        <v>5940</v>
      </c>
      <c r="G72" s="1578"/>
      <c r="H72" s="1578"/>
      <c r="I72" s="1824">
        <v>2000.0</v>
      </c>
      <c r="J72" s="1583">
        <v>1.0</v>
      </c>
      <c r="K72" s="1583" t="s">
        <v>5942</v>
      </c>
      <c r="L72" s="1578"/>
      <c r="M72" s="1578"/>
      <c r="N72" s="1583" t="s">
        <v>1343</v>
      </c>
      <c r="O72" s="1578"/>
      <c r="P72" s="1583" t="s">
        <v>2256</v>
      </c>
      <c r="Q72" s="1583" t="s">
        <v>4896</v>
      </c>
      <c r="R72" s="1583" t="s">
        <v>5943</v>
      </c>
      <c r="S72" s="1861">
        <v>46098.0</v>
      </c>
      <c r="T72" s="1810">
        <v>46104.0</v>
      </c>
      <c r="U72" s="1587"/>
      <c r="V72" s="1226"/>
      <c r="W72" s="1226"/>
      <c r="X72" s="1226"/>
      <c r="Y72" s="1226"/>
      <c r="Z72" s="1226"/>
      <c r="AA72" s="1226"/>
      <c r="AB72" s="1226"/>
      <c r="AC72" s="1226"/>
      <c r="AD72" s="604"/>
      <c r="AE72" s="604"/>
      <c r="AF72" s="604"/>
      <c r="AG72" s="604"/>
      <c r="AH72" s="604"/>
      <c r="AI72" s="604"/>
    </row>
    <row r="73" ht="15.75" customHeight="1">
      <c r="A73" s="1583">
        <v>1.0</v>
      </c>
      <c r="B73" s="1810">
        <v>46084.0</v>
      </c>
      <c r="C73" s="1568" t="s">
        <v>5945</v>
      </c>
      <c r="D73" s="1583" t="s">
        <v>736</v>
      </c>
      <c r="E73" s="1583" t="s">
        <v>5946</v>
      </c>
      <c r="F73" s="1815" t="s">
        <v>5947</v>
      </c>
      <c r="G73" s="1578"/>
      <c r="H73" s="1578"/>
      <c r="I73" s="1863">
        <v>3000.0</v>
      </c>
      <c r="J73" s="1868">
        <v>1.0</v>
      </c>
      <c r="K73" s="1583" t="s">
        <v>5942</v>
      </c>
      <c r="L73" s="1578"/>
      <c r="M73" s="1578"/>
      <c r="N73" s="1583" t="s">
        <v>1343</v>
      </c>
      <c r="O73" s="1616"/>
      <c r="P73" s="1583" t="s">
        <v>2256</v>
      </c>
      <c r="Q73" s="1583" t="s">
        <v>4896</v>
      </c>
      <c r="R73" s="1868" t="s">
        <v>5943</v>
      </c>
      <c r="S73" s="1861">
        <v>46099.0</v>
      </c>
      <c r="T73" s="1616"/>
      <c r="U73" s="1620"/>
      <c r="V73" s="1543"/>
      <c r="W73" s="1543"/>
      <c r="X73" s="1543"/>
      <c r="Y73" s="1543"/>
      <c r="Z73" s="1543"/>
      <c r="AA73" s="1543"/>
      <c r="AB73" s="1543"/>
      <c r="AC73" s="1543"/>
      <c r="AD73" s="1430"/>
      <c r="AE73" s="1430"/>
      <c r="AF73" s="1430"/>
      <c r="AG73" s="1430"/>
      <c r="AH73" s="1430"/>
      <c r="AI73" s="1430"/>
    </row>
    <row r="74" ht="15.75" customHeight="1">
      <c r="A74" s="1583">
        <v>1.0</v>
      </c>
      <c r="B74" s="1810">
        <v>46084.0</v>
      </c>
      <c r="C74" s="1568" t="s">
        <v>5959</v>
      </c>
      <c r="D74" s="1583" t="s">
        <v>5960</v>
      </c>
      <c r="E74" s="1868" t="s">
        <v>557</v>
      </c>
      <c r="F74" s="1815" t="s">
        <v>5962</v>
      </c>
      <c r="G74" s="1583">
        <v>93.0</v>
      </c>
      <c r="H74" s="1583">
        <v>0.219</v>
      </c>
      <c r="I74" s="1863">
        <v>5580.0</v>
      </c>
      <c r="J74" s="1616"/>
      <c r="K74" s="1583" t="s">
        <v>1343</v>
      </c>
      <c r="L74" s="1578"/>
      <c r="M74" s="1578"/>
      <c r="N74" s="1583" t="s">
        <v>1343</v>
      </c>
      <c r="O74" s="1616"/>
      <c r="P74" s="1583" t="s">
        <v>5963</v>
      </c>
      <c r="Q74" s="1583" t="s">
        <v>4896</v>
      </c>
      <c r="R74" s="1616"/>
      <c r="S74" s="1616"/>
      <c r="T74" s="1616"/>
      <c r="U74" s="1620"/>
      <c r="V74" s="1543"/>
      <c r="W74" s="1543"/>
      <c r="X74" s="1543"/>
      <c r="Y74" s="1543"/>
      <c r="Z74" s="1543"/>
      <c r="AA74" s="1543"/>
      <c r="AB74" s="1543"/>
      <c r="AC74" s="1543"/>
      <c r="AD74" s="1430"/>
      <c r="AE74" s="1430"/>
      <c r="AF74" s="1430"/>
      <c r="AG74" s="1430"/>
      <c r="AH74" s="1430"/>
      <c r="AI74" s="1430"/>
    </row>
    <row r="75" ht="15.75" customHeight="1">
      <c r="A75" s="1583">
        <v>1.0</v>
      </c>
      <c r="B75" s="1810">
        <v>46087.0</v>
      </c>
      <c r="C75" s="1568" t="s">
        <v>2015</v>
      </c>
      <c r="D75" s="1583" t="s">
        <v>5964</v>
      </c>
      <c r="E75" s="1868" t="s">
        <v>557</v>
      </c>
      <c r="F75" s="1815" t="s">
        <v>5965</v>
      </c>
      <c r="G75" s="1583">
        <v>214.0</v>
      </c>
      <c r="H75" s="1583">
        <v>0.064</v>
      </c>
      <c r="I75" s="1863">
        <v>12840.0</v>
      </c>
      <c r="J75" s="1616"/>
      <c r="K75" s="1583" t="s">
        <v>1343</v>
      </c>
      <c r="L75" s="1578"/>
      <c r="M75" s="1578"/>
      <c r="N75" s="1583" t="s">
        <v>1343</v>
      </c>
      <c r="O75" s="1616"/>
      <c r="P75" s="1583" t="s">
        <v>1780</v>
      </c>
      <c r="Q75" s="1583" t="s">
        <v>4896</v>
      </c>
      <c r="R75" s="1616"/>
      <c r="S75" s="1616"/>
      <c r="T75" s="1616"/>
      <c r="U75" s="1620"/>
      <c r="V75" s="1543"/>
      <c r="W75" s="1543"/>
      <c r="X75" s="1543"/>
      <c r="Y75" s="1543"/>
      <c r="Z75" s="1543"/>
      <c r="AA75" s="1543"/>
      <c r="AB75" s="1543"/>
      <c r="AC75" s="1543"/>
      <c r="AD75" s="1430"/>
      <c r="AE75" s="1430"/>
      <c r="AF75" s="1430"/>
      <c r="AG75" s="1430"/>
      <c r="AH75" s="1430"/>
      <c r="AI75" s="1430"/>
    </row>
    <row r="76" ht="15.75" customHeight="1">
      <c r="A76" s="1583">
        <v>1.0</v>
      </c>
      <c r="B76" s="1810">
        <v>46087.0</v>
      </c>
      <c r="C76" s="1568" t="s">
        <v>5966</v>
      </c>
      <c r="D76" s="1583" t="s">
        <v>1780</v>
      </c>
      <c r="E76" s="1583" t="s">
        <v>5967</v>
      </c>
      <c r="F76" s="1815" t="s">
        <v>5968</v>
      </c>
      <c r="G76" s="1583">
        <v>215.5</v>
      </c>
      <c r="H76" s="1583">
        <v>0.508</v>
      </c>
      <c r="I76" s="1863">
        <v>12930.0</v>
      </c>
      <c r="J76" s="1616"/>
      <c r="K76" s="1583" t="s">
        <v>1343</v>
      </c>
      <c r="L76" s="1578"/>
      <c r="M76" s="1578"/>
      <c r="N76" s="1583" t="s">
        <v>1343</v>
      </c>
      <c r="O76" s="1616"/>
      <c r="P76" s="1583" t="s">
        <v>5969</v>
      </c>
      <c r="Q76" s="1583" t="s">
        <v>4896</v>
      </c>
      <c r="R76" s="1616"/>
      <c r="S76" s="1616"/>
      <c r="T76" s="1616"/>
      <c r="U76" s="1620"/>
      <c r="V76" s="1543"/>
      <c r="W76" s="1543"/>
      <c r="X76" s="1543"/>
      <c r="Y76" s="1543"/>
      <c r="Z76" s="1543"/>
      <c r="AA76" s="1543"/>
      <c r="AB76" s="1543"/>
      <c r="AC76" s="1543"/>
      <c r="AD76" s="1430"/>
      <c r="AE76" s="1430"/>
      <c r="AF76" s="1430"/>
      <c r="AG76" s="1430"/>
      <c r="AH76" s="1430"/>
      <c r="AI76" s="1430"/>
    </row>
    <row r="77" ht="15.75" customHeight="1">
      <c r="A77" s="1583">
        <v>1.0</v>
      </c>
      <c r="B77" s="1810">
        <v>46093.0</v>
      </c>
      <c r="C77" s="1568" t="s">
        <v>5970</v>
      </c>
      <c r="D77" s="1583" t="s">
        <v>5971</v>
      </c>
      <c r="E77" s="1868" t="s">
        <v>557</v>
      </c>
      <c r="F77" s="1815" t="s">
        <v>5972</v>
      </c>
      <c r="G77" s="1583">
        <v>57.5</v>
      </c>
      <c r="H77" s="1583">
        <v>0.005</v>
      </c>
      <c r="I77" s="1863">
        <v>5750.0</v>
      </c>
      <c r="J77" s="1616"/>
      <c r="K77" s="1583" t="s">
        <v>1343</v>
      </c>
      <c r="L77" s="1578"/>
      <c r="M77" s="1578"/>
      <c r="N77" s="1583" t="s">
        <v>1343</v>
      </c>
      <c r="O77" s="1616"/>
      <c r="P77" s="1583" t="s">
        <v>1780</v>
      </c>
      <c r="Q77" s="1583" t="s">
        <v>4896</v>
      </c>
      <c r="R77" s="1616"/>
      <c r="S77" s="1616"/>
      <c r="T77" s="1616"/>
      <c r="U77" s="1620"/>
      <c r="V77" s="1543"/>
      <c r="W77" s="1543"/>
      <c r="X77" s="1543"/>
      <c r="Y77" s="1543"/>
      <c r="Z77" s="1543"/>
      <c r="AA77" s="1543"/>
      <c r="AB77" s="1543"/>
      <c r="AC77" s="1543"/>
      <c r="AD77" s="1430"/>
      <c r="AE77" s="1430"/>
      <c r="AF77" s="1430"/>
      <c r="AG77" s="1430"/>
      <c r="AH77" s="1430"/>
      <c r="AI77" s="1430"/>
    </row>
    <row r="78" ht="15.75" customHeight="1">
      <c r="A78" s="1583">
        <v>1.0</v>
      </c>
      <c r="B78" s="1810">
        <v>46105.0</v>
      </c>
      <c r="C78" s="1629" t="s">
        <v>5974</v>
      </c>
      <c r="D78" s="1583" t="s">
        <v>1780</v>
      </c>
      <c r="E78" s="1583" t="s">
        <v>5975</v>
      </c>
      <c r="F78" s="1815" t="s">
        <v>5976</v>
      </c>
      <c r="G78" s="1583">
        <v>1.38</v>
      </c>
      <c r="H78" s="1583">
        <v>586.0</v>
      </c>
      <c r="I78" s="1863">
        <v>35160.0</v>
      </c>
      <c r="J78" s="1868">
        <v>0.0</v>
      </c>
      <c r="K78" s="1578"/>
      <c r="L78" s="1578"/>
      <c r="M78" s="1655">
        <v>0.0</v>
      </c>
      <c r="N78" s="1578"/>
      <c r="O78" s="1616"/>
      <c r="P78" s="1868" t="s">
        <v>5979</v>
      </c>
      <c r="Q78" s="1583" t="s">
        <v>4896</v>
      </c>
      <c r="R78" s="1616"/>
      <c r="S78" s="1616"/>
      <c r="T78" s="1616"/>
      <c r="U78" s="1620"/>
      <c r="V78" s="1543"/>
      <c r="W78" s="1543"/>
      <c r="X78" s="1543"/>
      <c r="Y78" s="1543"/>
      <c r="Z78" s="1543"/>
      <c r="AA78" s="1543"/>
      <c r="AB78" s="1543"/>
      <c r="AC78" s="1543"/>
      <c r="AD78" s="1430"/>
      <c r="AE78" s="1430"/>
      <c r="AF78" s="1430"/>
      <c r="AG78" s="1430"/>
      <c r="AH78" s="1430"/>
      <c r="AI78" s="1430"/>
    </row>
    <row r="79" ht="15.75" customHeight="1">
      <c r="A79" s="1583">
        <v>1.0</v>
      </c>
      <c r="B79" s="1810">
        <v>46112.0</v>
      </c>
      <c r="C79" s="1568" t="s">
        <v>5980</v>
      </c>
      <c r="D79" s="1583" t="s">
        <v>1780</v>
      </c>
      <c r="E79" s="1583" t="s">
        <v>5981</v>
      </c>
      <c r="F79" s="1815" t="s">
        <v>5982</v>
      </c>
      <c r="G79" s="1583">
        <v>0.68</v>
      </c>
      <c r="H79" s="1583">
        <v>289.5</v>
      </c>
      <c r="I79" s="1863">
        <v>17370.0</v>
      </c>
      <c r="J79" s="1868">
        <v>0.0</v>
      </c>
      <c r="K79" s="1578"/>
      <c r="L79" s="1578"/>
      <c r="M79" s="1655">
        <v>0.0</v>
      </c>
      <c r="N79" s="1578"/>
      <c r="O79" s="1616"/>
      <c r="P79" s="1583" t="s">
        <v>2256</v>
      </c>
      <c r="Q79" s="1583" t="s">
        <v>4896</v>
      </c>
      <c r="R79" s="1616"/>
      <c r="S79" s="1616"/>
      <c r="T79" s="1616"/>
      <c r="U79" s="1620"/>
      <c r="V79" s="1543"/>
      <c r="W79" s="1543"/>
      <c r="X79" s="1543"/>
      <c r="Y79" s="1543"/>
      <c r="Z79" s="1543"/>
      <c r="AA79" s="1543"/>
      <c r="AB79" s="1543"/>
      <c r="AC79" s="1543"/>
      <c r="AD79" s="1430"/>
      <c r="AE79" s="1430"/>
      <c r="AF79" s="1430"/>
      <c r="AG79" s="1430"/>
      <c r="AH79" s="1430"/>
      <c r="AI79" s="1430"/>
    </row>
    <row r="80" ht="15.75" customHeight="1">
      <c r="A80" s="1583">
        <v>1.0</v>
      </c>
      <c r="B80" s="1810">
        <v>46118.0</v>
      </c>
      <c r="C80" s="1568" t="s">
        <v>5980</v>
      </c>
      <c r="D80" s="1583" t="s">
        <v>1780</v>
      </c>
      <c r="E80" s="1583" t="s">
        <v>5983</v>
      </c>
      <c r="F80" s="1578"/>
      <c r="G80" s="1578"/>
      <c r="H80" s="1578"/>
      <c r="I80" s="1616"/>
      <c r="J80" s="1868">
        <v>0.0</v>
      </c>
      <c r="K80" s="1578"/>
      <c r="L80" s="1578"/>
      <c r="M80" s="1655">
        <v>1.0</v>
      </c>
      <c r="N80" s="1655" t="s">
        <v>5984</v>
      </c>
      <c r="O80" s="1616"/>
      <c r="P80" s="1583" t="s">
        <v>2256</v>
      </c>
      <c r="Q80" s="1583" t="s">
        <v>4896</v>
      </c>
      <c r="R80" s="1616"/>
      <c r="S80" s="1616"/>
      <c r="T80" s="1616"/>
      <c r="U80" s="1620"/>
      <c r="V80" s="1543"/>
      <c r="W80" s="1543"/>
      <c r="X80" s="1543"/>
      <c r="Y80" s="1543"/>
      <c r="Z80" s="1543"/>
      <c r="AA80" s="1543"/>
      <c r="AB80" s="1543"/>
      <c r="AC80" s="1543"/>
      <c r="AD80" s="1430"/>
      <c r="AE80" s="1430"/>
      <c r="AF80" s="1430"/>
      <c r="AG80" s="1430"/>
      <c r="AH80" s="1430"/>
      <c r="AI80" s="1430"/>
    </row>
    <row r="81" ht="15.75" customHeight="1">
      <c r="A81" s="1583">
        <v>1.0</v>
      </c>
      <c r="B81" s="1810">
        <v>46125.0</v>
      </c>
      <c r="C81" s="1629" t="s">
        <v>5986</v>
      </c>
      <c r="D81" s="1583" t="s">
        <v>1780</v>
      </c>
      <c r="E81" s="1583" t="s">
        <v>5987</v>
      </c>
      <c r="F81" s="1583" t="s">
        <v>5988</v>
      </c>
      <c r="G81" s="1583">
        <v>0.03</v>
      </c>
      <c r="H81" s="1583">
        <v>14.0</v>
      </c>
      <c r="I81" s="1868">
        <v>840.0</v>
      </c>
      <c r="J81" s="1868">
        <v>0.0</v>
      </c>
      <c r="K81" s="1578"/>
      <c r="L81" s="1578"/>
      <c r="M81" s="1640">
        <v>1.0</v>
      </c>
      <c r="N81" s="1640" t="s">
        <v>5990</v>
      </c>
      <c r="O81" s="1616"/>
      <c r="P81" s="1583" t="s">
        <v>5991</v>
      </c>
      <c r="Q81" s="1583" t="s">
        <v>4896</v>
      </c>
      <c r="R81" s="1616"/>
      <c r="S81" s="1616"/>
      <c r="T81" s="1616"/>
      <c r="U81" s="1620"/>
      <c r="V81" s="1543"/>
      <c r="W81" s="1543"/>
      <c r="X81" s="1543"/>
      <c r="Y81" s="1543"/>
      <c r="Z81" s="1543"/>
      <c r="AA81" s="1543"/>
      <c r="AB81" s="1543"/>
      <c r="AC81" s="1543"/>
      <c r="AD81" s="1430"/>
      <c r="AE81" s="1430"/>
      <c r="AF81" s="1430"/>
      <c r="AG81" s="1430"/>
      <c r="AH81" s="1430"/>
      <c r="AI81" s="1430"/>
    </row>
    <row r="82" ht="15.75" customHeight="1">
      <c r="A82" s="1583">
        <v>1.0</v>
      </c>
      <c r="B82" s="1810">
        <v>46125.0</v>
      </c>
      <c r="C82" s="1629" t="s">
        <v>2302</v>
      </c>
      <c r="D82" s="1583" t="s">
        <v>736</v>
      </c>
      <c r="E82" s="1583" t="s">
        <v>5992</v>
      </c>
      <c r="F82" s="1815" t="s">
        <v>5993</v>
      </c>
      <c r="G82" s="1583">
        <v>0.26</v>
      </c>
      <c r="H82" s="1583">
        <v>112.0</v>
      </c>
      <c r="I82" s="1863">
        <v>8960.0</v>
      </c>
      <c r="J82" s="1868">
        <v>0.0</v>
      </c>
      <c r="K82" s="1578"/>
      <c r="L82" s="1578"/>
      <c r="M82" s="1640">
        <v>1.0</v>
      </c>
      <c r="N82" s="1640" t="s">
        <v>5994</v>
      </c>
      <c r="O82" s="1616"/>
      <c r="P82" s="1629" t="s">
        <v>2256</v>
      </c>
      <c r="Q82" s="1583" t="s">
        <v>4896</v>
      </c>
      <c r="R82" s="1616"/>
      <c r="S82" s="1616"/>
      <c r="T82" s="1616"/>
      <c r="U82" s="1620"/>
      <c r="V82" s="1543"/>
      <c r="W82" s="1543"/>
      <c r="X82" s="1543"/>
      <c r="Y82" s="1543"/>
      <c r="Z82" s="1543"/>
      <c r="AA82" s="1543"/>
      <c r="AB82" s="1543"/>
      <c r="AC82" s="1543"/>
      <c r="AD82" s="1430"/>
      <c r="AE82" s="1430"/>
      <c r="AF82" s="1430"/>
      <c r="AG82" s="1430"/>
      <c r="AH82" s="1430"/>
      <c r="AI82" s="1430"/>
    </row>
    <row r="83" ht="15.75" customHeight="1">
      <c r="A83" s="1583">
        <v>1.0</v>
      </c>
      <c r="B83" s="1810">
        <v>46133.0</v>
      </c>
      <c r="C83" s="1629" t="s">
        <v>1971</v>
      </c>
      <c r="D83" s="1583" t="s">
        <v>5996</v>
      </c>
      <c r="E83" s="1868" t="s">
        <v>5997</v>
      </c>
      <c r="F83" s="1868" t="s">
        <v>5998</v>
      </c>
      <c r="G83" s="1583">
        <v>3.38</v>
      </c>
      <c r="H83" s="1583">
        <v>1432.0</v>
      </c>
      <c r="I83" s="1863">
        <v>114560.0</v>
      </c>
      <c r="J83" s="1868">
        <v>0.0</v>
      </c>
      <c r="K83" s="1578"/>
      <c r="L83" s="1578"/>
      <c r="M83" s="1640">
        <v>0.0</v>
      </c>
      <c r="N83" s="1578"/>
      <c r="O83" s="1616"/>
      <c r="P83" s="1868" t="s">
        <v>5964</v>
      </c>
      <c r="Q83" s="1583" t="s">
        <v>4896</v>
      </c>
      <c r="R83" s="1616"/>
      <c r="S83" s="1616"/>
      <c r="T83" s="1616"/>
      <c r="U83" s="1620"/>
      <c r="V83" s="1543"/>
      <c r="W83" s="1543"/>
      <c r="X83" s="1543"/>
      <c r="Y83" s="1543"/>
      <c r="Z83" s="1543"/>
      <c r="AA83" s="1543"/>
      <c r="AB83" s="1543"/>
      <c r="AC83" s="1543"/>
      <c r="AD83" s="1430"/>
      <c r="AE83" s="1430"/>
      <c r="AF83" s="1430"/>
      <c r="AG83" s="1430"/>
      <c r="AH83" s="1430"/>
      <c r="AI83" s="1430"/>
    </row>
    <row r="84" ht="15.75" customHeight="1">
      <c r="A84" s="1742">
        <v>1.0</v>
      </c>
      <c r="B84" s="1810">
        <v>46146.0</v>
      </c>
      <c r="C84" s="1723" t="s">
        <v>5999</v>
      </c>
      <c r="D84" s="1742" t="s">
        <v>1780</v>
      </c>
      <c r="E84" s="1757" t="s">
        <v>6000</v>
      </c>
      <c r="F84" s="1876" t="s">
        <v>6002</v>
      </c>
      <c r="G84" s="1742">
        <v>0.75</v>
      </c>
      <c r="H84" s="1742">
        <v>320.0</v>
      </c>
      <c r="I84" s="1880">
        <v>25600.0</v>
      </c>
      <c r="J84" s="1757">
        <v>0.0</v>
      </c>
      <c r="K84" s="1729"/>
      <c r="L84" s="1729"/>
      <c r="M84" s="1767">
        <v>0.0</v>
      </c>
      <c r="N84" s="1729"/>
      <c r="O84" s="1739"/>
      <c r="P84" s="1757" t="s">
        <v>6015</v>
      </c>
      <c r="Q84" s="1742" t="s">
        <v>4896</v>
      </c>
      <c r="R84" s="1739"/>
      <c r="S84" s="1616"/>
      <c r="T84" s="1616"/>
      <c r="U84" s="1620"/>
      <c r="V84" s="1543"/>
      <c r="W84" s="1543"/>
      <c r="X84" s="1543"/>
      <c r="Y84" s="1543"/>
      <c r="Z84" s="1543"/>
      <c r="AA84" s="1543"/>
      <c r="AB84" s="1543"/>
      <c r="AC84" s="1543"/>
      <c r="AD84" s="1430"/>
      <c r="AE84" s="1430"/>
      <c r="AF84" s="1430"/>
      <c r="AG84" s="1430"/>
      <c r="AH84" s="1430"/>
      <c r="AI84" s="1430"/>
    </row>
    <row r="85" ht="15.75" customHeight="1">
      <c r="A85" s="1781">
        <v>29.0</v>
      </c>
      <c r="B85" s="1774" t="s">
        <v>433</v>
      </c>
      <c r="C85" s="1778"/>
      <c r="D85" s="1778"/>
      <c r="E85" s="1778"/>
      <c r="F85" s="1769"/>
      <c r="G85" s="1781">
        <v>589.61</v>
      </c>
      <c r="H85" s="1885">
        <v>5422.0</v>
      </c>
      <c r="I85" s="1789">
        <v>394948.6</v>
      </c>
      <c r="J85" s="1774">
        <v>3.0</v>
      </c>
      <c r="K85" s="1769"/>
      <c r="L85" s="1781">
        <v>0.0</v>
      </c>
      <c r="M85" s="1781">
        <v>8.0</v>
      </c>
      <c r="N85" s="1769"/>
      <c r="O85" s="1888">
        <v>10000.0</v>
      </c>
      <c r="P85" s="1778"/>
      <c r="Q85" s="1778"/>
      <c r="R85" s="1778"/>
      <c r="S85" s="1778"/>
      <c r="T85" s="1778"/>
      <c r="U85" s="1796"/>
      <c r="V85" s="1543"/>
      <c r="W85" s="1543"/>
      <c r="X85" s="1543"/>
      <c r="Y85" s="1543"/>
      <c r="Z85" s="1543"/>
      <c r="AA85" s="1543"/>
      <c r="AB85" s="1543"/>
      <c r="AC85" s="1543"/>
      <c r="AD85" s="1430"/>
      <c r="AE85" s="1430"/>
      <c r="AF85" s="1430"/>
      <c r="AG85" s="1430"/>
      <c r="AH85" s="1430"/>
      <c r="AI85" s="1430"/>
    </row>
    <row r="86" ht="15.75" customHeight="1">
      <c r="A86" s="1893" t="s">
        <v>312</v>
      </c>
      <c r="B86" s="289"/>
      <c r="C86" s="636"/>
      <c r="D86" s="1551"/>
      <c r="E86" s="1551"/>
      <c r="F86" s="1555"/>
      <c r="G86" s="1555"/>
      <c r="H86" s="1555"/>
      <c r="I86" s="1551"/>
      <c r="J86" s="1551"/>
      <c r="K86" s="1555"/>
      <c r="L86" s="1555"/>
      <c r="M86" s="1555"/>
      <c r="N86" s="1555"/>
      <c r="O86" s="1551"/>
      <c r="P86" s="1551"/>
      <c r="Q86" s="1551"/>
      <c r="R86" s="1551"/>
      <c r="S86" s="1801"/>
      <c r="T86" s="1801"/>
      <c r="U86" s="1806"/>
      <c r="V86" s="1543"/>
      <c r="W86" s="1543"/>
      <c r="X86" s="1543"/>
      <c r="Y86" s="1543"/>
      <c r="Z86" s="1543"/>
      <c r="AA86" s="1543"/>
      <c r="AB86" s="1543"/>
      <c r="AC86" s="1543"/>
      <c r="AD86" s="1430"/>
      <c r="AE86" s="1430"/>
      <c r="AF86" s="1430"/>
      <c r="AG86" s="1430"/>
      <c r="AH86" s="1430"/>
      <c r="AI86" s="1430"/>
    </row>
    <row r="87" ht="15.75" customHeight="1">
      <c r="A87" s="1583">
        <v>1.0</v>
      </c>
      <c r="B87" s="1810">
        <v>46046.0</v>
      </c>
      <c r="C87" s="1568" t="s">
        <v>6027</v>
      </c>
      <c r="D87" s="1583" t="s">
        <v>6028</v>
      </c>
      <c r="E87" s="1583" t="s">
        <v>6029</v>
      </c>
      <c r="F87" s="1815" t="s">
        <v>6030</v>
      </c>
      <c r="G87" s="1583">
        <v>0.48</v>
      </c>
      <c r="H87" s="1583">
        <v>201.88</v>
      </c>
      <c r="I87" s="1824">
        <v>10093.75</v>
      </c>
      <c r="J87" s="1578"/>
      <c r="K87" s="1818" t="s">
        <v>1343</v>
      </c>
      <c r="L87" s="1578"/>
      <c r="M87" s="1818">
        <v>0.0</v>
      </c>
      <c r="N87" s="1818" t="s">
        <v>1343</v>
      </c>
      <c r="O87" s="1583" t="s">
        <v>1343</v>
      </c>
      <c r="P87" s="1583" t="s">
        <v>6033</v>
      </c>
      <c r="Q87" s="1583" t="s">
        <v>4896</v>
      </c>
      <c r="R87" s="1578"/>
      <c r="S87" s="1810">
        <v>46139.0</v>
      </c>
      <c r="T87" s="1810">
        <v>46141.0</v>
      </c>
      <c r="U87" s="1587"/>
      <c r="V87" s="1226"/>
      <c r="W87" s="1226"/>
      <c r="X87" s="1226"/>
      <c r="Y87" s="1226"/>
      <c r="Z87" s="1226"/>
      <c r="AA87" s="1226"/>
      <c r="AB87" s="1226"/>
      <c r="AC87" s="1226"/>
      <c r="AD87" s="604"/>
      <c r="AE87" s="604"/>
      <c r="AF87" s="604"/>
      <c r="AG87" s="604"/>
      <c r="AH87" s="604"/>
      <c r="AI87" s="604"/>
    </row>
    <row r="88" ht="15.75" customHeight="1">
      <c r="A88" s="1583">
        <v>1.0</v>
      </c>
      <c r="B88" s="1810">
        <v>46047.0</v>
      </c>
      <c r="C88" s="1568" t="s">
        <v>6038</v>
      </c>
      <c r="D88" s="1583" t="s">
        <v>6039</v>
      </c>
      <c r="E88" s="1583" t="s">
        <v>6041</v>
      </c>
      <c r="F88" s="1815" t="s">
        <v>6043</v>
      </c>
      <c r="G88" s="1583">
        <v>0.14</v>
      </c>
      <c r="H88" s="1583">
        <v>60.0</v>
      </c>
      <c r="I88" s="1583">
        <v>3000.0</v>
      </c>
      <c r="J88" s="1578"/>
      <c r="K88" s="1818" t="s">
        <v>1343</v>
      </c>
      <c r="L88" s="1578"/>
      <c r="M88" s="1818">
        <v>1.0</v>
      </c>
      <c r="N88" s="1818" t="s">
        <v>6044</v>
      </c>
      <c r="O88" s="1824">
        <v>15000.0</v>
      </c>
      <c r="P88" s="1583" t="s">
        <v>6045</v>
      </c>
      <c r="Q88" s="1897"/>
      <c r="R88" s="1900" t="s">
        <v>6050</v>
      </c>
      <c r="S88" s="1810">
        <v>46111.0</v>
      </c>
      <c r="T88" s="1810">
        <v>46119.0</v>
      </c>
      <c r="U88" s="1587"/>
      <c r="V88" s="1226"/>
      <c r="W88" s="1226"/>
      <c r="X88" s="1226"/>
      <c r="Y88" s="1226"/>
      <c r="Z88" s="1226"/>
      <c r="AA88" s="1226"/>
      <c r="AB88" s="1226"/>
      <c r="AC88" s="1226"/>
      <c r="AD88" s="604"/>
      <c r="AE88" s="793"/>
      <c r="AF88" s="604"/>
      <c r="AG88" s="604"/>
      <c r="AH88" s="604"/>
      <c r="AI88" s="604"/>
    </row>
    <row r="89" ht="15.75" customHeight="1">
      <c r="A89" s="1583">
        <v>1.0</v>
      </c>
      <c r="B89" s="1810">
        <v>46036.0</v>
      </c>
      <c r="C89" s="1568" t="s">
        <v>6055</v>
      </c>
      <c r="D89" s="1583" t="s">
        <v>6056</v>
      </c>
      <c r="E89" s="1583" t="s">
        <v>6057</v>
      </c>
      <c r="F89" s="1815" t="s">
        <v>6058</v>
      </c>
      <c r="G89" s="1583">
        <v>0.56</v>
      </c>
      <c r="H89" s="1583">
        <v>240.0</v>
      </c>
      <c r="I89" s="1824">
        <v>4698.0</v>
      </c>
      <c r="J89" s="1578"/>
      <c r="K89" s="1818" t="s">
        <v>1343</v>
      </c>
      <c r="L89" s="1578"/>
      <c r="M89" s="1818">
        <v>0.0</v>
      </c>
      <c r="N89" s="1640" t="s">
        <v>6059</v>
      </c>
      <c r="O89" s="1903">
        <v>18000.0</v>
      </c>
      <c r="P89" s="1583" t="s">
        <v>6070</v>
      </c>
      <c r="Q89" s="1583" t="s">
        <v>4896</v>
      </c>
      <c r="R89" s="1578"/>
      <c r="S89" s="1810">
        <v>46160.0</v>
      </c>
      <c r="T89" s="1810">
        <v>46168.0</v>
      </c>
      <c r="U89" s="1828" t="s">
        <v>6072</v>
      </c>
      <c r="V89" s="1226"/>
      <c r="W89" s="1226"/>
      <c r="X89" s="1226"/>
      <c r="Y89" s="1226"/>
      <c r="Z89" s="1226"/>
      <c r="AA89" s="1226"/>
      <c r="AB89" s="1226"/>
      <c r="AC89" s="1226"/>
      <c r="AD89" s="604"/>
      <c r="AE89" s="604"/>
      <c r="AF89" s="604"/>
      <c r="AG89" s="604"/>
      <c r="AH89" s="604"/>
      <c r="AI89" s="604"/>
    </row>
    <row r="90" ht="15.75" customHeight="1">
      <c r="A90" s="1583">
        <v>1.0</v>
      </c>
      <c r="B90" s="1810">
        <v>46051.0</v>
      </c>
      <c r="C90" s="1568" t="s">
        <v>6074</v>
      </c>
      <c r="D90" s="1583" t="s">
        <v>6076</v>
      </c>
      <c r="E90" s="1578"/>
      <c r="F90" s="1815" t="s">
        <v>6077</v>
      </c>
      <c r="G90" s="1583">
        <v>0.45</v>
      </c>
      <c r="H90" s="1583">
        <v>192.0</v>
      </c>
      <c r="I90" s="1824">
        <v>11520.0</v>
      </c>
      <c r="J90" s="1578"/>
      <c r="K90" s="1818" t="s">
        <v>1343</v>
      </c>
      <c r="L90" s="1578"/>
      <c r="M90" s="1818">
        <v>0.0</v>
      </c>
      <c r="N90" s="1578"/>
      <c r="O90" s="1578"/>
      <c r="P90" s="1583" t="s">
        <v>6080</v>
      </c>
      <c r="Q90" s="1583" t="s">
        <v>4896</v>
      </c>
      <c r="R90" s="1578"/>
      <c r="S90" s="1578"/>
      <c r="T90" s="1578"/>
      <c r="U90" s="1587"/>
      <c r="V90" s="1226"/>
      <c r="W90" s="1226"/>
      <c r="X90" s="1226"/>
      <c r="Y90" s="1226"/>
      <c r="Z90" s="1226"/>
      <c r="AA90" s="1226"/>
      <c r="AB90" s="1226"/>
      <c r="AC90" s="1226"/>
      <c r="AD90" s="604"/>
      <c r="AE90" s="604"/>
      <c r="AF90" s="604"/>
      <c r="AG90" s="604"/>
      <c r="AH90" s="604"/>
      <c r="AI90" s="604"/>
    </row>
    <row r="91" ht="15.75" customHeight="1">
      <c r="A91" s="1583">
        <v>1.0</v>
      </c>
      <c r="B91" s="1906">
        <v>46067.0</v>
      </c>
      <c r="C91" s="1629" t="s">
        <v>6093</v>
      </c>
      <c r="D91" s="1583" t="s">
        <v>6056</v>
      </c>
      <c r="E91" s="1616"/>
      <c r="F91" s="1815" t="s">
        <v>6094</v>
      </c>
      <c r="G91" s="1583">
        <v>0.56</v>
      </c>
      <c r="H91" s="1583">
        <v>432.0</v>
      </c>
      <c r="I91" s="1863">
        <v>4698.0</v>
      </c>
      <c r="J91" s="1616"/>
      <c r="K91" s="1818" t="s">
        <v>1343</v>
      </c>
      <c r="L91" s="1578"/>
      <c r="M91" s="1818">
        <v>0.0</v>
      </c>
      <c r="N91" s="1640" t="s">
        <v>6059</v>
      </c>
      <c r="O91" s="1913">
        <v>18000.0</v>
      </c>
      <c r="P91" s="1583" t="s">
        <v>6117</v>
      </c>
      <c r="Q91" s="1583" t="s">
        <v>4896</v>
      </c>
      <c r="R91" s="1616"/>
      <c r="S91" s="1616"/>
      <c r="T91" s="1616"/>
      <c r="U91" s="1620"/>
      <c r="V91" s="1543"/>
      <c r="W91" s="1543"/>
      <c r="X91" s="1543"/>
      <c r="Y91" s="1543"/>
      <c r="Z91" s="1543"/>
      <c r="AA91" s="1543"/>
      <c r="AB91" s="1543"/>
      <c r="AC91" s="1543"/>
      <c r="AD91" s="1430"/>
      <c r="AE91" s="1430"/>
      <c r="AF91" s="1430"/>
      <c r="AG91" s="1430"/>
      <c r="AH91" s="1430"/>
      <c r="AI91" s="1430"/>
    </row>
    <row r="92" ht="15.75" customHeight="1">
      <c r="A92" s="1583">
        <v>1.0</v>
      </c>
      <c r="B92" s="1810">
        <v>46083.0</v>
      </c>
      <c r="C92" s="1568" t="s">
        <v>6119</v>
      </c>
      <c r="D92" s="1583" t="s">
        <v>6120</v>
      </c>
      <c r="E92" s="1583" t="s">
        <v>6121</v>
      </c>
      <c r="F92" s="1815" t="s">
        <v>6122</v>
      </c>
      <c r="G92" s="1578"/>
      <c r="H92" s="1583">
        <v>639.0</v>
      </c>
      <c r="I92" s="1824">
        <v>31950.0</v>
      </c>
      <c r="J92" s="1578"/>
      <c r="K92" s="1818" t="s">
        <v>1343</v>
      </c>
      <c r="L92" s="1578"/>
      <c r="M92" s="1818">
        <v>0.0</v>
      </c>
      <c r="N92" s="1578"/>
      <c r="O92" s="1616"/>
      <c r="P92" s="1578"/>
      <c r="Q92" s="1578"/>
      <c r="R92" s="1616"/>
      <c r="S92" s="1616"/>
      <c r="T92" s="1616"/>
      <c r="U92" s="1620"/>
      <c r="V92" s="1543"/>
      <c r="W92" s="1543"/>
      <c r="X92" s="1543"/>
      <c r="Y92" s="1543"/>
      <c r="Z92" s="1543"/>
      <c r="AA92" s="1543"/>
      <c r="AB92" s="1543"/>
      <c r="AC92" s="1543"/>
      <c r="AD92" s="1430"/>
      <c r="AE92" s="1430"/>
      <c r="AF92" s="1430"/>
      <c r="AG92" s="1430"/>
      <c r="AH92" s="1430"/>
      <c r="AI92" s="1430"/>
    </row>
    <row r="93" ht="50.25" customHeight="1">
      <c r="A93" s="1583">
        <v>1.0</v>
      </c>
      <c r="B93" s="1810">
        <v>46084.0</v>
      </c>
      <c r="C93" s="1568" t="s">
        <v>6123</v>
      </c>
      <c r="D93" s="1583" t="s">
        <v>6124</v>
      </c>
      <c r="E93" s="1583" t="s">
        <v>6125</v>
      </c>
      <c r="F93" s="1815" t="s">
        <v>6126</v>
      </c>
      <c r="G93" s="1578"/>
      <c r="H93" s="1583">
        <v>636.4</v>
      </c>
      <c r="I93" s="1824">
        <v>35002.0</v>
      </c>
      <c r="J93" s="1578"/>
      <c r="K93" s="1818" t="s">
        <v>1343</v>
      </c>
      <c r="L93" s="1578"/>
      <c r="M93" s="1818">
        <v>0.0</v>
      </c>
      <c r="N93" s="1578"/>
      <c r="O93" s="1616"/>
      <c r="P93" s="1578"/>
      <c r="Q93" s="1578"/>
      <c r="R93" s="1616"/>
      <c r="S93" s="1616"/>
      <c r="T93" s="1616"/>
      <c r="U93" s="1620"/>
      <c r="V93" s="1918"/>
      <c r="W93" s="1918" t="s">
        <v>6128</v>
      </c>
      <c r="X93" s="1543"/>
      <c r="Y93" s="1543"/>
      <c r="Z93" s="1543"/>
      <c r="AA93" s="1543"/>
      <c r="AB93" s="1543"/>
      <c r="AC93" s="1543"/>
      <c r="AD93" s="1430"/>
      <c r="AE93" s="1430"/>
      <c r="AF93" s="1430"/>
      <c r="AG93" s="1430"/>
      <c r="AH93" s="1430"/>
      <c r="AI93" s="1430"/>
    </row>
    <row r="94" ht="15.75" customHeight="1">
      <c r="A94" s="1583">
        <v>1.0</v>
      </c>
      <c r="B94" s="1810">
        <v>46088.0</v>
      </c>
      <c r="C94" s="1568" t="s">
        <v>6129</v>
      </c>
      <c r="D94" s="1583" t="s">
        <v>6120</v>
      </c>
      <c r="E94" s="1583" t="s">
        <v>6130</v>
      </c>
      <c r="F94" s="1815" t="s">
        <v>6131</v>
      </c>
      <c r="G94" s="1578"/>
      <c r="H94" s="1578"/>
      <c r="I94" s="1578"/>
      <c r="J94" s="1583">
        <v>1.0</v>
      </c>
      <c r="K94" s="1583" t="s">
        <v>6132</v>
      </c>
      <c r="L94" s="1578"/>
      <c r="M94" s="1818">
        <v>0.0</v>
      </c>
      <c r="N94" s="1578"/>
      <c r="O94" s="1578"/>
      <c r="P94" s="1583" t="s">
        <v>6133</v>
      </c>
      <c r="Q94" s="1583" t="s">
        <v>4896</v>
      </c>
      <c r="R94" s="1583" t="s">
        <v>6134</v>
      </c>
      <c r="S94" s="1810">
        <v>46160.0</v>
      </c>
      <c r="T94" s="1924">
        <v>46168.0</v>
      </c>
      <c r="U94" s="1587"/>
      <c r="V94" s="1543"/>
      <c r="W94" s="1543"/>
      <c r="X94" s="1543"/>
      <c r="Y94" s="1543"/>
      <c r="Z94" s="1543"/>
      <c r="AA94" s="1543"/>
      <c r="AB94" s="1543"/>
      <c r="AC94" s="1543"/>
      <c r="AD94" s="1430"/>
      <c r="AE94" s="1430"/>
      <c r="AF94" s="1430"/>
      <c r="AG94" s="1430"/>
      <c r="AH94" s="1430"/>
      <c r="AI94" s="1430"/>
    </row>
    <row r="95" ht="15.75" customHeight="1">
      <c r="A95" s="1583">
        <v>1.0</v>
      </c>
      <c r="B95" s="1810">
        <v>46103.0</v>
      </c>
      <c r="C95" s="1568" t="s">
        <v>6146</v>
      </c>
      <c r="D95" s="1583" t="s">
        <v>722</v>
      </c>
      <c r="E95" s="1583" t="s">
        <v>6148</v>
      </c>
      <c r="F95" s="1815" t="s">
        <v>6150</v>
      </c>
      <c r="G95" s="1583">
        <v>0.54</v>
      </c>
      <c r="H95" s="1583">
        <v>232.1</v>
      </c>
      <c r="I95" s="1616"/>
      <c r="J95" s="1616"/>
      <c r="K95" s="1818" t="s">
        <v>1343</v>
      </c>
      <c r="L95" s="1616"/>
      <c r="M95" s="1818">
        <v>0.0</v>
      </c>
      <c r="N95" s="1818" t="s">
        <v>1343</v>
      </c>
      <c r="O95" s="1578"/>
      <c r="P95" s="1583" t="s">
        <v>6152</v>
      </c>
      <c r="Q95" s="1578"/>
      <c r="R95" s="1578"/>
      <c r="S95" s="1578"/>
      <c r="T95" s="1578"/>
      <c r="U95" s="1587"/>
      <c r="V95" s="1543"/>
      <c r="W95" s="1543"/>
      <c r="X95" s="1543"/>
      <c r="Y95" s="1543"/>
      <c r="Z95" s="1543"/>
      <c r="AA95" s="1543"/>
      <c r="AB95" s="1543"/>
      <c r="AC95" s="1543"/>
      <c r="AD95" s="1430"/>
      <c r="AE95" s="1430"/>
      <c r="AF95" s="1430"/>
      <c r="AG95" s="1430"/>
      <c r="AH95" s="1430"/>
      <c r="AI95" s="1430"/>
    </row>
    <row r="96" ht="15.75" customHeight="1">
      <c r="A96" s="1583">
        <v>1.0</v>
      </c>
      <c r="B96" s="1906">
        <v>46109.0</v>
      </c>
      <c r="C96" s="1568" t="s">
        <v>6158</v>
      </c>
      <c r="D96" s="1583" t="s">
        <v>6159</v>
      </c>
      <c r="E96" s="1583" t="s">
        <v>6160</v>
      </c>
      <c r="F96" s="1583" t="s">
        <v>6161</v>
      </c>
      <c r="G96" s="1583">
        <v>1.15</v>
      </c>
      <c r="H96" s="1583">
        <v>489.99</v>
      </c>
      <c r="I96" s="1863">
        <v>49799.0</v>
      </c>
      <c r="J96" s="1616"/>
      <c r="K96" s="1818" t="s">
        <v>1343</v>
      </c>
      <c r="L96" s="1578"/>
      <c r="M96" s="1818">
        <v>0.0</v>
      </c>
      <c r="N96" s="1818" t="s">
        <v>1343</v>
      </c>
      <c r="O96" s="1578"/>
      <c r="P96" s="1868" t="s">
        <v>722</v>
      </c>
      <c r="Q96" s="1578"/>
      <c r="R96" s="1578"/>
      <c r="S96" s="1578"/>
      <c r="T96" s="1578"/>
      <c r="U96" s="1587"/>
      <c r="V96" s="1543"/>
      <c r="W96" s="1543"/>
      <c r="X96" s="1543"/>
      <c r="Y96" s="1543"/>
      <c r="Z96" s="1543"/>
      <c r="AA96" s="1543"/>
      <c r="AB96" s="1543"/>
      <c r="AC96" s="1543"/>
      <c r="AD96" s="1430"/>
      <c r="AE96" s="1430"/>
      <c r="AF96" s="1430"/>
      <c r="AG96" s="1430"/>
      <c r="AH96" s="1430"/>
      <c r="AI96" s="1430"/>
    </row>
    <row r="97" ht="15.75" customHeight="1">
      <c r="A97" s="1583">
        <v>1.0</v>
      </c>
      <c r="B97" s="1906">
        <v>46114.0</v>
      </c>
      <c r="C97" s="1629" t="s">
        <v>3032</v>
      </c>
      <c r="D97" s="1583" t="s">
        <v>708</v>
      </c>
      <c r="E97" s="1868" t="s">
        <v>6163</v>
      </c>
      <c r="F97" s="1815" t="s">
        <v>6165</v>
      </c>
      <c r="G97" s="1583">
        <v>0.56</v>
      </c>
      <c r="H97" s="1583">
        <v>239.0</v>
      </c>
      <c r="I97" s="1863">
        <v>12680.0</v>
      </c>
      <c r="J97" s="1616"/>
      <c r="K97" s="1818" t="s">
        <v>1343</v>
      </c>
      <c r="L97" s="1578"/>
      <c r="M97" s="1818">
        <v>0.0</v>
      </c>
      <c r="N97" s="1818" t="s">
        <v>1343</v>
      </c>
      <c r="O97" s="1578"/>
      <c r="P97" s="1868" t="s">
        <v>708</v>
      </c>
      <c r="Q97" s="1578"/>
      <c r="R97" s="1578"/>
      <c r="S97" s="1578"/>
      <c r="T97" s="1578"/>
      <c r="U97" s="1587"/>
      <c r="V97" s="1543"/>
      <c r="W97" s="1543"/>
      <c r="X97" s="1543"/>
      <c r="Y97" s="1543"/>
      <c r="Z97" s="1543"/>
      <c r="AA97" s="1543"/>
      <c r="AB97" s="1543"/>
      <c r="AC97" s="1543"/>
      <c r="AD97" s="1430"/>
      <c r="AE97" s="1430"/>
      <c r="AF97" s="1430"/>
      <c r="AG97" s="1430"/>
      <c r="AH97" s="1430"/>
      <c r="AI97" s="1430"/>
    </row>
    <row r="98" ht="15.75" customHeight="1">
      <c r="A98" s="1583">
        <v>1.0</v>
      </c>
      <c r="B98" s="1906">
        <v>46120.0</v>
      </c>
      <c r="C98" s="1629" t="s">
        <v>6074</v>
      </c>
      <c r="D98" s="1583" t="s">
        <v>722</v>
      </c>
      <c r="E98" s="1583" t="s">
        <v>6166</v>
      </c>
      <c r="F98" s="1815" t="s">
        <v>6167</v>
      </c>
      <c r="G98" s="1583">
        <v>1.5</v>
      </c>
      <c r="H98" s="1583">
        <v>648.0</v>
      </c>
      <c r="I98" s="1863">
        <v>48600.0</v>
      </c>
      <c r="J98" s="1616"/>
      <c r="K98" s="1818" t="s">
        <v>1343</v>
      </c>
      <c r="L98" s="1578"/>
      <c r="M98" s="1818">
        <v>0.0</v>
      </c>
      <c r="N98" s="1818" t="s">
        <v>1343</v>
      </c>
      <c r="O98" s="1578"/>
      <c r="P98" s="1868" t="s">
        <v>722</v>
      </c>
      <c r="Q98" s="1578"/>
      <c r="R98" s="1616"/>
      <c r="S98" s="1616"/>
      <c r="T98" s="1616"/>
      <c r="U98" s="1620"/>
      <c r="V98" s="1543"/>
      <c r="W98" s="1543"/>
      <c r="X98" s="1543"/>
      <c r="Y98" s="1543"/>
      <c r="Z98" s="1543"/>
      <c r="AA98" s="1543"/>
      <c r="AB98" s="1543"/>
      <c r="AC98" s="1543"/>
      <c r="AD98" s="1430"/>
      <c r="AE98" s="1430"/>
      <c r="AF98" s="1430"/>
      <c r="AG98" s="1430"/>
      <c r="AH98" s="1430"/>
      <c r="AI98" s="1430"/>
    </row>
    <row r="99" ht="15.75" customHeight="1">
      <c r="A99" s="1583">
        <v>1.0</v>
      </c>
      <c r="B99" s="1906">
        <v>46125.0</v>
      </c>
      <c r="C99" s="1629" t="s">
        <v>6158</v>
      </c>
      <c r="D99" s="1583" t="s">
        <v>722</v>
      </c>
      <c r="E99" s="1583" t="s">
        <v>6169</v>
      </c>
      <c r="F99" s="1815" t="s">
        <v>6170</v>
      </c>
      <c r="G99" s="1583">
        <v>0.36</v>
      </c>
      <c r="H99" s="1583">
        <v>153.0</v>
      </c>
      <c r="I99" s="1863">
        <v>15300.0</v>
      </c>
      <c r="J99" s="1616"/>
      <c r="K99" s="1818" t="s">
        <v>1343</v>
      </c>
      <c r="L99" s="1578"/>
      <c r="M99" s="1818">
        <v>0.0</v>
      </c>
      <c r="N99" s="1818" t="s">
        <v>1343</v>
      </c>
      <c r="O99" s="1578"/>
      <c r="P99" s="1868" t="s">
        <v>722</v>
      </c>
      <c r="Q99" s="1578"/>
      <c r="R99" s="1616"/>
      <c r="S99" s="1616"/>
      <c r="T99" s="1616"/>
      <c r="U99" s="1620"/>
      <c r="V99" s="1543"/>
      <c r="W99" s="1543"/>
      <c r="X99" s="1543"/>
      <c r="Y99" s="1543"/>
      <c r="Z99" s="1543"/>
      <c r="AA99" s="1543"/>
      <c r="AB99" s="1543"/>
      <c r="AC99" s="1543"/>
      <c r="AD99" s="1430"/>
      <c r="AE99" s="1430"/>
      <c r="AF99" s="1430"/>
      <c r="AG99" s="1430"/>
      <c r="AH99" s="1430"/>
      <c r="AI99" s="1430"/>
    </row>
    <row r="100" ht="15.75" customHeight="1">
      <c r="A100" s="1583">
        <v>1.0</v>
      </c>
      <c r="B100" s="1906">
        <v>46142.0</v>
      </c>
      <c r="C100" s="1629" t="s">
        <v>5826</v>
      </c>
      <c r="D100" s="1583" t="s">
        <v>722</v>
      </c>
      <c r="E100" s="1583" t="s">
        <v>6171</v>
      </c>
      <c r="F100" s="1583" t="s">
        <v>6172</v>
      </c>
      <c r="G100" s="1583">
        <v>0.78</v>
      </c>
      <c r="H100" s="1583">
        <v>334.5</v>
      </c>
      <c r="I100" s="1863">
        <v>20070.0</v>
      </c>
      <c r="J100" s="1935">
        <v>0.0</v>
      </c>
      <c r="K100" s="1818" t="s">
        <v>1343</v>
      </c>
      <c r="L100" s="1578"/>
      <c r="M100" s="1655">
        <v>0.0</v>
      </c>
      <c r="N100" s="1578"/>
      <c r="O100" s="1578"/>
      <c r="P100" s="1568" t="s">
        <v>6178</v>
      </c>
      <c r="Q100" s="1583" t="s">
        <v>3551</v>
      </c>
      <c r="R100" s="1616"/>
      <c r="S100" s="1616"/>
      <c r="T100" s="1616"/>
      <c r="U100" s="1620"/>
      <c r="V100" s="1543"/>
      <c r="W100" s="1543"/>
      <c r="X100" s="1543"/>
      <c r="Y100" s="1543"/>
      <c r="Z100" s="1543"/>
      <c r="AA100" s="1543"/>
      <c r="AB100" s="1543"/>
      <c r="AC100" s="1543"/>
      <c r="AD100" s="1430"/>
      <c r="AE100" s="1430"/>
      <c r="AF100" s="1430"/>
      <c r="AG100" s="1430"/>
      <c r="AH100" s="1430"/>
      <c r="AI100" s="1430"/>
    </row>
    <row r="101" ht="15.75" customHeight="1">
      <c r="A101" s="1583">
        <v>1.0</v>
      </c>
      <c r="B101" s="1906">
        <v>46158.0</v>
      </c>
      <c r="C101" s="1629" t="s">
        <v>6179</v>
      </c>
      <c r="D101" s="1583" t="s">
        <v>708</v>
      </c>
      <c r="E101" s="1868" t="s">
        <v>6180</v>
      </c>
      <c r="F101" s="1815" t="s">
        <v>6181</v>
      </c>
      <c r="G101" s="1583">
        <v>0.46</v>
      </c>
      <c r="H101" s="1583">
        <v>196.66</v>
      </c>
      <c r="I101" s="1863">
        <v>5000.0</v>
      </c>
      <c r="J101" s="1868">
        <v>0.0</v>
      </c>
      <c r="K101" s="1818" t="s">
        <v>1343</v>
      </c>
      <c r="L101" s="1578"/>
      <c r="M101" s="1655">
        <v>0.0</v>
      </c>
      <c r="N101" s="1578"/>
      <c r="O101" s="1578"/>
      <c r="P101" s="1583" t="s">
        <v>708</v>
      </c>
      <c r="Q101" s="1583" t="s">
        <v>3551</v>
      </c>
      <c r="R101" s="1616"/>
      <c r="S101" s="1616"/>
      <c r="T101" s="1616"/>
      <c r="U101" s="1620"/>
      <c r="V101" s="1543"/>
      <c r="W101" s="1543"/>
      <c r="X101" s="1543"/>
      <c r="Y101" s="1543"/>
      <c r="Z101" s="1543"/>
      <c r="AA101" s="1543"/>
      <c r="AB101" s="1543"/>
      <c r="AC101" s="1543"/>
      <c r="AD101" s="1430"/>
      <c r="AE101" s="1430"/>
      <c r="AF101" s="1430"/>
      <c r="AG101" s="1430"/>
      <c r="AH101" s="1430"/>
      <c r="AI101" s="1430"/>
    </row>
    <row r="102" ht="15.75" customHeight="1">
      <c r="A102" s="1583">
        <v>1.0</v>
      </c>
      <c r="B102" s="1810">
        <v>46162.0</v>
      </c>
      <c r="C102" s="1568" t="s">
        <v>3608</v>
      </c>
      <c r="D102" s="1583" t="s">
        <v>6120</v>
      </c>
      <c r="E102" s="1583" t="s">
        <v>6182</v>
      </c>
      <c r="F102" s="1815" t="s">
        <v>6183</v>
      </c>
      <c r="G102" s="1583">
        <v>3.23</v>
      </c>
      <c r="H102" s="1824">
        <v>1367.13</v>
      </c>
      <c r="I102" s="1863">
        <v>34206.2</v>
      </c>
      <c r="J102" s="1868">
        <v>1.0</v>
      </c>
      <c r="K102" s="1818" t="s">
        <v>1343</v>
      </c>
      <c r="L102" s="1578"/>
      <c r="M102" s="1655">
        <v>1.0</v>
      </c>
      <c r="N102" s="1655" t="s">
        <v>6184</v>
      </c>
      <c r="O102" s="1939">
        <v>550000.0</v>
      </c>
      <c r="P102" s="1583" t="s">
        <v>6191</v>
      </c>
      <c r="Q102" s="1583" t="s">
        <v>3551</v>
      </c>
      <c r="R102" s="1616"/>
      <c r="S102" s="1616"/>
      <c r="T102" s="1616"/>
      <c r="U102" s="1620"/>
      <c r="V102" s="1543"/>
      <c r="W102" s="1543"/>
      <c r="X102" s="1543"/>
      <c r="Y102" s="1543"/>
      <c r="Z102" s="1543"/>
      <c r="AA102" s="1543"/>
      <c r="AB102" s="1543"/>
      <c r="AC102" s="1543"/>
      <c r="AD102" s="1430"/>
      <c r="AE102" s="1430"/>
      <c r="AF102" s="1430"/>
      <c r="AG102" s="1430"/>
      <c r="AH102" s="1430"/>
      <c r="AI102" s="1430"/>
    </row>
    <row r="103" ht="15.75" customHeight="1">
      <c r="A103" s="1583">
        <v>1.0</v>
      </c>
      <c r="B103" s="1810">
        <v>46169.0</v>
      </c>
      <c r="C103" s="1667" t="s">
        <v>6192</v>
      </c>
      <c r="D103" s="1583" t="s">
        <v>3059</v>
      </c>
      <c r="E103" s="1944" t="s">
        <v>6193</v>
      </c>
      <c r="F103" s="1583" t="s">
        <v>6197</v>
      </c>
      <c r="G103" s="1671">
        <v>0.12</v>
      </c>
      <c r="H103" s="1583">
        <v>52.03</v>
      </c>
      <c r="I103" s="1948">
        <v>2601.0</v>
      </c>
      <c r="J103" s="1952">
        <v>0.0</v>
      </c>
      <c r="K103" s="1818" t="s">
        <v>1343</v>
      </c>
      <c r="L103" s="1578"/>
      <c r="M103" s="1655">
        <v>1.0</v>
      </c>
      <c r="N103" s="1667" t="s">
        <v>6199</v>
      </c>
      <c r="O103" s="1674">
        <v>15000.0</v>
      </c>
      <c r="P103" s="1629" t="s">
        <v>6200</v>
      </c>
      <c r="Q103" s="1583" t="s">
        <v>3551</v>
      </c>
      <c r="R103" s="1616"/>
      <c r="S103" s="1616"/>
      <c r="T103" s="1616"/>
      <c r="U103" s="1620"/>
      <c r="V103" s="1543"/>
      <c r="W103" s="1543"/>
      <c r="X103" s="1543"/>
      <c r="Y103" s="1543"/>
      <c r="Z103" s="1543"/>
      <c r="AA103" s="1543"/>
      <c r="AB103" s="1543"/>
      <c r="AC103" s="1543"/>
      <c r="AD103" s="1430"/>
      <c r="AE103" s="1430"/>
      <c r="AF103" s="1430"/>
      <c r="AG103" s="1430"/>
      <c r="AH103" s="1430"/>
      <c r="AI103" s="1430"/>
    </row>
    <row r="104" ht="15.75" customHeight="1">
      <c r="A104" s="1583">
        <v>1.0</v>
      </c>
      <c r="B104" s="1810">
        <v>46169.0</v>
      </c>
      <c r="C104" s="1629" t="s">
        <v>3566</v>
      </c>
      <c r="D104" s="1583" t="s">
        <v>3059</v>
      </c>
      <c r="E104" s="1868" t="s">
        <v>6201</v>
      </c>
      <c r="F104" s="1815" t="s">
        <v>6202</v>
      </c>
      <c r="G104" s="1583">
        <v>0.6</v>
      </c>
      <c r="H104" s="1583">
        <v>256.0</v>
      </c>
      <c r="I104" s="1863">
        <v>20000.0</v>
      </c>
      <c r="J104" s="1868">
        <v>0.0</v>
      </c>
      <c r="K104" s="1818" t="s">
        <v>1343</v>
      </c>
      <c r="L104" s="1578"/>
      <c r="M104" s="1655">
        <v>0.0</v>
      </c>
      <c r="N104" s="1677" t="s">
        <v>1343</v>
      </c>
      <c r="O104" s="1616"/>
      <c r="P104" s="1868" t="s">
        <v>722</v>
      </c>
      <c r="Q104" s="1583" t="s">
        <v>3551</v>
      </c>
      <c r="R104" s="1616"/>
      <c r="S104" s="1616"/>
      <c r="T104" s="1616"/>
      <c r="U104" s="1620"/>
      <c r="V104" s="1543"/>
      <c r="W104" s="1543"/>
      <c r="X104" s="1543"/>
      <c r="Y104" s="1543"/>
      <c r="Z104" s="1543"/>
      <c r="AA104" s="1543"/>
      <c r="AB104" s="1543"/>
      <c r="AC104" s="1543"/>
      <c r="AD104" s="1430"/>
      <c r="AE104" s="1430"/>
      <c r="AF104" s="1430"/>
      <c r="AG104" s="1430"/>
      <c r="AH104" s="1430"/>
      <c r="AI104" s="1430"/>
    </row>
    <row r="105" ht="15.75" customHeight="1">
      <c r="A105" s="1583">
        <v>1.0</v>
      </c>
      <c r="B105" s="1906">
        <v>46177.0</v>
      </c>
      <c r="C105" s="1629" t="s">
        <v>6203</v>
      </c>
      <c r="D105" s="1583" t="s">
        <v>708</v>
      </c>
      <c r="E105" s="1583" t="s">
        <v>6204</v>
      </c>
      <c r="F105" s="1583" t="s">
        <v>6205</v>
      </c>
      <c r="G105" s="1578"/>
      <c r="H105" s="1583">
        <v>368.49</v>
      </c>
      <c r="I105" s="1863">
        <v>11215.0</v>
      </c>
      <c r="J105" s="1868">
        <v>0.0</v>
      </c>
      <c r="K105" s="1818" t="s">
        <v>1343</v>
      </c>
      <c r="L105" s="1578"/>
      <c r="M105" s="1655">
        <v>0.0</v>
      </c>
      <c r="N105" s="1653" t="s">
        <v>1343</v>
      </c>
      <c r="O105" s="1616"/>
      <c r="P105" s="1583" t="s">
        <v>708</v>
      </c>
      <c r="Q105" s="1578"/>
      <c r="R105" s="1616"/>
      <c r="S105" s="1616"/>
      <c r="T105" s="1616"/>
      <c r="U105" s="1620"/>
      <c r="V105" s="1543"/>
      <c r="W105" s="1543"/>
      <c r="X105" s="1543"/>
      <c r="Y105" s="1543"/>
      <c r="Z105" s="1543"/>
      <c r="AA105" s="1543"/>
      <c r="AB105" s="1543"/>
      <c r="AC105" s="1543"/>
      <c r="AD105" s="1430"/>
      <c r="AE105" s="1430"/>
      <c r="AF105" s="1430"/>
      <c r="AG105" s="1430"/>
      <c r="AH105" s="1430"/>
      <c r="AI105" s="1430"/>
    </row>
    <row r="106" ht="15.75" customHeight="1">
      <c r="A106" s="1781">
        <v>19.0</v>
      </c>
      <c r="B106" s="1774" t="s">
        <v>433</v>
      </c>
      <c r="C106" s="1778"/>
      <c r="D106" s="1778"/>
      <c r="E106" s="1778"/>
      <c r="F106" s="1769"/>
      <c r="G106" s="1781">
        <v>11.48</v>
      </c>
      <c r="H106" s="1785">
        <v>6738.18</v>
      </c>
      <c r="I106" s="1789">
        <v>320432.95</v>
      </c>
      <c r="J106" s="1774">
        <v>2.0</v>
      </c>
      <c r="K106" s="1769"/>
      <c r="L106" s="1781">
        <v>0.0</v>
      </c>
      <c r="M106" s="1781">
        <v>3.0</v>
      </c>
      <c r="N106" s="1769"/>
      <c r="O106" s="1789">
        <v>616000.0</v>
      </c>
      <c r="P106" s="1778"/>
      <c r="Q106" s="1778"/>
      <c r="R106" s="1778"/>
      <c r="S106" s="1778"/>
      <c r="T106" s="1778"/>
      <c r="U106" s="1796"/>
      <c r="V106" s="1543"/>
      <c r="W106" s="1543"/>
      <c r="X106" s="1543"/>
      <c r="Y106" s="1543"/>
      <c r="Z106" s="1543"/>
      <c r="AA106" s="1543"/>
      <c r="AB106" s="1543"/>
      <c r="AC106" s="1543"/>
      <c r="AD106" s="1430"/>
      <c r="AE106" s="1430"/>
      <c r="AF106" s="1430"/>
      <c r="AG106" s="1430"/>
      <c r="AH106" s="1430"/>
      <c r="AI106" s="1430"/>
    </row>
    <row r="107" ht="15.75" customHeight="1">
      <c r="A107" s="1956" t="s">
        <v>456</v>
      </c>
      <c r="B107" s="289"/>
      <c r="C107" s="636"/>
      <c r="D107" s="1801"/>
      <c r="E107" s="1801"/>
      <c r="F107" s="1960"/>
      <c r="G107" s="1960"/>
      <c r="H107" s="1960"/>
      <c r="I107" s="1801"/>
      <c r="J107" s="1801"/>
      <c r="K107" s="1960"/>
      <c r="L107" s="1960"/>
      <c r="M107" s="1960"/>
      <c r="N107" s="1960"/>
      <c r="O107" s="1801"/>
      <c r="P107" s="1801"/>
      <c r="Q107" s="1801"/>
      <c r="R107" s="1801"/>
      <c r="S107" s="1801"/>
      <c r="T107" s="1801"/>
      <c r="U107" s="1806"/>
      <c r="V107" s="1543"/>
      <c r="W107" s="1543"/>
      <c r="X107" s="1543"/>
      <c r="Y107" s="1543"/>
      <c r="Z107" s="1543"/>
      <c r="AA107" s="1543"/>
      <c r="AB107" s="1543"/>
      <c r="AC107" s="1543"/>
      <c r="AD107" s="1430"/>
      <c r="AE107" s="1430"/>
      <c r="AF107" s="1430"/>
      <c r="AG107" s="1430"/>
      <c r="AH107" s="1430"/>
      <c r="AI107" s="1430"/>
    </row>
    <row r="108" ht="15.75" customHeight="1">
      <c r="A108" s="1583">
        <v>1.0</v>
      </c>
      <c r="B108" s="1810">
        <v>46046.0</v>
      </c>
      <c r="C108" s="1568" t="s">
        <v>6206</v>
      </c>
      <c r="D108" s="1583" t="s">
        <v>6207</v>
      </c>
      <c r="E108" s="1583" t="s">
        <v>6208</v>
      </c>
      <c r="F108" s="1815" t="s">
        <v>6209</v>
      </c>
      <c r="G108" s="1583">
        <v>0.042</v>
      </c>
      <c r="H108" s="1583">
        <v>17.98</v>
      </c>
      <c r="I108" s="1824">
        <v>3236.4</v>
      </c>
      <c r="J108" s="1583">
        <v>1.0</v>
      </c>
      <c r="K108" s="1818" t="s">
        <v>6210</v>
      </c>
      <c r="L108" s="1964">
        <v>75000.0</v>
      </c>
      <c r="M108" s="1640" t="s">
        <v>4883</v>
      </c>
      <c r="N108" s="1578"/>
      <c r="O108" s="1578"/>
      <c r="P108" s="1583" t="s">
        <v>6212</v>
      </c>
      <c r="Q108" s="1583" t="s">
        <v>3551</v>
      </c>
      <c r="R108" s="1578"/>
      <c r="S108" s="1578"/>
      <c r="T108" s="1578"/>
      <c r="U108" s="1587"/>
      <c r="V108" s="1226"/>
      <c r="W108" s="1226"/>
      <c r="X108" s="1226"/>
      <c r="Y108" s="1226"/>
      <c r="Z108" s="1226"/>
      <c r="AA108" s="1226"/>
      <c r="AB108" s="1226"/>
      <c r="AC108" s="1226"/>
      <c r="AD108" s="604"/>
      <c r="AE108" s="1832">
        <v>46056.0</v>
      </c>
      <c r="AF108" s="604"/>
      <c r="AG108" s="604"/>
      <c r="AH108" s="604"/>
      <c r="AI108" s="604"/>
    </row>
    <row r="109" ht="15.75" customHeight="1">
      <c r="A109" s="1583">
        <v>1.0</v>
      </c>
      <c r="B109" s="1810">
        <v>46059.0</v>
      </c>
      <c r="C109" s="1568" t="s">
        <v>6213</v>
      </c>
      <c r="D109" s="1583" t="s">
        <v>3277</v>
      </c>
      <c r="E109" s="1583" t="s">
        <v>6214</v>
      </c>
      <c r="F109" s="1815" t="s">
        <v>6215</v>
      </c>
      <c r="G109" s="1583">
        <v>0.521</v>
      </c>
      <c r="H109" s="1583">
        <v>220.99</v>
      </c>
      <c r="I109" s="1824">
        <v>8839.8</v>
      </c>
      <c r="J109" s="1583">
        <v>0.0</v>
      </c>
      <c r="K109" s="1578"/>
      <c r="L109" s="1578"/>
      <c r="M109" s="1583">
        <v>1.0</v>
      </c>
      <c r="N109" s="1583" t="s">
        <v>6217</v>
      </c>
      <c r="O109" s="1578"/>
      <c r="P109" s="1583" t="s">
        <v>3277</v>
      </c>
      <c r="Q109" s="1578"/>
      <c r="R109" s="1578"/>
      <c r="S109" s="1578"/>
      <c r="T109" s="1578"/>
      <c r="U109" s="1587"/>
      <c r="V109" s="1226"/>
      <c r="W109" s="1226"/>
      <c r="X109" s="1226"/>
      <c r="Y109" s="1226"/>
      <c r="Z109" s="1226"/>
      <c r="AA109" s="1226"/>
      <c r="AB109" s="1226"/>
      <c r="AC109" s="1226"/>
      <c r="AD109" s="604"/>
      <c r="AE109" s="1832">
        <v>46062.0</v>
      </c>
      <c r="AF109" s="604"/>
      <c r="AG109" s="604"/>
      <c r="AH109" s="604"/>
      <c r="AI109" s="604"/>
    </row>
    <row r="110" ht="15.75" customHeight="1">
      <c r="A110" s="1583">
        <v>1.0</v>
      </c>
      <c r="B110" s="1810">
        <v>46062.0</v>
      </c>
      <c r="C110" s="1568" t="s">
        <v>4233</v>
      </c>
      <c r="D110" s="1583" t="s">
        <v>3945</v>
      </c>
      <c r="E110" s="1583" t="s">
        <v>6222</v>
      </c>
      <c r="F110" s="1815" t="s">
        <v>6223</v>
      </c>
      <c r="G110" s="1583">
        <v>0.208</v>
      </c>
      <c r="H110" s="1583">
        <v>88.34</v>
      </c>
      <c r="I110" s="1824">
        <v>3533.6</v>
      </c>
      <c r="J110" s="1583">
        <v>0.0</v>
      </c>
      <c r="K110" s="1616"/>
      <c r="L110" s="1578"/>
      <c r="M110" s="1583">
        <v>1.0</v>
      </c>
      <c r="N110" s="1818" t="s">
        <v>6224</v>
      </c>
      <c r="O110" s="1578"/>
      <c r="P110" s="1583" t="s">
        <v>3945</v>
      </c>
      <c r="Q110" s="1578"/>
      <c r="R110" s="1578"/>
      <c r="S110" s="1578"/>
      <c r="T110" s="1578"/>
      <c r="U110" s="1587"/>
      <c r="V110" s="1226"/>
      <c r="W110" s="1226"/>
      <c r="X110" s="1226"/>
      <c r="Y110" s="1226"/>
      <c r="Z110" s="1226"/>
      <c r="AA110" s="1226"/>
      <c r="AB110" s="1226"/>
      <c r="AC110" s="1226"/>
      <c r="AD110" s="604"/>
      <c r="AE110" s="604"/>
      <c r="AF110" s="604"/>
      <c r="AG110" s="604"/>
      <c r="AH110" s="604"/>
      <c r="AI110" s="604"/>
    </row>
    <row r="111" ht="15.75" customHeight="1">
      <c r="A111" s="1583">
        <v>1.0</v>
      </c>
      <c r="B111" s="1810">
        <v>46065.0</v>
      </c>
      <c r="C111" s="1568" t="s">
        <v>4103</v>
      </c>
      <c r="D111" s="1583" t="s">
        <v>3945</v>
      </c>
      <c r="E111" s="1583" t="s">
        <v>6225</v>
      </c>
      <c r="F111" s="1815" t="s">
        <v>6226</v>
      </c>
      <c r="G111" s="1616">
        <v>0.528</v>
      </c>
      <c r="H111" s="1583">
        <v>224.0</v>
      </c>
      <c r="I111" s="1824">
        <v>8960.0</v>
      </c>
      <c r="J111" s="1583">
        <v>0.0</v>
      </c>
      <c r="K111" s="1616"/>
      <c r="L111" s="1578"/>
      <c r="M111" s="1655">
        <v>0.0</v>
      </c>
      <c r="N111" s="1578"/>
      <c r="O111" s="1578"/>
      <c r="P111" s="1583" t="s">
        <v>6228</v>
      </c>
      <c r="Q111" s="1578"/>
      <c r="R111" s="1578"/>
      <c r="S111" s="1578"/>
      <c r="T111" s="1578"/>
      <c r="U111" s="1587"/>
      <c r="V111" s="1226"/>
      <c r="W111" s="1226"/>
      <c r="X111" s="1226"/>
      <c r="Y111" s="1226"/>
      <c r="Z111" s="1226"/>
      <c r="AA111" s="1226"/>
      <c r="AB111" s="1226"/>
      <c r="AC111" s="1226"/>
      <c r="AD111" s="604"/>
      <c r="AE111" s="604"/>
      <c r="AF111" s="604"/>
      <c r="AG111" s="604"/>
      <c r="AH111" s="604"/>
      <c r="AI111" s="604"/>
    </row>
    <row r="112" ht="15.75" customHeight="1">
      <c r="A112" s="1583">
        <v>1.0</v>
      </c>
      <c r="B112" s="1810">
        <v>45704.0</v>
      </c>
      <c r="C112" s="1568" t="s">
        <v>6231</v>
      </c>
      <c r="D112" s="1583" t="s">
        <v>3726</v>
      </c>
      <c r="E112" s="1583" t="s">
        <v>6232</v>
      </c>
      <c r="F112" s="1815" t="s">
        <v>6233</v>
      </c>
      <c r="G112" s="1935">
        <v>0.505</v>
      </c>
      <c r="H112" s="1583">
        <v>214.165</v>
      </c>
      <c r="I112" s="1824">
        <v>8566.6</v>
      </c>
      <c r="J112" s="1583">
        <v>0.0</v>
      </c>
      <c r="K112" s="1616"/>
      <c r="L112" s="1578"/>
      <c r="M112" s="1655">
        <v>1.0</v>
      </c>
      <c r="N112" s="1583" t="s">
        <v>6234</v>
      </c>
      <c r="O112" s="1578"/>
      <c r="P112" s="1583" t="s">
        <v>3726</v>
      </c>
      <c r="Q112" s="1583" t="s">
        <v>3551</v>
      </c>
      <c r="R112" s="1583" t="s">
        <v>6238</v>
      </c>
      <c r="S112" s="1578"/>
      <c r="T112" s="1578"/>
      <c r="U112" s="1587"/>
      <c r="V112" s="1226"/>
      <c r="W112" s="1226"/>
      <c r="X112" s="1226"/>
      <c r="Y112" s="1226"/>
      <c r="Z112" s="1226"/>
      <c r="AA112" s="1226"/>
      <c r="AB112" s="1226"/>
      <c r="AC112" s="1226"/>
      <c r="AD112" s="604"/>
      <c r="AE112" s="604"/>
      <c r="AF112" s="604"/>
      <c r="AG112" s="604"/>
      <c r="AH112" s="604"/>
      <c r="AI112" s="604"/>
    </row>
    <row r="113">
      <c r="A113" s="1606">
        <v>1.0</v>
      </c>
      <c r="B113" s="1837">
        <v>46076.0</v>
      </c>
      <c r="C113" s="1590" t="s">
        <v>6242</v>
      </c>
      <c r="D113" s="1606" t="s">
        <v>6244</v>
      </c>
      <c r="E113" s="1606" t="s">
        <v>6245</v>
      </c>
      <c r="F113" s="1839" t="s">
        <v>6246</v>
      </c>
      <c r="G113" s="1606" t="s">
        <v>118</v>
      </c>
      <c r="H113" s="1602"/>
      <c r="I113" s="1842">
        <v>47250.0</v>
      </c>
      <c r="J113" s="1606">
        <v>1.0</v>
      </c>
      <c r="K113" s="1969" t="s">
        <v>6249</v>
      </c>
      <c r="L113" s="1972">
        <v>3500000.0</v>
      </c>
      <c r="M113" s="1846">
        <v>0.0</v>
      </c>
      <c r="N113" s="1602"/>
      <c r="O113" s="1602"/>
      <c r="P113" s="1606" t="s">
        <v>3275</v>
      </c>
      <c r="Q113" s="1977" t="s">
        <v>3551</v>
      </c>
      <c r="R113" s="1606" t="s">
        <v>6285</v>
      </c>
      <c r="S113" s="1837">
        <v>46099.0</v>
      </c>
      <c r="T113" s="1837">
        <v>46119.0</v>
      </c>
      <c r="U113" s="1850"/>
      <c r="V113" s="581"/>
      <c r="W113" s="581"/>
      <c r="X113" s="581"/>
      <c r="Y113" s="581"/>
      <c r="Z113" s="581"/>
      <c r="AA113" s="581"/>
      <c r="AB113" s="581"/>
      <c r="AC113" s="581" t="s">
        <v>6286</v>
      </c>
      <c r="AD113" s="604"/>
      <c r="AE113" s="793"/>
      <c r="AF113" s="604"/>
      <c r="AG113" s="604"/>
      <c r="AH113" s="604"/>
      <c r="AI113" s="604"/>
    </row>
    <row r="114" ht="15.75" customHeight="1">
      <c r="A114" s="1583">
        <v>1.0</v>
      </c>
      <c r="B114" s="1810">
        <v>46076.0</v>
      </c>
      <c r="C114" s="1568" t="s">
        <v>6242</v>
      </c>
      <c r="D114" s="1583" t="s">
        <v>6288</v>
      </c>
      <c r="E114" s="1583" t="s">
        <v>6289</v>
      </c>
      <c r="F114" s="1815" t="s">
        <v>6290</v>
      </c>
      <c r="G114" s="1583">
        <v>0.059</v>
      </c>
      <c r="H114" s="1583">
        <v>25.0</v>
      </c>
      <c r="I114" s="1824">
        <v>1000.0</v>
      </c>
      <c r="J114" s="1583">
        <v>0.0</v>
      </c>
      <c r="K114" s="1578"/>
      <c r="L114" s="1578"/>
      <c r="M114" s="1655">
        <v>0.0</v>
      </c>
      <c r="N114" s="1578"/>
      <c r="O114" s="1578"/>
      <c r="P114" s="1583" t="s">
        <v>3726</v>
      </c>
      <c r="Q114" s="1583" t="s">
        <v>3551</v>
      </c>
      <c r="R114" s="1583" t="s">
        <v>6291</v>
      </c>
      <c r="S114" s="1578"/>
      <c r="T114" s="1578"/>
      <c r="U114" s="1587"/>
      <c r="V114" s="1226"/>
      <c r="W114" s="1226"/>
      <c r="X114" s="1226"/>
      <c r="Y114" s="1226"/>
      <c r="Z114" s="1226"/>
      <c r="AA114" s="1226"/>
      <c r="AB114" s="1226"/>
      <c r="AC114" s="1226"/>
      <c r="AD114" s="604"/>
      <c r="AE114" s="604"/>
      <c r="AF114" s="604"/>
      <c r="AG114" s="604"/>
      <c r="AH114" s="604"/>
      <c r="AI114" s="604"/>
    </row>
    <row r="115" ht="15.75" customHeight="1">
      <c r="A115" s="1583">
        <v>1.0</v>
      </c>
      <c r="B115" s="1810">
        <v>46096.0</v>
      </c>
      <c r="C115" s="1568" t="s">
        <v>6293</v>
      </c>
      <c r="D115" s="1616" t="s">
        <v>2828</v>
      </c>
      <c r="E115" s="1583" t="s">
        <v>557</v>
      </c>
      <c r="F115" s="1815" t="s">
        <v>6294</v>
      </c>
      <c r="G115" s="1583">
        <v>0.085</v>
      </c>
      <c r="H115" s="1583">
        <v>36.0</v>
      </c>
      <c r="I115" s="1824">
        <v>1440.0</v>
      </c>
      <c r="J115" s="1583">
        <v>0.0</v>
      </c>
      <c r="K115" s="1578"/>
      <c r="L115" s="1578"/>
      <c r="M115" s="1640">
        <v>0.0</v>
      </c>
      <c r="N115" s="1578"/>
      <c r="O115" s="1578"/>
      <c r="P115" s="1583" t="s">
        <v>3275</v>
      </c>
      <c r="Q115" s="1583" t="s">
        <v>3551</v>
      </c>
      <c r="R115" s="1583" t="s">
        <v>6295</v>
      </c>
      <c r="S115" s="1810">
        <v>46125.0</v>
      </c>
      <c r="T115" s="1810">
        <v>46133.0</v>
      </c>
      <c r="U115" s="1587"/>
      <c r="V115" s="1226"/>
      <c r="W115" s="1226"/>
      <c r="X115" s="1226"/>
      <c r="Y115" s="1226"/>
      <c r="Z115" s="1226"/>
      <c r="AA115" s="1226"/>
      <c r="AB115" s="1226"/>
      <c r="AC115" s="1226"/>
      <c r="AD115" s="604"/>
      <c r="AE115" s="604"/>
      <c r="AF115" s="604"/>
      <c r="AG115" s="604"/>
      <c r="AH115" s="604"/>
      <c r="AI115" s="604"/>
    </row>
    <row r="116" ht="15.75" customHeight="1">
      <c r="A116" s="1583">
        <v>1.0</v>
      </c>
      <c r="B116" s="1810">
        <v>46100.0</v>
      </c>
      <c r="C116" s="1568" t="s">
        <v>4103</v>
      </c>
      <c r="D116" s="1583" t="s">
        <v>6296</v>
      </c>
      <c r="E116" s="1578"/>
      <c r="F116" s="1815" t="s">
        <v>6297</v>
      </c>
      <c r="G116" s="1583">
        <v>0.047</v>
      </c>
      <c r="H116" s="1583">
        <v>20.0</v>
      </c>
      <c r="I116" s="1824">
        <v>1100.0</v>
      </c>
      <c r="J116" s="1578"/>
      <c r="K116" s="1578"/>
      <c r="L116" s="1578"/>
      <c r="M116" s="1578"/>
      <c r="N116" s="1578"/>
      <c r="O116" s="1578"/>
      <c r="P116" s="1583" t="s">
        <v>3945</v>
      </c>
      <c r="Q116" s="1583" t="s">
        <v>3551</v>
      </c>
      <c r="R116" s="1578"/>
      <c r="S116" s="1578"/>
      <c r="T116" s="1578"/>
      <c r="U116" s="1587"/>
      <c r="V116" s="1226"/>
      <c r="W116" s="1226"/>
      <c r="X116" s="1226"/>
      <c r="Y116" s="1226"/>
      <c r="Z116" s="1226"/>
      <c r="AA116" s="1226"/>
      <c r="AB116" s="1226"/>
      <c r="AC116" s="1226"/>
      <c r="AD116" s="604"/>
      <c r="AE116" s="604"/>
      <c r="AF116" s="604"/>
      <c r="AG116" s="604"/>
      <c r="AH116" s="604"/>
      <c r="AI116" s="604"/>
    </row>
    <row r="117" ht="15.75" customHeight="1">
      <c r="A117" s="1583">
        <v>1.0</v>
      </c>
      <c r="B117" s="1810">
        <v>46104.0</v>
      </c>
      <c r="C117" s="1568" t="s">
        <v>6298</v>
      </c>
      <c r="D117" s="1583" t="s">
        <v>6299</v>
      </c>
      <c r="E117" s="1578"/>
      <c r="F117" s="1815" t="s">
        <v>6300</v>
      </c>
      <c r="G117" s="1583">
        <v>0.182</v>
      </c>
      <c r="H117" s="1583">
        <v>77.0</v>
      </c>
      <c r="I117" s="1824">
        <v>3080.0</v>
      </c>
      <c r="J117" s="1578"/>
      <c r="K117" s="1578"/>
      <c r="L117" s="1578"/>
      <c r="M117" s="1578"/>
      <c r="N117" s="1578"/>
      <c r="O117" s="1578"/>
      <c r="P117" s="1583" t="s">
        <v>3988</v>
      </c>
      <c r="Q117" s="1583" t="s">
        <v>3551</v>
      </c>
      <c r="R117" s="1583" t="s">
        <v>6301</v>
      </c>
      <c r="S117" s="1810">
        <v>46183.0</v>
      </c>
      <c r="T117" s="1810">
        <v>46188.0</v>
      </c>
      <c r="U117" s="1587"/>
      <c r="V117" s="1226"/>
      <c r="W117" s="1226"/>
      <c r="X117" s="1226"/>
      <c r="Y117" s="1226"/>
      <c r="Z117" s="1226"/>
      <c r="AA117" s="1226"/>
      <c r="AB117" s="1226"/>
      <c r="AC117" s="1226"/>
      <c r="AD117" s="604"/>
      <c r="AE117" s="604"/>
      <c r="AF117" s="604"/>
      <c r="AG117" s="604"/>
      <c r="AH117" s="604"/>
      <c r="AI117" s="604"/>
    </row>
    <row r="118" ht="15.75" customHeight="1">
      <c r="A118" s="1583">
        <v>1.0</v>
      </c>
      <c r="B118" s="1810">
        <v>46106.0</v>
      </c>
      <c r="C118" s="1568" t="s">
        <v>6302</v>
      </c>
      <c r="D118" s="1583" t="s">
        <v>6303</v>
      </c>
      <c r="E118" s="1578"/>
      <c r="F118" s="1815" t="s">
        <v>6304</v>
      </c>
      <c r="G118" s="1583">
        <v>0.12</v>
      </c>
      <c r="H118" s="1583">
        <v>50.0</v>
      </c>
      <c r="I118" s="1824">
        <v>8160.0</v>
      </c>
      <c r="J118" s="1578"/>
      <c r="K118" s="1578"/>
      <c r="L118" s="1578"/>
      <c r="M118" s="1578"/>
      <c r="N118" s="1578"/>
      <c r="O118" s="1578"/>
      <c r="P118" s="1583" t="s">
        <v>3275</v>
      </c>
      <c r="Q118" s="1583" t="s">
        <v>3551</v>
      </c>
      <c r="R118" s="1583" t="s">
        <v>6305</v>
      </c>
      <c r="S118" s="1810">
        <v>46132.0</v>
      </c>
      <c r="T118" s="1810">
        <v>46141.0</v>
      </c>
      <c r="U118" s="1587"/>
      <c r="V118" s="1226"/>
      <c r="W118" s="1226"/>
      <c r="X118" s="1226"/>
      <c r="Y118" s="1226"/>
      <c r="Z118" s="1226"/>
      <c r="AA118" s="1226"/>
      <c r="AB118" s="1226"/>
      <c r="AC118" s="1226"/>
      <c r="AD118" s="1430"/>
      <c r="AE118" s="1430"/>
      <c r="AF118" s="1430"/>
      <c r="AG118" s="1430"/>
      <c r="AH118" s="1430"/>
      <c r="AI118" s="1430"/>
    </row>
    <row r="119" ht="15.75" customHeight="1">
      <c r="A119" s="1583">
        <v>1.0</v>
      </c>
      <c r="B119" s="1906">
        <v>46108.0</v>
      </c>
      <c r="C119" s="1629" t="s">
        <v>6306</v>
      </c>
      <c r="D119" s="1583" t="s">
        <v>6307</v>
      </c>
      <c r="E119" s="1578"/>
      <c r="F119" s="1815" t="s">
        <v>6308</v>
      </c>
      <c r="G119" s="1583">
        <v>0.56</v>
      </c>
      <c r="H119" s="1583">
        <v>237.76</v>
      </c>
      <c r="I119" s="1863">
        <v>2464.0</v>
      </c>
      <c r="J119" s="1616"/>
      <c r="K119" s="1578"/>
      <c r="L119" s="1578"/>
      <c r="M119" s="1655">
        <v>1.0</v>
      </c>
      <c r="N119" s="1655" t="s">
        <v>6309</v>
      </c>
      <c r="O119" s="1616"/>
      <c r="P119" s="1583" t="s">
        <v>6310</v>
      </c>
      <c r="Q119" s="1583" t="s">
        <v>3551</v>
      </c>
      <c r="R119" s="1868" t="s">
        <v>6311</v>
      </c>
      <c r="S119" s="1861">
        <v>46160.0</v>
      </c>
      <c r="T119" s="1861">
        <v>46174.0</v>
      </c>
      <c r="U119" s="1620"/>
      <c r="V119" s="1543"/>
      <c r="W119" s="1543"/>
      <c r="X119" s="1543"/>
      <c r="Y119" s="1543"/>
      <c r="Z119" s="1543"/>
      <c r="AA119" s="1543"/>
      <c r="AB119" s="1543"/>
      <c r="AC119" s="1543"/>
      <c r="AD119" s="1430"/>
      <c r="AE119" s="1430"/>
      <c r="AF119" s="1430"/>
      <c r="AG119" s="1430"/>
      <c r="AH119" s="1430"/>
      <c r="AI119" s="1430"/>
    </row>
    <row r="120" ht="15.75" customHeight="1">
      <c r="A120" s="1583">
        <v>1.0</v>
      </c>
      <c r="B120" s="1906">
        <v>46139.0</v>
      </c>
      <c r="C120" s="1568" t="s">
        <v>3944</v>
      </c>
      <c r="D120" s="1583" t="s">
        <v>6312</v>
      </c>
      <c r="E120" s="1583" t="s">
        <v>6313</v>
      </c>
      <c r="F120" s="1815" t="s">
        <v>6314</v>
      </c>
      <c r="G120" s="1583">
        <v>0.05</v>
      </c>
      <c r="H120" s="1583">
        <v>21.2</v>
      </c>
      <c r="I120" s="1868">
        <v>848.32</v>
      </c>
      <c r="J120" s="1616"/>
      <c r="K120" s="1578"/>
      <c r="L120" s="1578"/>
      <c r="M120" s="1655">
        <v>0.0</v>
      </c>
      <c r="N120" s="1655"/>
      <c r="O120" s="1616"/>
      <c r="P120" s="1583" t="s">
        <v>3945</v>
      </c>
      <c r="Q120" s="1583" t="s">
        <v>3551</v>
      </c>
      <c r="R120" s="1616"/>
      <c r="S120" s="1616"/>
      <c r="T120" s="1616"/>
      <c r="U120" s="1620"/>
      <c r="V120" s="1543"/>
      <c r="W120" s="1543"/>
      <c r="X120" s="1543"/>
      <c r="Y120" s="1543"/>
      <c r="Z120" s="1543"/>
      <c r="AA120" s="1543"/>
      <c r="AB120" s="1543"/>
      <c r="AC120" s="1543"/>
      <c r="AD120" s="1430"/>
      <c r="AE120" s="1430"/>
      <c r="AF120" s="1430"/>
      <c r="AG120" s="1430"/>
      <c r="AH120" s="1430"/>
      <c r="AI120" s="1430"/>
    </row>
    <row r="121" ht="15.75" customHeight="1">
      <c r="A121" s="1583">
        <v>1.0</v>
      </c>
      <c r="B121" s="1906">
        <v>46175.0</v>
      </c>
      <c r="C121" s="1868" t="s">
        <v>6315</v>
      </c>
      <c r="D121" s="1868" t="s">
        <v>820</v>
      </c>
      <c r="E121" s="1583" t="s">
        <v>6316</v>
      </c>
      <c r="F121" s="1815" t="s">
        <v>6317</v>
      </c>
      <c r="G121" s="1583">
        <v>0.03</v>
      </c>
      <c r="H121" s="1583">
        <v>14.66</v>
      </c>
      <c r="I121" s="1863">
        <v>2345.0</v>
      </c>
      <c r="J121" s="1868">
        <v>0.0</v>
      </c>
      <c r="K121" s="1818" t="s">
        <v>4883</v>
      </c>
      <c r="L121" s="1818">
        <v>0.0</v>
      </c>
      <c r="M121" s="1640">
        <v>1.0</v>
      </c>
      <c r="N121" s="1640" t="s">
        <v>6318</v>
      </c>
      <c r="O121" s="1616"/>
      <c r="P121" s="1868" t="s">
        <v>6319</v>
      </c>
      <c r="Q121" s="1578"/>
      <c r="R121" s="1616"/>
      <c r="S121" s="1861">
        <v>46190.0</v>
      </c>
      <c r="T121" s="1616"/>
      <c r="U121" s="1620"/>
      <c r="V121" s="1543"/>
      <c r="W121" s="1543"/>
      <c r="X121" s="1543"/>
      <c r="Y121" s="1543"/>
      <c r="Z121" s="1543"/>
      <c r="AA121" s="1543"/>
      <c r="AB121" s="1543"/>
      <c r="AC121" s="1543"/>
      <c r="AD121" s="1430"/>
      <c r="AE121" s="1430"/>
      <c r="AF121" s="1430"/>
      <c r="AG121" s="1430"/>
      <c r="AH121" s="1430"/>
      <c r="AI121" s="1430"/>
    </row>
    <row r="122" ht="15.75" customHeight="1">
      <c r="A122" s="1781">
        <v>14.0</v>
      </c>
      <c r="B122" s="1774" t="s">
        <v>433</v>
      </c>
      <c r="C122" s="1778"/>
      <c r="D122" s="1778"/>
      <c r="E122" s="1778"/>
      <c r="F122" s="1769"/>
      <c r="G122" s="1781">
        <v>1.948</v>
      </c>
      <c r="H122" s="1785">
        <v>1247.1</v>
      </c>
      <c r="I122" s="1789">
        <v>100823.72</v>
      </c>
      <c r="J122" s="1774">
        <v>2.0</v>
      </c>
      <c r="K122" s="1769"/>
      <c r="L122" s="1885">
        <v>3575000.0</v>
      </c>
      <c r="M122" s="1781">
        <v>5.0</v>
      </c>
      <c r="N122" s="1769"/>
      <c r="O122" s="1774">
        <v>0.0</v>
      </c>
      <c r="P122" s="1778"/>
      <c r="Q122" s="1778"/>
      <c r="R122" s="1778"/>
      <c r="S122" s="1778"/>
      <c r="T122" s="1778"/>
      <c r="U122" s="1796"/>
      <c r="V122" s="1543"/>
      <c r="W122" s="1543"/>
      <c r="X122" s="1543"/>
      <c r="Y122" s="1543"/>
      <c r="Z122" s="1543"/>
      <c r="AA122" s="1543"/>
      <c r="AB122" s="1543"/>
      <c r="AC122" s="1543"/>
      <c r="AD122" s="1430"/>
      <c r="AE122" s="1430"/>
      <c r="AF122" s="1430"/>
      <c r="AG122" s="1430"/>
      <c r="AH122" s="1430"/>
      <c r="AI122" s="1430"/>
    </row>
    <row r="123" ht="15.75" customHeight="1">
      <c r="A123" s="1956" t="s">
        <v>6320</v>
      </c>
      <c r="B123" s="289"/>
      <c r="C123" s="636"/>
      <c r="D123" s="1801"/>
      <c r="E123" s="1801"/>
      <c r="F123" s="1960"/>
      <c r="G123" s="1960"/>
      <c r="H123" s="1960"/>
      <c r="I123" s="1801"/>
      <c r="J123" s="1801"/>
      <c r="K123" s="1960"/>
      <c r="L123" s="1960"/>
      <c r="M123" s="1960"/>
      <c r="N123" s="1960"/>
      <c r="O123" s="1801"/>
      <c r="P123" s="1801"/>
      <c r="Q123" s="1801"/>
      <c r="R123" s="1801"/>
      <c r="S123" s="1801"/>
      <c r="T123" s="1801"/>
      <c r="U123" s="1806"/>
      <c r="V123" s="1543"/>
      <c r="W123" s="1543"/>
      <c r="X123" s="1543"/>
      <c r="Y123" s="1543"/>
      <c r="Z123" s="1543"/>
      <c r="AA123" s="1543"/>
      <c r="AB123" s="1543"/>
      <c r="AC123" s="1543"/>
      <c r="AD123" s="1430"/>
      <c r="AE123" s="1430"/>
      <c r="AF123" s="1430"/>
      <c r="AG123" s="1430"/>
      <c r="AH123" s="1430"/>
      <c r="AI123" s="1430"/>
    </row>
    <row r="124" ht="15.75" customHeight="1">
      <c r="A124" s="1583">
        <v>1.0</v>
      </c>
      <c r="B124" s="1810">
        <v>46039.0</v>
      </c>
      <c r="C124" s="1568" t="s">
        <v>6321</v>
      </c>
      <c r="D124" s="1583" t="s">
        <v>6322</v>
      </c>
      <c r="E124" s="1583" t="s">
        <v>4836</v>
      </c>
      <c r="F124" s="1583" t="s">
        <v>6323</v>
      </c>
      <c r="G124" s="1583">
        <v>0.6682</v>
      </c>
      <c r="H124" s="1583">
        <v>283.33</v>
      </c>
      <c r="I124" s="1583" t="s">
        <v>1343</v>
      </c>
      <c r="J124" s="1578"/>
      <c r="K124" s="1583" t="s">
        <v>1343</v>
      </c>
      <c r="L124" s="1578"/>
      <c r="M124" s="1578"/>
      <c r="N124" s="1583" t="s">
        <v>1343</v>
      </c>
      <c r="O124" s="1583" t="s">
        <v>1343</v>
      </c>
      <c r="P124" s="1583" t="s">
        <v>6324</v>
      </c>
      <c r="Q124" s="1583" t="s">
        <v>4896</v>
      </c>
      <c r="R124" s="1578"/>
      <c r="S124" s="1578"/>
      <c r="T124" s="1578"/>
      <c r="U124" s="1587"/>
      <c r="V124" s="1984"/>
      <c r="W124" s="1984"/>
      <c r="X124" s="1984"/>
      <c r="Y124" s="1984"/>
      <c r="Z124" s="1984"/>
      <c r="AA124" s="1984"/>
      <c r="AB124" s="1984"/>
      <c r="AC124" s="1984"/>
      <c r="AD124" s="604"/>
      <c r="AE124" s="604"/>
      <c r="AF124" s="604"/>
      <c r="AG124" s="604"/>
      <c r="AH124" s="604"/>
      <c r="AI124" s="604"/>
    </row>
    <row r="125" ht="15.75" customHeight="1">
      <c r="A125" s="1742">
        <v>1.0</v>
      </c>
      <c r="B125" s="1988">
        <v>46055.0</v>
      </c>
      <c r="C125" s="1719" t="s">
        <v>6325</v>
      </c>
      <c r="D125" s="1742" t="s">
        <v>6326</v>
      </c>
      <c r="E125" s="1742" t="s">
        <v>557</v>
      </c>
      <c r="F125" s="1876" t="s">
        <v>6327</v>
      </c>
      <c r="G125" s="1742">
        <v>0.47</v>
      </c>
      <c r="H125" s="1742">
        <v>200.0</v>
      </c>
      <c r="I125" s="1729"/>
      <c r="J125" s="1729"/>
      <c r="K125" s="1742" t="s">
        <v>4883</v>
      </c>
      <c r="L125" s="1993">
        <v>12000.0</v>
      </c>
      <c r="M125" s="1729"/>
      <c r="N125" s="1997" t="s">
        <v>4883</v>
      </c>
      <c r="O125" s="1729"/>
      <c r="P125" s="1742" t="s">
        <v>6330</v>
      </c>
      <c r="Q125" s="1742" t="s">
        <v>4896</v>
      </c>
      <c r="R125" s="1729"/>
      <c r="S125" s="1578"/>
      <c r="T125" s="1578"/>
      <c r="U125" s="1587"/>
      <c r="V125" s="1226"/>
      <c r="W125" s="1226"/>
      <c r="X125" s="1226"/>
      <c r="Y125" s="1226"/>
      <c r="Z125" s="1226"/>
      <c r="AA125" s="1226"/>
      <c r="AB125" s="1226"/>
      <c r="AC125" s="1226"/>
      <c r="AD125" s="604"/>
      <c r="AE125" s="1832">
        <v>46058.0</v>
      </c>
      <c r="AF125" s="604"/>
      <c r="AG125" s="604"/>
      <c r="AH125" s="604"/>
      <c r="AI125" s="604"/>
    </row>
    <row r="126" ht="15.75" customHeight="1">
      <c r="A126" s="1742">
        <v>1.0</v>
      </c>
      <c r="B126" s="1988">
        <v>46056.0</v>
      </c>
      <c r="C126" s="1719" t="s">
        <v>6331</v>
      </c>
      <c r="D126" s="1742" t="s">
        <v>6326</v>
      </c>
      <c r="E126" s="1742" t="s">
        <v>557</v>
      </c>
      <c r="F126" s="1876" t="s">
        <v>6332</v>
      </c>
      <c r="G126" s="1742">
        <v>0.38</v>
      </c>
      <c r="H126" s="1742">
        <v>163.33</v>
      </c>
      <c r="I126" s="1729"/>
      <c r="J126" s="1729"/>
      <c r="K126" s="1742" t="s">
        <v>4883</v>
      </c>
      <c r="L126" s="1729"/>
      <c r="M126" s="1729"/>
      <c r="N126" s="1997" t="s">
        <v>4883</v>
      </c>
      <c r="O126" s="1729"/>
      <c r="P126" s="1742" t="s">
        <v>6330</v>
      </c>
      <c r="Q126" s="1739"/>
      <c r="R126" s="1729"/>
      <c r="S126" s="1578"/>
      <c r="T126" s="1578"/>
      <c r="U126" s="1587"/>
      <c r="V126" s="1226"/>
      <c r="W126" s="1226"/>
      <c r="X126" s="1226"/>
      <c r="Y126" s="1226"/>
      <c r="Z126" s="1226"/>
      <c r="AA126" s="1226"/>
      <c r="AB126" s="1226"/>
      <c r="AC126" s="1226"/>
      <c r="AD126" s="604"/>
      <c r="AE126" s="1832">
        <v>46058.0</v>
      </c>
      <c r="AF126" s="604"/>
      <c r="AG126" s="604"/>
      <c r="AH126" s="604"/>
      <c r="AI126" s="604"/>
    </row>
    <row r="127" ht="54.75" customHeight="1">
      <c r="A127" s="1742">
        <v>1.0</v>
      </c>
      <c r="B127" s="2001">
        <v>46055.0</v>
      </c>
      <c r="C127" s="1719" t="s">
        <v>6335</v>
      </c>
      <c r="D127" s="1742" t="s">
        <v>6326</v>
      </c>
      <c r="E127" s="1742" t="s">
        <v>557</v>
      </c>
      <c r="F127" s="1876" t="s">
        <v>6327</v>
      </c>
      <c r="G127" s="1742">
        <v>0.47</v>
      </c>
      <c r="H127" s="1742">
        <v>200.0</v>
      </c>
      <c r="I127" s="1880">
        <v>12000.0</v>
      </c>
      <c r="J127" s="1739"/>
      <c r="K127" s="2004" t="s">
        <v>4883</v>
      </c>
      <c r="L127" s="1729"/>
      <c r="M127" s="1729"/>
      <c r="N127" s="1997" t="s">
        <v>4883</v>
      </c>
      <c r="O127" s="1739"/>
      <c r="P127" s="1742" t="s">
        <v>6330</v>
      </c>
      <c r="Q127" s="1742" t="s">
        <v>4896</v>
      </c>
      <c r="R127" s="1900" t="s">
        <v>6342</v>
      </c>
      <c r="S127" s="1861">
        <v>46132.0</v>
      </c>
      <c r="T127" s="1861">
        <v>46135.0</v>
      </c>
      <c r="U127" s="1620"/>
      <c r="V127" s="1543"/>
      <c r="W127" s="1543"/>
      <c r="X127" s="1543"/>
      <c r="Y127" s="1543"/>
      <c r="Z127" s="1543"/>
      <c r="AA127" s="1543"/>
      <c r="AB127" s="1543"/>
      <c r="AC127" s="1543"/>
      <c r="AD127" s="1430"/>
      <c r="AE127" s="2008" t="s">
        <v>6343</v>
      </c>
      <c r="AF127" s="1430"/>
      <c r="AG127" s="1430"/>
      <c r="AH127" s="1430"/>
      <c r="AI127" s="1430"/>
    </row>
    <row r="128" ht="15.75" customHeight="1">
      <c r="A128" s="1742">
        <v>1.0</v>
      </c>
      <c r="B128" s="2001">
        <v>46073.0</v>
      </c>
      <c r="C128" s="1723" t="s">
        <v>6346</v>
      </c>
      <c r="D128" s="1742" t="s">
        <v>6347</v>
      </c>
      <c r="E128" s="1742" t="s">
        <v>557</v>
      </c>
      <c r="F128" s="1876" t="s">
        <v>6348</v>
      </c>
      <c r="G128" s="1729"/>
      <c r="H128" s="1742">
        <v>57.16</v>
      </c>
      <c r="I128" s="1739"/>
      <c r="J128" s="1739"/>
      <c r="K128" s="2004" t="s">
        <v>4883</v>
      </c>
      <c r="L128" s="1729"/>
      <c r="M128" s="1729"/>
      <c r="N128" s="1997" t="s">
        <v>4883</v>
      </c>
      <c r="O128" s="1739"/>
      <c r="P128" s="1757" t="s">
        <v>6349</v>
      </c>
      <c r="Q128" s="1729"/>
      <c r="R128" s="1739"/>
      <c r="S128" s="1616"/>
      <c r="T128" s="1616"/>
      <c r="U128" s="1620"/>
      <c r="V128" s="1543"/>
      <c r="W128" s="1543"/>
      <c r="X128" s="1543"/>
      <c r="Y128" s="1543"/>
      <c r="Z128" s="1543"/>
      <c r="AA128" s="1543"/>
      <c r="AB128" s="1543"/>
      <c r="AC128" s="1543"/>
      <c r="AD128" s="1430"/>
      <c r="AE128" s="1430"/>
      <c r="AF128" s="1430"/>
      <c r="AG128" s="1430"/>
      <c r="AH128" s="1430"/>
      <c r="AI128" s="1430"/>
    </row>
    <row r="129" ht="15.75" customHeight="1">
      <c r="A129" s="1742">
        <v>1.0</v>
      </c>
      <c r="B129" s="2001">
        <v>46172.0</v>
      </c>
      <c r="C129" s="1719" t="s">
        <v>6346</v>
      </c>
      <c r="D129" s="1742" t="s">
        <v>6350</v>
      </c>
      <c r="E129" s="1757" t="s">
        <v>6351</v>
      </c>
      <c r="F129" s="1876" t="s">
        <v>6352</v>
      </c>
      <c r="G129" s="1729"/>
      <c r="H129" s="1742">
        <v>391.8</v>
      </c>
      <c r="I129" s="1739"/>
      <c r="J129" s="1757">
        <v>1.0</v>
      </c>
      <c r="K129" s="2004" t="s">
        <v>6353</v>
      </c>
      <c r="L129" s="1729"/>
      <c r="M129" s="1729"/>
      <c r="N129" s="1729"/>
      <c r="O129" s="1739"/>
      <c r="P129" s="1742" t="s">
        <v>681</v>
      </c>
      <c r="Q129" s="1729"/>
      <c r="R129" s="1739"/>
      <c r="S129" s="1616"/>
      <c r="T129" s="1616"/>
      <c r="U129" s="1620"/>
      <c r="V129" s="1543"/>
      <c r="W129" s="1543"/>
      <c r="X129" s="1543"/>
      <c r="Y129" s="1543"/>
      <c r="Z129" s="1543"/>
      <c r="AA129" s="1543"/>
      <c r="AB129" s="1543"/>
      <c r="AC129" s="1543"/>
      <c r="AD129" s="1430"/>
      <c r="AE129" s="1430"/>
      <c r="AF129" s="1430"/>
      <c r="AG129" s="1430"/>
      <c r="AH129" s="1430"/>
      <c r="AI129" s="1430"/>
    </row>
    <row r="130" ht="15.75" customHeight="1">
      <c r="A130" s="1742">
        <v>1.0</v>
      </c>
      <c r="B130" s="1988">
        <v>46179.0</v>
      </c>
      <c r="C130" s="1719" t="s">
        <v>6354</v>
      </c>
      <c r="D130" s="1742" t="s">
        <v>6355</v>
      </c>
      <c r="E130" s="1757" t="s">
        <v>6356</v>
      </c>
      <c r="F130" s="1876" t="s">
        <v>6357</v>
      </c>
      <c r="G130" s="1729"/>
      <c r="H130" s="1742">
        <v>408.45</v>
      </c>
      <c r="I130" s="1739"/>
      <c r="J130" s="1739"/>
      <c r="K130" s="2004" t="s">
        <v>4883</v>
      </c>
      <c r="L130" s="1729"/>
      <c r="M130" s="1729"/>
      <c r="N130" s="1997" t="s">
        <v>4883</v>
      </c>
      <c r="O130" s="1739"/>
      <c r="P130" s="1742" t="s">
        <v>681</v>
      </c>
      <c r="Q130" s="1729"/>
      <c r="R130" s="1739"/>
      <c r="S130" s="1616"/>
      <c r="T130" s="1616"/>
      <c r="U130" s="1620"/>
      <c r="V130" s="1543"/>
      <c r="W130" s="1543"/>
      <c r="X130" s="1543"/>
      <c r="Y130" s="1543"/>
      <c r="Z130" s="1543"/>
      <c r="AA130" s="1543"/>
      <c r="AB130" s="1543"/>
      <c r="AC130" s="1543"/>
      <c r="AD130" s="1430"/>
      <c r="AE130" s="1430"/>
      <c r="AF130" s="1430"/>
      <c r="AG130" s="1430"/>
      <c r="AH130" s="1430"/>
      <c r="AI130" s="1430"/>
    </row>
    <row r="131" ht="15.75" customHeight="1">
      <c r="A131" s="1781">
        <v>7.0</v>
      </c>
      <c r="B131" s="1774" t="s">
        <v>433</v>
      </c>
      <c r="C131" s="1778"/>
      <c r="D131" s="1778"/>
      <c r="E131" s="1778"/>
      <c r="F131" s="1769"/>
      <c r="G131" s="1781">
        <v>1.9898</v>
      </c>
      <c r="H131" s="1785">
        <v>1704.07</v>
      </c>
      <c r="I131" s="1789">
        <v>12000.0</v>
      </c>
      <c r="J131" s="1774">
        <v>1.0</v>
      </c>
      <c r="K131" s="1769"/>
      <c r="L131" s="1781">
        <v>12000.0</v>
      </c>
      <c r="M131" s="1781">
        <v>0.0</v>
      </c>
      <c r="N131" s="1769"/>
      <c r="O131" s="1774">
        <v>0.0</v>
      </c>
      <c r="P131" s="1778"/>
      <c r="Q131" s="1778"/>
      <c r="R131" s="1778"/>
      <c r="S131" s="1778"/>
      <c r="T131" s="1778"/>
      <c r="U131" s="1796"/>
      <c r="V131" s="1543"/>
      <c r="W131" s="1543"/>
      <c r="X131" s="1543"/>
      <c r="Y131" s="1543"/>
      <c r="Z131" s="1543"/>
      <c r="AA131" s="1543"/>
      <c r="AB131" s="1543"/>
      <c r="AC131" s="1543"/>
      <c r="AD131" s="1430"/>
      <c r="AE131" s="1430"/>
      <c r="AF131" s="1430"/>
      <c r="AG131" s="1430"/>
      <c r="AH131" s="1430"/>
      <c r="AI131" s="1430"/>
    </row>
    <row r="132" ht="15.75" customHeight="1">
      <c r="A132" s="2013"/>
      <c r="B132" s="2018"/>
      <c r="C132" s="2021"/>
      <c r="D132" s="2021"/>
      <c r="E132" s="2021"/>
      <c r="F132" s="2013"/>
      <c r="G132" s="2013"/>
      <c r="H132" s="2013"/>
      <c r="I132" s="2021"/>
      <c r="J132" s="2021"/>
      <c r="K132" s="2013"/>
      <c r="L132" s="2013"/>
      <c r="M132" s="2013"/>
      <c r="N132" s="2013"/>
      <c r="O132" s="2021"/>
      <c r="P132" s="2021"/>
      <c r="Q132" s="2021"/>
      <c r="R132" s="2021"/>
      <c r="S132" s="2021"/>
      <c r="T132" s="2027"/>
      <c r="U132" s="2030"/>
      <c r="V132" s="1543"/>
      <c r="W132" s="1543"/>
      <c r="X132" s="1543"/>
      <c r="Y132" s="1543"/>
      <c r="Z132" s="1543"/>
      <c r="AA132" s="1543"/>
      <c r="AB132" s="1543"/>
      <c r="AC132" s="1543"/>
      <c r="AD132" s="1430"/>
      <c r="AE132" s="1430"/>
      <c r="AF132" s="1430"/>
      <c r="AG132" s="1430"/>
      <c r="AH132" s="1430"/>
      <c r="AI132" s="1430"/>
    </row>
    <row r="133" ht="15.75" customHeight="1">
      <c r="A133" s="2034">
        <v>69.0</v>
      </c>
      <c r="B133" s="2038" t="s">
        <v>518</v>
      </c>
      <c r="C133" s="2041"/>
      <c r="D133" s="2041"/>
      <c r="E133" s="2045"/>
      <c r="F133" s="2048"/>
      <c r="G133" s="2053">
        <v>709.453</v>
      </c>
      <c r="H133" s="2056">
        <v>27129.18</v>
      </c>
      <c r="I133" s="2061">
        <v>1880415.87</v>
      </c>
      <c r="J133" s="2064">
        <v>17.0</v>
      </c>
      <c r="K133" s="2067"/>
      <c r="L133" s="2070">
        <v>5842000.0</v>
      </c>
      <c r="M133" s="2034">
        <v>22.0</v>
      </c>
      <c r="N133" s="2067"/>
      <c r="O133" s="2072">
        <v>642000.0</v>
      </c>
      <c r="P133" s="2041"/>
      <c r="Q133" s="2041"/>
      <c r="R133" s="2041"/>
      <c r="S133" s="2041"/>
      <c r="T133" s="2075"/>
      <c r="U133" s="1796"/>
      <c r="V133" s="1543"/>
      <c r="W133" s="1543"/>
      <c r="X133" s="1543"/>
      <c r="Y133" s="1543"/>
      <c r="Z133" s="1543"/>
      <c r="AA133" s="1543"/>
      <c r="AB133" s="1543"/>
      <c r="AC133" s="1543"/>
      <c r="AD133" s="1430"/>
      <c r="AE133" s="1430"/>
      <c r="AF133" s="1430"/>
      <c r="AG133" s="1430"/>
      <c r="AH133" s="1430"/>
      <c r="AI133" s="1430"/>
    </row>
    <row r="134" ht="15.75" customHeight="1">
      <c r="A134" s="2079"/>
      <c r="B134" s="1436"/>
      <c r="C134" s="1436"/>
      <c r="D134" s="1436"/>
      <c r="E134" s="1436"/>
      <c r="F134" s="2079"/>
      <c r="G134" s="2079"/>
      <c r="H134" s="2079"/>
      <c r="I134" s="1436"/>
      <c r="J134" s="1436"/>
      <c r="K134" s="2079"/>
      <c r="L134" s="2079"/>
      <c r="M134" s="2079"/>
      <c r="N134" s="2079"/>
      <c r="O134" s="1436"/>
      <c r="P134" s="1436"/>
      <c r="Q134" s="1436"/>
      <c r="R134" s="1436"/>
      <c r="S134" s="2082"/>
      <c r="T134" s="2082"/>
      <c r="U134" s="2085"/>
      <c r="V134" s="2088"/>
      <c r="W134" s="2088"/>
      <c r="X134" s="2088"/>
      <c r="Y134" s="2088"/>
      <c r="Z134" s="2088"/>
      <c r="AA134" s="2088"/>
      <c r="AB134" s="2088"/>
      <c r="AC134" s="2088"/>
      <c r="AD134" s="2088"/>
      <c r="AE134" s="2088"/>
      <c r="AF134" s="2088"/>
      <c r="AG134" s="2088"/>
      <c r="AH134" s="2088"/>
      <c r="AI134" s="2088"/>
    </row>
    <row r="135" ht="15.75" customHeight="1">
      <c r="A135" s="2079"/>
      <c r="B135" s="1436"/>
      <c r="C135" s="1436"/>
      <c r="D135" s="1436"/>
      <c r="E135" s="1436"/>
      <c r="F135" s="2079"/>
      <c r="G135" s="1436"/>
      <c r="H135" s="1436"/>
      <c r="I135" s="1436"/>
      <c r="J135" s="1436"/>
      <c r="K135" s="1436"/>
      <c r="L135" s="1436"/>
      <c r="M135" s="1436"/>
      <c r="N135" s="1436"/>
      <c r="O135" s="1436"/>
      <c r="P135" s="1436"/>
      <c r="Q135" s="1436"/>
      <c r="R135" s="1436"/>
      <c r="S135" s="1436"/>
      <c r="T135" s="1436"/>
      <c r="U135" s="1436"/>
      <c r="V135" s="1436"/>
      <c r="W135" s="1436"/>
      <c r="X135" s="1436"/>
      <c r="Y135" s="1436"/>
      <c r="Z135" s="1436"/>
      <c r="AA135" s="1436"/>
      <c r="AB135" s="1436"/>
      <c r="AC135" s="1436"/>
      <c r="AD135" s="1436"/>
      <c r="AE135" s="1436"/>
      <c r="AF135" s="1436"/>
      <c r="AG135" s="1436"/>
      <c r="AH135" s="1436"/>
      <c r="AI135" s="1436"/>
    </row>
    <row r="136" ht="15.75" customHeight="1">
      <c r="A136" s="2079"/>
      <c r="B136" s="1436"/>
      <c r="C136" s="1436"/>
      <c r="D136" s="1436"/>
      <c r="E136" s="1436"/>
      <c r="F136" s="1436"/>
      <c r="G136" s="2079"/>
      <c r="H136" s="2079"/>
      <c r="I136" s="1436"/>
      <c r="J136" s="1436"/>
      <c r="K136" s="2079"/>
      <c r="L136" s="2079"/>
      <c r="M136" s="2079"/>
      <c r="N136" s="2079"/>
      <c r="O136" s="1436"/>
      <c r="P136" s="1436"/>
      <c r="Q136" s="1436"/>
      <c r="R136" s="1436"/>
      <c r="S136" s="1436"/>
      <c r="T136" s="1436"/>
      <c r="U136" s="1436"/>
      <c r="V136" s="1436"/>
      <c r="W136" s="1436"/>
      <c r="X136" s="1436"/>
      <c r="Y136" s="1436"/>
      <c r="Z136" s="1436"/>
      <c r="AA136" s="1436"/>
      <c r="AB136" s="1436"/>
      <c r="AC136" s="1436"/>
      <c r="AD136" s="1436"/>
      <c r="AE136" s="1436"/>
      <c r="AF136" s="1436"/>
      <c r="AG136" s="1436"/>
      <c r="AH136" s="1436"/>
    </row>
    <row r="137" ht="15.75" customHeight="1">
      <c r="A137" s="2079"/>
      <c r="B137" s="1436"/>
      <c r="C137" s="1436"/>
      <c r="D137" s="1436"/>
      <c r="E137" s="1436"/>
      <c r="F137" s="1436"/>
      <c r="G137" s="2079"/>
      <c r="H137" s="2079"/>
      <c r="I137" s="1436"/>
      <c r="J137" s="1436"/>
      <c r="K137" s="2079"/>
      <c r="L137" s="2079"/>
      <c r="M137" s="2079"/>
      <c r="N137" s="2079"/>
      <c r="O137" s="1436"/>
      <c r="P137" s="1436"/>
      <c r="Q137" s="1436"/>
      <c r="R137" s="1436"/>
      <c r="S137" s="1436"/>
      <c r="T137" s="1436"/>
      <c r="U137" s="1436"/>
      <c r="V137" s="1436"/>
      <c r="W137" s="1436"/>
      <c r="X137" s="1436"/>
      <c r="Y137" s="1436"/>
      <c r="Z137" s="1436"/>
      <c r="AA137" s="1436"/>
      <c r="AB137" s="1436"/>
      <c r="AC137" s="1436"/>
      <c r="AD137" s="1436"/>
      <c r="AE137" s="1436"/>
      <c r="AF137" s="1436"/>
      <c r="AG137" s="1436"/>
      <c r="AH137" s="1436"/>
    </row>
    <row r="138" ht="15.75" customHeight="1">
      <c r="A138" s="2079"/>
      <c r="B138" s="1436"/>
      <c r="C138" s="1436"/>
      <c r="D138" s="1436"/>
      <c r="E138" s="1436"/>
      <c r="F138" s="1436"/>
      <c r="G138" s="2079"/>
      <c r="H138" s="2079"/>
      <c r="I138" s="1436"/>
      <c r="J138" s="1436"/>
      <c r="K138" s="2079"/>
      <c r="L138" s="2079"/>
      <c r="M138" s="2079"/>
      <c r="N138" s="2079"/>
      <c r="O138" s="1436"/>
      <c r="P138" s="1436"/>
      <c r="Q138" s="1436"/>
      <c r="R138" s="1436"/>
      <c r="S138" s="1436"/>
      <c r="T138" s="1436"/>
      <c r="U138" s="1436"/>
      <c r="V138" s="1436"/>
      <c r="W138" s="1436"/>
      <c r="X138" s="1436"/>
      <c r="Y138" s="1436"/>
      <c r="Z138" s="1436"/>
      <c r="AA138" s="1436"/>
      <c r="AB138" s="1436"/>
      <c r="AC138" s="1436"/>
      <c r="AD138" s="1436"/>
      <c r="AE138" s="1436"/>
      <c r="AF138" s="1436"/>
      <c r="AG138" s="1436"/>
      <c r="AH138" s="1436"/>
    </row>
    <row r="139" ht="15.75" customHeight="1">
      <c r="A139" s="2093"/>
      <c r="B139" s="2094"/>
      <c r="C139" s="1436"/>
      <c r="D139" s="1436"/>
      <c r="E139" s="1436"/>
      <c r="F139" s="2079"/>
      <c r="G139" s="2079"/>
      <c r="H139" s="2079"/>
      <c r="I139" s="2079"/>
      <c r="J139" s="2079"/>
      <c r="K139" s="1436"/>
      <c r="L139" s="1436"/>
      <c r="M139" s="2079"/>
      <c r="N139" s="2079"/>
      <c r="O139" s="1436"/>
      <c r="P139" s="1436"/>
      <c r="Q139" s="1436"/>
      <c r="R139" s="1436"/>
      <c r="S139" s="1436"/>
      <c r="T139" s="1436"/>
      <c r="U139" s="1436"/>
      <c r="V139" s="1436"/>
      <c r="W139" s="1436"/>
      <c r="X139" s="1436"/>
      <c r="Y139" s="1436"/>
      <c r="Z139" s="1436"/>
      <c r="AA139" s="1436"/>
      <c r="AB139" s="1436"/>
      <c r="AC139" s="1436"/>
      <c r="AD139" s="1436"/>
      <c r="AE139" s="1436"/>
      <c r="AF139" s="1436"/>
      <c r="AG139" s="1436"/>
      <c r="AH139" s="1436"/>
    </row>
    <row r="140" ht="15.75" customHeight="1">
      <c r="A140" s="2093"/>
      <c r="B140" s="2094"/>
      <c r="C140" s="1436"/>
      <c r="D140" s="1436"/>
      <c r="E140" s="1436"/>
      <c r="F140" s="2079"/>
      <c r="G140" s="2079"/>
      <c r="H140" s="2079"/>
      <c r="I140" s="2079"/>
      <c r="J140" s="2079"/>
      <c r="K140" s="2079"/>
      <c r="L140" s="2079"/>
      <c r="M140" s="2079"/>
      <c r="N140" s="2079"/>
      <c r="O140" s="1436"/>
      <c r="P140" s="1436"/>
      <c r="Q140" s="1436"/>
      <c r="R140" s="1436"/>
      <c r="S140" s="1436"/>
      <c r="T140" s="1436"/>
      <c r="U140" s="1436"/>
      <c r="V140" s="1436"/>
      <c r="W140" s="1436"/>
      <c r="X140" s="1436"/>
      <c r="Y140" s="1436"/>
      <c r="Z140" s="1436"/>
      <c r="AA140" s="1436"/>
      <c r="AB140" s="1436"/>
      <c r="AC140" s="1436"/>
      <c r="AD140" s="1436"/>
      <c r="AE140" s="1436"/>
      <c r="AF140" s="1436"/>
      <c r="AG140" s="1436"/>
      <c r="AH140" s="1436"/>
    </row>
    <row r="141" ht="15.75" customHeight="1">
      <c r="A141" s="2079"/>
      <c r="B141" s="1436"/>
      <c r="C141" s="1436"/>
      <c r="D141" s="1436"/>
      <c r="E141" s="1436"/>
      <c r="F141" s="1436"/>
      <c r="G141" s="2079"/>
      <c r="H141" s="2079"/>
      <c r="I141" s="1436"/>
      <c r="J141" s="1436"/>
      <c r="K141" s="2079"/>
      <c r="L141" s="2079"/>
      <c r="M141" s="2079"/>
      <c r="N141" s="2079"/>
      <c r="O141" s="1436"/>
      <c r="P141" s="1436"/>
      <c r="Q141" s="1436"/>
      <c r="R141" s="1436"/>
      <c r="S141" s="2082"/>
      <c r="T141" s="2082"/>
      <c r="U141" s="2082"/>
      <c r="V141" s="1436"/>
      <c r="W141" s="1436"/>
      <c r="X141" s="1436"/>
      <c r="Y141" s="1436"/>
      <c r="Z141" s="1436"/>
      <c r="AA141" s="1436"/>
      <c r="AB141" s="1436"/>
      <c r="AC141" s="1436"/>
      <c r="AD141" s="1436"/>
      <c r="AE141" s="1436"/>
      <c r="AF141" s="1436"/>
      <c r="AG141" s="1436"/>
      <c r="AH141" s="1436"/>
      <c r="AI141" s="1436"/>
    </row>
    <row r="142" ht="15.75" customHeight="1">
      <c r="A142" s="2079"/>
      <c r="B142" s="1436"/>
      <c r="C142" s="1436"/>
      <c r="D142" s="1436"/>
      <c r="E142" s="1436"/>
      <c r="F142" s="2079"/>
      <c r="G142" s="1436"/>
      <c r="H142" s="1436"/>
      <c r="I142" s="1436"/>
      <c r="J142" s="1436"/>
      <c r="K142" s="1436"/>
      <c r="L142" s="1436"/>
      <c r="M142" s="1436"/>
      <c r="N142" s="1436"/>
      <c r="O142" s="1436"/>
      <c r="P142" s="1436"/>
      <c r="Q142" s="1436"/>
      <c r="R142" s="1436"/>
      <c r="S142" s="2082"/>
      <c r="T142" s="2082"/>
      <c r="U142" s="2082"/>
      <c r="V142" s="1436"/>
      <c r="W142" s="1436"/>
      <c r="X142" s="1436"/>
      <c r="Y142" s="1436"/>
      <c r="Z142" s="1436"/>
      <c r="AA142" s="1436"/>
      <c r="AB142" s="1436"/>
      <c r="AC142" s="1436"/>
      <c r="AD142" s="1436"/>
      <c r="AE142" s="1436"/>
      <c r="AF142" s="1436"/>
      <c r="AG142" s="1436"/>
      <c r="AH142" s="1436"/>
      <c r="AI142" s="1436"/>
    </row>
    <row r="143" ht="15.75" customHeight="1">
      <c r="A143" s="2079"/>
      <c r="B143" s="1436"/>
      <c r="C143" s="1436"/>
      <c r="D143" s="1436"/>
      <c r="E143" s="1436"/>
      <c r="F143" s="2079"/>
      <c r="G143" s="2079"/>
      <c r="H143" s="2079"/>
      <c r="I143" s="1436"/>
      <c r="J143" s="1436"/>
      <c r="K143" s="2079"/>
      <c r="L143" s="2079"/>
      <c r="M143" s="2079"/>
      <c r="N143" s="2079"/>
      <c r="O143" s="1436"/>
      <c r="P143" s="1436"/>
      <c r="Q143" s="1436"/>
      <c r="R143" s="1436"/>
      <c r="S143" s="2082"/>
      <c r="T143" s="2082"/>
      <c r="U143" s="2082"/>
      <c r="V143" s="1436"/>
      <c r="W143" s="1436"/>
      <c r="X143" s="1436"/>
      <c r="Y143" s="1436"/>
      <c r="Z143" s="1436"/>
      <c r="AA143" s="1436"/>
      <c r="AB143" s="1436"/>
      <c r="AC143" s="1436"/>
      <c r="AD143" s="1436"/>
      <c r="AE143" s="1436"/>
      <c r="AF143" s="1436"/>
      <c r="AG143" s="1436"/>
      <c r="AH143" s="1436"/>
      <c r="AI143" s="1436"/>
    </row>
    <row r="144" ht="15.75" customHeight="1">
      <c r="A144" s="2079"/>
      <c r="B144" s="1436"/>
      <c r="C144" s="1436"/>
      <c r="D144" s="1436"/>
      <c r="E144" s="1436"/>
      <c r="F144" s="2079"/>
      <c r="G144" s="2079"/>
      <c r="H144" s="2079"/>
      <c r="I144" s="1436"/>
      <c r="J144" s="1436"/>
      <c r="K144" s="2079"/>
      <c r="L144" s="2079"/>
      <c r="M144" s="2079"/>
      <c r="N144" s="2079"/>
      <c r="O144" s="1436"/>
      <c r="P144" s="1436"/>
      <c r="Q144" s="1436"/>
      <c r="R144" s="1436"/>
      <c r="S144" s="2082"/>
      <c r="T144" s="2082"/>
      <c r="U144" s="2082"/>
      <c r="V144" s="1436"/>
      <c r="W144" s="1436"/>
      <c r="X144" s="1436"/>
      <c r="Y144" s="1436"/>
      <c r="Z144" s="1436"/>
      <c r="AA144" s="1436"/>
      <c r="AB144" s="1436"/>
      <c r="AC144" s="1436"/>
      <c r="AD144" s="1436"/>
      <c r="AE144" s="1436"/>
      <c r="AF144" s="1436"/>
      <c r="AG144" s="1436"/>
      <c r="AH144" s="1436"/>
      <c r="AI144" s="1436"/>
    </row>
    <row r="145" ht="15.75" customHeight="1">
      <c r="A145" s="2079"/>
      <c r="B145" s="1436"/>
      <c r="C145" s="1436"/>
      <c r="D145" s="1436"/>
      <c r="E145" s="1436"/>
      <c r="F145" s="2079"/>
      <c r="G145" s="2079"/>
      <c r="H145" s="2079"/>
      <c r="I145" s="1436"/>
      <c r="J145" s="1436"/>
      <c r="K145" s="2079"/>
      <c r="L145" s="2079"/>
      <c r="M145" s="2079"/>
      <c r="N145" s="2079"/>
      <c r="O145" s="1436"/>
      <c r="P145" s="1436"/>
      <c r="Q145" s="1436"/>
      <c r="R145" s="1436"/>
      <c r="S145" s="2082"/>
      <c r="T145" s="2082"/>
      <c r="U145" s="2082"/>
      <c r="V145" s="1436"/>
      <c r="W145" s="1436"/>
      <c r="X145" s="1436"/>
      <c r="Y145" s="1436"/>
      <c r="Z145" s="1436"/>
      <c r="AA145" s="1436"/>
      <c r="AB145" s="1436"/>
      <c r="AC145" s="1436"/>
      <c r="AD145" s="1436"/>
      <c r="AE145" s="1436"/>
      <c r="AF145" s="1436"/>
      <c r="AG145" s="1436"/>
      <c r="AH145" s="1436"/>
      <c r="AI145" s="1436"/>
    </row>
    <row r="146" ht="15.75" customHeight="1">
      <c r="A146" s="2079"/>
      <c r="B146" s="1436"/>
      <c r="C146" s="1436"/>
      <c r="D146" s="1436"/>
      <c r="E146" s="1436"/>
      <c r="F146" s="2079"/>
      <c r="G146" s="2079"/>
      <c r="H146" s="2079"/>
      <c r="I146" s="1436"/>
      <c r="J146" s="1436"/>
      <c r="K146" s="2079"/>
      <c r="L146" s="2079"/>
      <c r="M146" s="2079"/>
      <c r="N146" s="2079"/>
      <c r="O146" s="1436"/>
      <c r="P146" s="1436"/>
      <c r="Q146" s="1436"/>
      <c r="R146" s="1436"/>
      <c r="S146" s="2082"/>
      <c r="T146" s="2082"/>
      <c r="U146" s="2082"/>
      <c r="V146" s="1436"/>
      <c r="W146" s="1436"/>
      <c r="X146" s="1436"/>
      <c r="Y146" s="1436"/>
      <c r="Z146" s="1436"/>
      <c r="AA146" s="1436"/>
      <c r="AB146" s="1436"/>
      <c r="AC146" s="1436"/>
      <c r="AD146" s="1436"/>
      <c r="AE146" s="1436"/>
      <c r="AF146" s="1436"/>
      <c r="AG146" s="1436"/>
      <c r="AH146" s="1436"/>
      <c r="AI146" s="1436"/>
    </row>
    <row r="147" ht="15.75" customHeight="1">
      <c r="A147" s="2079"/>
      <c r="B147" s="1436"/>
      <c r="C147" s="1436"/>
      <c r="D147" s="1436"/>
      <c r="E147" s="1436"/>
      <c r="F147" s="2079"/>
      <c r="G147" s="2079"/>
      <c r="H147" s="2079"/>
      <c r="I147" s="1436"/>
      <c r="J147" s="1436"/>
      <c r="K147" s="2079"/>
      <c r="L147" s="2079"/>
      <c r="M147" s="2079"/>
      <c r="N147" s="2079"/>
      <c r="O147" s="1436"/>
      <c r="P147" s="1436"/>
      <c r="Q147" s="1436"/>
      <c r="R147" s="1436"/>
      <c r="S147" s="2082"/>
      <c r="T147" s="2082"/>
      <c r="U147" s="2082"/>
      <c r="V147" s="1436"/>
      <c r="W147" s="1436"/>
      <c r="X147" s="1436"/>
      <c r="Y147" s="1436"/>
      <c r="Z147" s="1436"/>
      <c r="AA147" s="1436"/>
      <c r="AB147" s="1436"/>
      <c r="AC147" s="1436"/>
      <c r="AD147" s="1436"/>
      <c r="AE147" s="1436"/>
      <c r="AF147" s="1436"/>
      <c r="AG147" s="1436"/>
      <c r="AH147" s="1436"/>
      <c r="AI147" s="1436"/>
    </row>
    <row r="148" ht="15.75" customHeight="1">
      <c r="A148" s="2079"/>
      <c r="B148" s="1436"/>
      <c r="C148" s="1436"/>
      <c r="D148" s="1436"/>
      <c r="E148" s="1436"/>
      <c r="F148" s="2079"/>
      <c r="G148" s="2079"/>
      <c r="H148" s="2079"/>
      <c r="I148" s="1436"/>
      <c r="J148" s="1436"/>
      <c r="K148" s="2079"/>
      <c r="L148" s="2079"/>
      <c r="M148" s="2079"/>
      <c r="N148" s="2079"/>
      <c r="O148" s="1436"/>
      <c r="P148" s="1436"/>
      <c r="Q148" s="1436"/>
      <c r="R148" s="1436"/>
      <c r="S148" s="2082"/>
      <c r="T148" s="2082"/>
      <c r="U148" s="2082"/>
      <c r="V148" s="1436"/>
      <c r="W148" s="1436"/>
      <c r="X148" s="1436"/>
      <c r="Y148" s="1436"/>
      <c r="Z148" s="1436"/>
      <c r="AA148" s="1436"/>
      <c r="AB148" s="1436"/>
      <c r="AC148" s="1436"/>
      <c r="AD148" s="1436"/>
      <c r="AE148" s="1436"/>
      <c r="AF148" s="1436"/>
      <c r="AG148" s="1436"/>
      <c r="AH148" s="1436"/>
      <c r="AI148" s="1436"/>
    </row>
    <row r="149" ht="15.75" customHeight="1">
      <c r="A149" s="2079"/>
      <c r="B149" s="1436"/>
      <c r="C149" s="1436"/>
      <c r="D149" s="1436"/>
      <c r="E149" s="1436"/>
      <c r="F149" s="2079"/>
      <c r="G149" s="2079"/>
      <c r="H149" s="2079"/>
      <c r="I149" s="1436"/>
      <c r="J149" s="1436"/>
      <c r="K149" s="2079"/>
      <c r="L149" s="2079"/>
      <c r="M149" s="2079"/>
      <c r="N149" s="2079"/>
      <c r="O149" s="1436"/>
      <c r="P149" s="1436"/>
      <c r="Q149" s="1436"/>
      <c r="R149" s="1436"/>
      <c r="S149" s="2082"/>
      <c r="T149" s="2082"/>
      <c r="U149" s="2082"/>
      <c r="V149" s="1436"/>
      <c r="W149" s="1436"/>
      <c r="X149" s="1436"/>
      <c r="Y149" s="1436"/>
      <c r="Z149" s="1436"/>
      <c r="AA149" s="1436"/>
      <c r="AB149" s="1436"/>
      <c r="AC149" s="1436"/>
      <c r="AD149" s="1436"/>
      <c r="AE149" s="1436"/>
      <c r="AF149" s="1436"/>
      <c r="AG149" s="1436"/>
      <c r="AH149" s="1436"/>
      <c r="AI149" s="1436"/>
    </row>
    <row r="150" ht="15.75" customHeight="1">
      <c r="A150" s="2079"/>
      <c r="B150" s="1436"/>
      <c r="C150" s="1436"/>
      <c r="D150" s="1436"/>
      <c r="E150" s="1436"/>
      <c r="F150" s="2079"/>
      <c r="G150" s="2079"/>
      <c r="H150" s="2079"/>
      <c r="I150" s="1436"/>
      <c r="J150" s="1436"/>
      <c r="K150" s="2079"/>
      <c r="L150" s="2079"/>
      <c r="M150" s="2079"/>
      <c r="N150" s="2079"/>
      <c r="O150" s="1436"/>
      <c r="P150" s="1436"/>
      <c r="Q150" s="1436"/>
      <c r="R150" s="1436"/>
      <c r="S150" s="2082"/>
      <c r="T150" s="2082"/>
      <c r="U150" s="2082"/>
      <c r="V150" s="1436"/>
      <c r="W150" s="1436"/>
      <c r="X150" s="1436"/>
      <c r="Y150" s="1436"/>
      <c r="Z150" s="1436"/>
      <c r="AA150" s="1436"/>
      <c r="AB150" s="1436"/>
      <c r="AC150" s="1436"/>
      <c r="AD150" s="1436"/>
      <c r="AE150" s="1436"/>
      <c r="AF150" s="1436"/>
      <c r="AG150" s="1436"/>
      <c r="AH150" s="1436"/>
      <c r="AI150" s="1436"/>
    </row>
    <row r="151" ht="15.75" customHeight="1">
      <c r="A151" s="2079"/>
      <c r="B151" s="1436"/>
      <c r="C151" s="1436"/>
      <c r="D151" s="1436"/>
      <c r="E151" s="1436"/>
      <c r="F151" s="2079"/>
      <c r="G151" s="2079"/>
      <c r="H151" s="2079"/>
      <c r="I151" s="1436"/>
      <c r="J151" s="1436"/>
      <c r="K151" s="2079"/>
      <c r="L151" s="2079"/>
      <c r="M151" s="2079"/>
      <c r="N151" s="2079"/>
      <c r="O151" s="1436"/>
      <c r="P151" s="1436"/>
      <c r="Q151" s="1436"/>
      <c r="R151" s="1436"/>
      <c r="S151" s="2082"/>
      <c r="T151" s="2082"/>
      <c r="U151" s="2082"/>
      <c r="V151" s="1436"/>
      <c r="W151" s="1436"/>
      <c r="X151" s="1436"/>
      <c r="Y151" s="1436"/>
      <c r="Z151" s="1436"/>
      <c r="AA151" s="1436"/>
      <c r="AB151" s="1436"/>
      <c r="AC151" s="1436"/>
      <c r="AD151" s="1436"/>
      <c r="AE151" s="1436"/>
      <c r="AF151" s="1436"/>
      <c r="AG151" s="1436"/>
      <c r="AH151" s="1436"/>
      <c r="AI151" s="1436"/>
    </row>
    <row r="152" ht="15.75" customHeight="1">
      <c r="A152" s="2079"/>
      <c r="B152" s="1436"/>
      <c r="C152" s="1436"/>
      <c r="D152" s="1436"/>
      <c r="E152" s="1436"/>
      <c r="F152" s="2079"/>
      <c r="G152" s="2079"/>
      <c r="H152" s="2079"/>
      <c r="I152" s="1436"/>
      <c r="J152" s="1436"/>
      <c r="K152" s="2079"/>
      <c r="L152" s="2079"/>
      <c r="M152" s="2079"/>
      <c r="N152" s="2079"/>
      <c r="O152" s="1436"/>
      <c r="P152" s="1436"/>
      <c r="Q152" s="1436"/>
      <c r="R152" s="1436"/>
      <c r="S152" s="2082"/>
      <c r="T152" s="2082"/>
      <c r="U152" s="2082"/>
      <c r="V152" s="1436"/>
      <c r="W152" s="1436"/>
      <c r="X152" s="1436"/>
      <c r="Y152" s="1436"/>
      <c r="Z152" s="1436"/>
      <c r="AA152" s="1436"/>
      <c r="AB152" s="1436"/>
      <c r="AC152" s="1436"/>
      <c r="AD152" s="1436"/>
      <c r="AE152" s="1436"/>
      <c r="AF152" s="1436"/>
      <c r="AG152" s="1436"/>
      <c r="AH152" s="1436"/>
      <c r="AI152" s="1436"/>
    </row>
    <row r="153" ht="15.75" customHeight="1">
      <c r="A153" s="2079"/>
      <c r="B153" s="1436"/>
      <c r="C153" s="1436"/>
      <c r="D153" s="1436"/>
      <c r="E153" s="1436"/>
      <c r="F153" s="2079"/>
      <c r="G153" s="2079"/>
      <c r="H153" s="2079"/>
      <c r="I153" s="1436"/>
      <c r="J153" s="1436"/>
      <c r="K153" s="2079"/>
      <c r="L153" s="2079"/>
      <c r="M153" s="2079"/>
      <c r="N153" s="2079"/>
      <c r="O153" s="1436"/>
      <c r="P153" s="1436"/>
      <c r="Q153" s="1436"/>
      <c r="R153" s="1436"/>
      <c r="S153" s="2082"/>
      <c r="T153" s="2082"/>
      <c r="U153" s="2082"/>
      <c r="V153" s="1436"/>
      <c r="W153" s="1436"/>
      <c r="X153" s="1436"/>
      <c r="Y153" s="1436"/>
      <c r="Z153" s="1436"/>
      <c r="AA153" s="1436"/>
      <c r="AB153" s="1436"/>
      <c r="AC153" s="1436"/>
      <c r="AD153" s="1436"/>
      <c r="AE153" s="1436"/>
      <c r="AF153" s="1436"/>
      <c r="AG153" s="1436"/>
      <c r="AH153" s="1436"/>
      <c r="AI153" s="1436"/>
    </row>
    <row r="154" ht="15.75" customHeight="1">
      <c r="A154" s="2079"/>
      <c r="B154" s="1436"/>
      <c r="C154" s="1436"/>
      <c r="D154" s="1436"/>
      <c r="E154" s="1436"/>
      <c r="F154" s="2079"/>
      <c r="G154" s="2079"/>
      <c r="H154" s="2079"/>
      <c r="I154" s="1436"/>
      <c r="J154" s="1436"/>
      <c r="K154" s="2079"/>
      <c r="L154" s="2079"/>
      <c r="M154" s="2079"/>
      <c r="N154" s="2079"/>
      <c r="O154" s="1436"/>
      <c r="P154" s="1436"/>
      <c r="Q154" s="1436"/>
      <c r="R154" s="1436"/>
      <c r="S154" s="2082"/>
      <c r="T154" s="2082"/>
      <c r="U154" s="2082"/>
      <c r="V154" s="1436"/>
      <c r="W154" s="1436"/>
      <c r="X154" s="1436"/>
      <c r="Y154" s="1436"/>
      <c r="Z154" s="1436"/>
      <c r="AA154" s="1436"/>
      <c r="AB154" s="1436"/>
      <c r="AC154" s="1436"/>
      <c r="AD154" s="1436"/>
      <c r="AE154" s="1436"/>
      <c r="AF154" s="1436"/>
      <c r="AG154" s="1436"/>
      <c r="AH154" s="1436"/>
      <c r="AI154" s="1436"/>
    </row>
    <row r="155" ht="15.75" customHeight="1">
      <c r="A155" s="2079"/>
      <c r="B155" s="1436"/>
      <c r="C155" s="1436"/>
      <c r="D155" s="1436"/>
      <c r="E155" s="1436"/>
      <c r="F155" s="2079"/>
      <c r="G155" s="2079"/>
      <c r="H155" s="2079"/>
      <c r="I155" s="1436"/>
      <c r="J155" s="1436"/>
      <c r="K155" s="2079"/>
      <c r="L155" s="2079"/>
      <c r="M155" s="2079"/>
      <c r="N155" s="2079"/>
      <c r="O155" s="1436"/>
      <c r="P155" s="1436"/>
      <c r="Q155" s="1436"/>
      <c r="R155" s="1436"/>
      <c r="S155" s="2082"/>
      <c r="T155" s="2082"/>
      <c r="U155" s="2082"/>
      <c r="V155" s="1436"/>
      <c r="W155" s="1436"/>
      <c r="X155" s="1436"/>
      <c r="Y155" s="1436"/>
      <c r="Z155" s="1436"/>
      <c r="AA155" s="1436"/>
      <c r="AB155" s="1436"/>
      <c r="AC155" s="1436"/>
      <c r="AD155" s="1436"/>
      <c r="AE155" s="1436"/>
      <c r="AF155" s="1436"/>
      <c r="AG155" s="1436"/>
      <c r="AH155" s="1436"/>
      <c r="AI155" s="1436"/>
    </row>
    <row r="156" ht="15.75" customHeight="1">
      <c r="A156" s="2079"/>
      <c r="B156" s="1436"/>
      <c r="C156" s="1436"/>
      <c r="D156" s="1436"/>
      <c r="E156" s="1436"/>
      <c r="F156" s="2079"/>
      <c r="G156" s="2079"/>
      <c r="H156" s="2079"/>
      <c r="I156" s="1436"/>
      <c r="J156" s="1436"/>
      <c r="K156" s="2079"/>
      <c r="L156" s="2079"/>
      <c r="M156" s="2079"/>
      <c r="N156" s="2079"/>
      <c r="O156" s="1436"/>
      <c r="P156" s="1436"/>
      <c r="Q156" s="1436"/>
      <c r="R156" s="1436"/>
      <c r="S156" s="2082"/>
      <c r="T156" s="2082"/>
      <c r="U156" s="2082"/>
      <c r="V156" s="1436"/>
      <c r="W156" s="1436"/>
      <c r="X156" s="1436"/>
      <c r="Y156" s="1436"/>
      <c r="Z156" s="1436"/>
      <c r="AA156" s="1436"/>
      <c r="AB156" s="1436"/>
      <c r="AC156" s="1436"/>
      <c r="AD156" s="1436"/>
      <c r="AE156" s="1436"/>
      <c r="AF156" s="1436"/>
      <c r="AG156" s="1436"/>
      <c r="AH156" s="1436"/>
      <c r="AI156" s="1436"/>
    </row>
    <row r="157" ht="15.75" customHeight="1">
      <c r="A157" s="2079"/>
      <c r="B157" s="1436"/>
      <c r="C157" s="1436"/>
      <c r="D157" s="1436"/>
      <c r="E157" s="1436"/>
      <c r="F157" s="2079"/>
      <c r="G157" s="2079"/>
      <c r="H157" s="2079"/>
      <c r="I157" s="1436"/>
      <c r="J157" s="1436"/>
      <c r="K157" s="2079"/>
      <c r="L157" s="2079"/>
      <c r="M157" s="2079"/>
      <c r="N157" s="2079"/>
      <c r="O157" s="1436"/>
      <c r="P157" s="1436"/>
      <c r="Q157" s="1436"/>
      <c r="R157" s="1436"/>
      <c r="S157" s="2082"/>
      <c r="T157" s="2082"/>
      <c r="U157" s="2082"/>
      <c r="V157" s="1436"/>
      <c r="W157" s="1436"/>
      <c r="X157" s="1436"/>
      <c r="Y157" s="1436"/>
      <c r="Z157" s="1436"/>
      <c r="AA157" s="1436"/>
      <c r="AB157" s="1436"/>
      <c r="AC157" s="1436"/>
      <c r="AD157" s="1436"/>
      <c r="AE157" s="1436"/>
      <c r="AF157" s="1436"/>
      <c r="AG157" s="1436"/>
      <c r="AH157" s="1436"/>
      <c r="AI157" s="1436"/>
    </row>
    <row r="158" ht="15.75" customHeight="1">
      <c r="A158" s="2079"/>
      <c r="B158" s="1436"/>
      <c r="C158" s="1436"/>
      <c r="D158" s="1436"/>
      <c r="E158" s="1436"/>
      <c r="F158" s="2079"/>
      <c r="G158" s="2079"/>
      <c r="H158" s="2079"/>
      <c r="I158" s="1436"/>
      <c r="J158" s="1436"/>
      <c r="K158" s="2079"/>
      <c r="L158" s="2079"/>
      <c r="M158" s="2079"/>
      <c r="N158" s="2079"/>
      <c r="O158" s="1436"/>
      <c r="P158" s="1436"/>
      <c r="Q158" s="1436"/>
      <c r="R158" s="1436"/>
      <c r="S158" s="2082"/>
      <c r="T158" s="2082"/>
      <c r="U158" s="2082"/>
      <c r="V158" s="1436"/>
      <c r="W158" s="1436"/>
      <c r="X158" s="1436"/>
      <c r="Y158" s="1436"/>
      <c r="Z158" s="1436"/>
      <c r="AA158" s="1436"/>
      <c r="AB158" s="1436"/>
      <c r="AC158" s="1436"/>
      <c r="AD158" s="1436"/>
      <c r="AE158" s="1436"/>
      <c r="AF158" s="1436"/>
      <c r="AG158" s="1436"/>
      <c r="AH158" s="1436"/>
      <c r="AI158" s="1436"/>
    </row>
    <row r="159" ht="15.75" customHeight="1">
      <c r="A159" s="2079"/>
      <c r="B159" s="1436"/>
      <c r="C159" s="1436"/>
      <c r="D159" s="1436"/>
      <c r="E159" s="1436"/>
      <c r="F159" s="2079"/>
      <c r="G159" s="2079"/>
      <c r="H159" s="2079"/>
      <c r="I159" s="1436"/>
      <c r="J159" s="1436"/>
      <c r="K159" s="2079"/>
      <c r="L159" s="2079"/>
      <c r="M159" s="2079"/>
      <c r="N159" s="2079"/>
      <c r="O159" s="1436"/>
      <c r="P159" s="1436"/>
      <c r="Q159" s="1436"/>
      <c r="R159" s="1436"/>
      <c r="S159" s="2082"/>
      <c r="T159" s="2082"/>
      <c r="U159" s="2082"/>
      <c r="V159" s="1436"/>
      <c r="W159" s="1436"/>
      <c r="X159" s="1436"/>
      <c r="Y159" s="1436"/>
      <c r="Z159" s="1436"/>
      <c r="AA159" s="1436"/>
      <c r="AB159" s="1436"/>
      <c r="AC159" s="1436"/>
      <c r="AD159" s="1436"/>
      <c r="AE159" s="1436"/>
      <c r="AF159" s="1436"/>
      <c r="AG159" s="1436"/>
      <c r="AH159" s="1436"/>
      <c r="AI159" s="1436"/>
    </row>
    <row r="160" ht="15.75" customHeight="1">
      <c r="A160" s="2079"/>
      <c r="B160" s="1436"/>
      <c r="C160" s="1436"/>
      <c r="D160" s="1436"/>
      <c r="E160" s="1436"/>
      <c r="F160" s="2079"/>
      <c r="G160" s="2079"/>
      <c r="H160" s="2079"/>
      <c r="I160" s="1436"/>
      <c r="J160" s="1436"/>
      <c r="K160" s="2079"/>
      <c r="L160" s="2079"/>
      <c r="M160" s="2079"/>
      <c r="N160" s="2079"/>
      <c r="O160" s="1436"/>
      <c r="P160" s="1436"/>
      <c r="Q160" s="1436"/>
      <c r="R160" s="1436"/>
      <c r="S160" s="2082"/>
      <c r="T160" s="2082"/>
      <c r="U160" s="2082"/>
      <c r="V160" s="1436"/>
      <c r="W160" s="1436"/>
      <c r="X160" s="1436"/>
      <c r="Y160" s="1436"/>
      <c r="Z160" s="1436"/>
      <c r="AA160" s="1436"/>
      <c r="AB160" s="1436"/>
      <c r="AC160" s="1436"/>
      <c r="AD160" s="1436"/>
      <c r="AE160" s="1436"/>
      <c r="AF160" s="1436"/>
      <c r="AG160" s="1436"/>
      <c r="AH160" s="1436"/>
      <c r="AI160" s="1436"/>
    </row>
    <row r="161" ht="15.75" customHeight="1">
      <c r="A161" s="2079"/>
      <c r="B161" s="1436"/>
      <c r="C161" s="1436"/>
      <c r="D161" s="1436"/>
      <c r="E161" s="1436"/>
      <c r="F161" s="2079"/>
      <c r="G161" s="2079"/>
      <c r="H161" s="2079"/>
      <c r="I161" s="1436"/>
      <c r="J161" s="1436"/>
      <c r="K161" s="2079"/>
      <c r="L161" s="2079"/>
      <c r="M161" s="2079"/>
      <c r="N161" s="2079"/>
      <c r="O161" s="1436"/>
      <c r="P161" s="1436"/>
      <c r="Q161" s="1436"/>
      <c r="R161" s="1436"/>
      <c r="S161" s="2082"/>
      <c r="T161" s="2082"/>
      <c r="U161" s="2082"/>
      <c r="V161" s="1436"/>
      <c r="W161" s="1436"/>
      <c r="X161" s="1436"/>
      <c r="Y161" s="1436"/>
      <c r="Z161" s="1436"/>
      <c r="AA161" s="1436"/>
      <c r="AB161" s="1436"/>
      <c r="AC161" s="1436"/>
      <c r="AD161" s="1436"/>
      <c r="AE161" s="1436"/>
      <c r="AF161" s="1436"/>
      <c r="AG161" s="1436"/>
      <c r="AH161" s="1436"/>
      <c r="AI161" s="1436"/>
    </row>
    <row r="162" ht="15.75" customHeight="1">
      <c r="A162" s="2079"/>
      <c r="B162" s="1436"/>
      <c r="C162" s="1436"/>
      <c r="D162" s="1436"/>
      <c r="E162" s="1436"/>
      <c r="F162" s="2079"/>
      <c r="G162" s="2079"/>
      <c r="H162" s="2079"/>
      <c r="I162" s="1436"/>
      <c r="J162" s="1436"/>
      <c r="K162" s="2079"/>
      <c r="L162" s="2079"/>
      <c r="M162" s="2079"/>
      <c r="N162" s="2079"/>
      <c r="O162" s="1436"/>
      <c r="P162" s="1436"/>
      <c r="Q162" s="1436"/>
      <c r="R162" s="1436"/>
      <c r="S162" s="2082"/>
      <c r="T162" s="2082"/>
      <c r="U162" s="2082"/>
      <c r="V162" s="1436"/>
      <c r="W162" s="1436"/>
      <c r="X162" s="1436"/>
      <c r="Y162" s="1436"/>
      <c r="Z162" s="1436"/>
      <c r="AA162" s="1436"/>
      <c r="AB162" s="1436"/>
      <c r="AC162" s="1436"/>
      <c r="AD162" s="1436"/>
      <c r="AE162" s="1436"/>
      <c r="AF162" s="1436"/>
      <c r="AG162" s="1436"/>
      <c r="AH162" s="1436"/>
      <c r="AI162" s="1436"/>
    </row>
    <row r="163" ht="15.75" customHeight="1">
      <c r="A163" s="2079"/>
      <c r="B163" s="1436"/>
      <c r="C163" s="1436"/>
      <c r="D163" s="1436"/>
      <c r="E163" s="1436"/>
      <c r="F163" s="2079"/>
      <c r="G163" s="2079"/>
      <c r="H163" s="2079"/>
      <c r="I163" s="1436"/>
      <c r="J163" s="1436"/>
      <c r="K163" s="2079"/>
      <c r="L163" s="2079"/>
      <c r="M163" s="2079"/>
      <c r="N163" s="2079"/>
      <c r="O163" s="1436"/>
      <c r="P163" s="1436"/>
      <c r="Q163" s="1436"/>
      <c r="R163" s="1436"/>
      <c r="S163" s="2082"/>
      <c r="T163" s="2082"/>
      <c r="U163" s="2082"/>
      <c r="V163" s="1436"/>
      <c r="W163" s="1436"/>
      <c r="X163" s="1436"/>
      <c r="Y163" s="1436"/>
      <c r="Z163" s="1436"/>
      <c r="AA163" s="1436"/>
      <c r="AB163" s="1436"/>
      <c r="AC163" s="1436"/>
      <c r="AD163" s="1436"/>
      <c r="AE163" s="1436"/>
      <c r="AF163" s="1436"/>
      <c r="AG163" s="1436"/>
      <c r="AH163" s="1436"/>
      <c r="AI163" s="1436"/>
    </row>
    <row r="164" ht="15.75" customHeight="1">
      <c r="A164" s="2079"/>
      <c r="B164" s="1436"/>
      <c r="C164" s="1436"/>
      <c r="D164" s="1436"/>
      <c r="E164" s="1436"/>
      <c r="F164" s="2079"/>
      <c r="G164" s="2079"/>
      <c r="H164" s="2079"/>
      <c r="I164" s="1436"/>
      <c r="J164" s="1436"/>
      <c r="K164" s="2079"/>
      <c r="L164" s="2079"/>
      <c r="M164" s="2079"/>
      <c r="N164" s="2079"/>
      <c r="O164" s="1436"/>
      <c r="P164" s="1436"/>
      <c r="Q164" s="1436"/>
      <c r="R164" s="1436"/>
      <c r="S164" s="2082"/>
      <c r="T164" s="2082"/>
      <c r="U164" s="2082"/>
      <c r="V164" s="1436"/>
      <c r="W164" s="1436"/>
      <c r="X164" s="1436"/>
      <c r="Y164" s="1436"/>
      <c r="Z164" s="1436"/>
      <c r="AA164" s="1436"/>
      <c r="AB164" s="1436"/>
      <c r="AC164" s="1436"/>
      <c r="AD164" s="1436"/>
      <c r="AE164" s="1436"/>
      <c r="AF164" s="1436"/>
      <c r="AG164" s="1436"/>
      <c r="AH164" s="1436"/>
      <c r="AI164" s="1436"/>
    </row>
    <row r="165" ht="15.75" customHeight="1">
      <c r="A165" s="2079"/>
      <c r="B165" s="1436"/>
      <c r="C165" s="1436"/>
      <c r="D165" s="1436"/>
      <c r="E165" s="1436"/>
      <c r="F165" s="2079"/>
      <c r="G165" s="2079"/>
      <c r="H165" s="2079"/>
      <c r="I165" s="1436"/>
      <c r="J165" s="1436"/>
      <c r="K165" s="2079"/>
      <c r="L165" s="2079"/>
      <c r="M165" s="2079"/>
      <c r="N165" s="2079"/>
      <c r="O165" s="1436"/>
      <c r="P165" s="1436"/>
      <c r="Q165" s="1436"/>
      <c r="R165" s="1436"/>
      <c r="S165" s="2082"/>
      <c r="T165" s="2082"/>
      <c r="U165" s="2082"/>
      <c r="V165" s="1436"/>
      <c r="W165" s="1436"/>
      <c r="X165" s="1436"/>
      <c r="Y165" s="1436"/>
      <c r="Z165" s="1436"/>
      <c r="AA165" s="1436"/>
      <c r="AB165" s="1436"/>
      <c r="AC165" s="1436"/>
      <c r="AD165" s="1436"/>
      <c r="AE165" s="1436"/>
      <c r="AF165" s="1436"/>
      <c r="AG165" s="1436"/>
      <c r="AH165" s="1436"/>
      <c r="AI165" s="1436"/>
    </row>
    <row r="166" ht="15.75" customHeight="1">
      <c r="A166" s="2079"/>
      <c r="B166" s="1436"/>
      <c r="C166" s="1436"/>
      <c r="D166" s="1436"/>
      <c r="E166" s="1436"/>
      <c r="F166" s="2079"/>
      <c r="G166" s="2079"/>
      <c r="H166" s="2079"/>
      <c r="I166" s="1436"/>
      <c r="J166" s="1436"/>
      <c r="K166" s="2079"/>
      <c r="L166" s="2079"/>
      <c r="M166" s="2079"/>
      <c r="N166" s="2079"/>
      <c r="O166" s="1436"/>
      <c r="P166" s="1436"/>
      <c r="Q166" s="1436"/>
      <c r="R166" s="1436"/>
      <c r="S166" s="2082"/>
      <c r="T166" s="2082"/>
      <c r="U166" s="2082"/>
      <c r="V166" s="1436"/>
      <c r="W166" s="1436"/>
      <c r="X166" s="1436"/>
      <c r="Y166" s="1436"/>
      <c r="Z166" s="1436"/>
      <c r="AA166" s="1436"/>
      <c r="AB166" s="1436"/>
      <c r="AC166" s="1436"/>
      <c r="AD166" s="1436"/>
      <c r="AE166" s="1436"/>
      <c r="AF166" s="1436"/>
      <c r="AG166" s="1436"/>
      <c r="AH166" s="1436"/>
      <c r="AI166" s="1436"/>
    </row>
    <row r="167" ht="15.75" customHeight="1">
      <c r="A167" s="2079"/>
      <c r="B167" s="1436"/>
      <c r="C167" s="1436"/>
      <c r="D167" s="1436"/>
      <c r="E167" s="1436"/>
      <c r="F167" s="2079"/>
      <c r="G167" s="2079"/>
      <c r="H167" s="2079"/>
      <c r="I167" s="1436"/>
      <c r="J167" s="1436"/>
      <c r="K167" s="2079"/>
      <c r="L167" s="2079"/>
      <c r="M167" s="2079"/>
      <c r="N167" s="2079"/>
      <c r="O167" s="1436"/>
      <c r="P167" s="1436"/>
      <c r="Q167" s="1436"/>
      <c r="R167" s="1436"/>
      <c r="S167" s="2082"/>
      <c r="T167" s="2082"/>
      <c r="U167" s="2082"/>
      <c r="V167" s="1436"/>
      <c r="W167" s="1436"/>
      <c r="X167" s="1436"/>
      <c r="Y167" s="1436"/>
      <c r="Z167" s="1436"/>
      <c r="AA167" s="1436"/>
      <c r="AB167" s="1436"/>
      <c r="AC167" s="1436"/>
      <c r="AD167" s="1436"/>
      <c r="AE167" s="1436"/>
      <c r="AF167" s="1436"/>
      <c r="AG167" s="1436"/>
      <c r="AH167" s="1436"/>
      <c r="AI167" s="1436"/>
    </row>
    <row r="168" ht="15.75" customHeight="1">
      <c r="A168" s="2079"/>
      <c r="B168" s="1436"/>
      <c r="C168" s="1436"/>
      <c r="D168" s="1436"/>
      <c r="E168" s="1436"/>
      <c r="F168" s="2079"/>
      <c r="G168" s="2079"/>
      <c r="H168" s="2079"/>
      <c r="I168" s="1436"/>
      <c r="J168" s="1436"/>
      <c r="K168" s="2079"/>
      <c r="L168" s="2079"/>
      <c r="M168" s="2079"/>
      <c r="N168" s="2079"/>
      <c r="O168" s="1436"/>
      <c r="P168" s="1436"/>
      <c r="Q168" s="1436"/>
      <c r="R168" s="1436"/>
      <c r="S168" s="2082"/>
      <c r="T168" s="2082"/>
      <c r="U168" s="2082"/>
      <c r="V168" s="1436"/>
      <c r="W168" s="1436"/>
      <c r="X168" s="1436"/>
      <c r="Y168" s="1436"/>
      <c r="Z168" s="1436"/>
      <c r="AA168" s="1436"/>
      <c r="AB168" s="1436"/>
      <c r="AC168" s="1436"/>
      <c r="AD168" s="1436"/>
      <c r="AE168" s="1436"/>
      <c r="AF168" s="1436"/>
      <c r="AG168" s="1436"/>
      <c r="AH168" s="1436"/>
      <c r="AI168" s="1436"/>
    </row>
    <row r="169" ht="15.75" customHeight="1">
      <c r="A169" s="2079"/>
      <c r="B169" s="1436"/>
      <c r="C169" s="1436"/>
      <c r="D169" s="1436"/>
      <c r="E169" s="1436"/>
      <c r="F169" s="2079"/>
      <c r="G169" s="2079"/>
      <c r="H169" s="2079"/>
      <c r="I169" s="1436"/>
      <c r="J169" s="1436"/>
      <c r="K169" s="2079"/>
      <c r="L169" s="2079"/>
      <c r="M169" s="2079"/>
      <c r="N169" s="2079"/>
      <c r="O169" s="1436"/>
      <c r="P169" s="1436"/>
      <c r="Q169" s="1436"/>
      <c r="R169" s="1436"/>
      <c r="S169" s="2082"/>
      <c r="T169" s="2082"/>
      <c r="U169" s="2082"/>
      <c r="V169" s="1436"/>
      <c r="W169" s="1436"/>
      <c r="X169" s="1436"/>
      <c r="Y169" s="1436"/>
      <c r="Z169" s="1436"/>
      <c r="AA169" s="1436"/>
      <c r="AB169" s="1436"/>
      <c r="AC169" s="1436"/>
      <c r="AD169" s="1436"/>
      <c r="AE169" s="1436"/>
      <c r="AF169" s="1436"/>
      <c r="AG169" s="1436"/>
      <c r="AH169" s="1436"/>
      <c r="AI169" s="1436"/>
    </row>
    <row r="170" ht="15.75" customHeight="1">
      <c r="A170" s="2079"/>
      <c r="B170" s="1436"/>
      <c r="C170" s="1436"/>
      <c r="D170" s="1436"/>
      <c r="E170" s="1436"/>
      <c r="F170" s="2079"/>
      <c r="G170" s="2079"/>
      <c r="H170" s="2079"/>
      <c r="I170" s="1436"/>
      <c r="J170" s="1436"/>
      <c r="K170" s="2079"/>
      <c r="L170" s="2079"/>
      <c r="M170" s="2079"/>
      <c r="N170" s="2079"/>
      <c r="O170" s="1436"/>
      <c r="P170" s="1436"/>
      <c r="Q170" s="1436"/>
      <c r="R170" s="1436"/>
      <c r="S170" s="2082"/>
      <c r="T170" s="2082"/>
      <c r="U170" s="2082"/>
      <c r="V170" s="1436"/>
      <c r="W170" s="1436"/>
      <c r="X170" s="1436"/>
      <c r="Y170" s="1436"/>
      <c r="Z170" s="1436"/>
      <c r="AA170" s="1436"/>
      <c r="AB170" s="1436"/>
      <c r="AC170" s="1436"/>
      <c r="AD170" s="1436"/>
      <c r="AE170" s="1436"/>
      <c r="AF170" s="1436"/>
      <c r="AG170" s="1436"/>
      <c r="AH170" s="1436"/>
      <c r="AI170" s="1436"/>
    </row>
    <row r="171" ht="15.75" customHeight="1">
      <c r="A171" s="2079"/>
      <c r="B171" s="1436"/>
      <c r="C171" s="1436"/>
      <c r="D171" s="1436"/>
      <c r="E171" s="1436"/>
      <c r="F171" s="2079"/>
      <c r="G171" s="2079"/>
      <c r="H171" s="2079"/>
      <c r="I171" s="1436"/>
      <c r="J171" s="1436"/>
      <c r="K171" s="2079"/>
      <c r="L171" s="2079"/>
      <c r="M171" s="2079"/>
      <c r="N171" s="2079"/>
      <c r="O171" s="1436"/>
      <c r="P171" s="1436"/>
      <c r="Q171" s="1436"/>
      <c r="R171" s="1436"/>
      <c r="S171" s="2082"/>
      <c r="T171" s="2082"/>
      <c r="U171" s="2082"/>
      <c r="V171" s="1436"/>
      <c r="W171" s="1436"/>
      <c r="X171" s="1436"/>
      <c r="Y171" s="1436"/>
      <c r="Z171" s="1436"/>
      <c r="AA171" s="1436"/>
      <c r="AB171" s="1436"/>
      <c r="AC171" s="1436"/>
      <c r="AD171" s="1436"/>
      <c r="AE171" s="1436"/>
      <c r="AF171" s="1436"/>
      <c r="AG171" s="1436"/>
      <c r="AH171" s="1436"/>
      <c r="AI171" s="1436"/>
    </row>
    <row r="172" ht="15.75" customHeight="1">
      <c r="A172" s="2079"/>
      <c r="B172" s="1436"/>
      <c r="C172" s="1436"/>
      <c r="D172" s="1436"/>
      <c r="E172" s="1436"/>
      <c r="F172" s="2079"/>
      <c r="G172" s="2079"/>
      <c r="H172" s="2079"/>
      <c r="I172" s="1436"/>
      <c r="J172" s="1436"/>
      <c r="K172" s="2079"/>
      <c r="L172" s="2079"/>
      <c r="M172" s="2079"/>
      <c r="N172" s="2079"/>
      <c r="O172" s="1436"/>
      <c r="P172" s="1436"/>
      <c r="Q172" s="1436"/>
      <c r="R172" s="1436"/>
      <c r="S172" s="2082"/>
      <c r="T172" s="2082"/>
      <c r="U172" s="2082"/>
      <c r="V172" s="1436"/>
      <c r="W172" s="1436"/>
      <c r="X172" s="1436"/>
      <c r="Y172" s="1436"/>
      <c r="Z172" s="1436"/>
      <c r="AA172" s="1436"/>
      <c r="AB172" s="1436"/>
      <c r="AC172" s="1436"/>
      <c r="AD172" s="1436"/>
      <c r="AE172" s="1436"/>
      <c r="AF172" s="1436"/>
      <c r="AG172" s="1436"/>
      <c r="AH172" s="1436"/>
      <c r="AI172" s="1436"/>
    </row>
    <row r="173" ht="15.75" customHeight="1">
      <c r="A173" s="2079"/>
      <c r="B173" s="1436"/>
      <c r="C173" s="1436"/>
      <c r="D173" s="1436"/>
      <c r="E173" s="1436"/>
      <c r="F173" s="2079"/>
      <c r="G173" s="2079"/>
      <c r="H173" s="2079"/>
      <c r="I173" s="1436"/>
      <c r="J173" s="1436"/>
      <c r="K173" s="2079"/>
      <c r="L173" s="2079"/>
      <c r="M173" s="2079"/>
      <c r="N173" s="2079"/>
      <c r="O173" s="1436"/>
      <c r="P173" s="1436"/>
      <c r="Q173" s="1436"/>
      <c r="R173" s="1436"/>
      <c r="S173" s="2082"/>
      <c r="T173" s="2082"/>
      <c r="U173" s="2082"/>
      <c r="V173" s="1436"/>
      <c r="W173" s="1436"/>
      <c r="X173" s="1436"/>
      <c r="Y173" s="1436"/>
      <c r="Z173" s="1436"/>
      <c r="AA173" s="1436"/>
      <c r="AB173" s="1436"/>
      <c r="AC173" s="1436"/>
      <c r="AD173" s="1436"/>
      <c r="AE173" s="1436"/>
      <c r="AF173" s="1436"/>
      <c r="AG173" s="1436"/>
      <c r="AH173" s="1436"/>
      <c r="AI173" s="1436"/>
    </row>
    <row r="174" ht="15.75" customHeight="1">
      <c r="A174" s="2079"/>
      <c r="B174" s="1436"/>
      <c r="C174" s="1436"/>
      <c r="D174" s="1436"/>
      <c r="E174" s="1436"/>
      <c r="F174" s="2079"/>
      <c r="G174" s="2079"/>
      <c r="H174" s="2079"/>
      <c r="I174" s="1436"/>
      <c r="J174" s="1436"/>
      <c r="K174" s="2079"/>
      <c r="L174" s="2079"/>
      <c r="M174" s="2079"/>
      <c r="N174" s="2079"/>
      <c r="O174" s="1436"/>
      <c r="P174" s="1436"/>
      <c r="Q174" s="1436"/>
      <c r="R174" s="1436"/>
      <c r="S174" s="2082"/>
      <c r="T174" s="2082"/>
      <c r="U174" s="2082"/>
      <c r="V174" s="1436"/>
      <c r="W174" s="1436"/>
      <c r="X174" s="1436"/>
      <c r="Y174" s="1436"/>
      <c r="Z174" s="1436"/>
      <c r="AA174" s="1436"/>
      <c r="AB174" s="1436"/>
      <c r="AC174" s="1436"/>
      <c r="AD174" s="1436"/>
      <c r="AE174" s="1436"/>
      <c r="AF174" s="1436"/>
      <c r="AG174" s="1436"/>
      <c r="AH174" s="1436"/>
      <c r="AI174" s="1436"/>
    </row>
    <row r="175" ht="15.75" customHeight="1">
      <c r="A175" s="2079"/>
      <c r="B175" s="1436"/>
      <c r="C175" s="1436"/>
      <c r="D175" s="1436"/>
      <c r="E175" s="1436"/>
      <c r="F175" s="2079"/>
      <c r="G175" s="2079"/>
      <c r="H175" s="2079"/>
      <c r="I175" s="1436"/>
      <c r="J175" s="1436"/>
      <c r="K175" s="2079"/>
      <c r="L175" s="2079"/>
      <c r="M175" s="2079"/>
      <c r="N175" s="2079"/>
      <c r="O175" s="1436"/>
      <c r="P175" s="1436"/>
      <c r="Q175" s="1436"/>
      <c r="R175" s="1436"/>
      <c r="S175" s="2082"/>
      <c r="T175" s="2082"/>
      <c r="U175" s="2082"/>
      <c r="V175" s="1436"/>
      <c r="W175" s="1436"/>
      <c r="X175" s="1436"/>
      <c r="Y175" s="1436"/>
      <c r="Z175" s="1436"/>
      <c r="AA175" s="1436"/>
      <c r="AB175" s="1436"/>
      <c r="AC175" s="1436"/>
      <c r="AD175" s="1436"/>
      <c r="AE175" s="1436"/>
      <c r="AF175" s="1436"/>
      <c r="AG175" s="1436"/>
      <c r="AH175" s="1436"/>
      <c r="AI175" s="1436"/>
    </row>
    <row r="176" ht="15.75" customHeight="1">
      <c r="A176" s="2079"/>
      <c r="B176" s="1436"/>
      <c r="C176" s="1436"/>
      <c r="D176" s="1436"/>
      <c r="E176" s="1436"/>
      <c r="F176" s="2079"/>
      <c r="G176" s="2079"/>
      <c r="H176" s="2079"/>
      <c r="I176" s="1436"/>
      <c r="J176" s="1436"/>
      <c r="K176" s="2079"/>
      <c r="L176" s="2079"/>
      <c r="M176" s="2079"/>
      <c r="N176" s="2079"/>
      <c r="O176" s="1436"/>
      <c r="P176" s="1436"/>
      <c r="Q176" s="1436"/>
      <c r="R176" s="1436"/>
      <c r="S176" s="2082"/>
      <c r="T176" s="2082"/>
      <c r="U176" s="2082"/>
      <c r="V176" s="1436"/>
      <c r="W176" s="1436"/>
      <c r="X176" s="1436"/>
      <c r="Y176" s="1436"/>
      <c r="Z176" s="1436"/>
      <c r="AA176" s="1436"/>
      <c r="AB176" s="1436"/>
      <c r="AC176" s="1436"/>
      <c r="AD176" s="1436"/>
      <c r="AE176" s="1436"/>
      <c r="AF176" s="1436"/>
      <c r="AG176" s="1436"/>
      <c r="AH176" s="1436"/>
      <c r="AI176" s="1436"/>
    </row>
    <row r="177" ht="15.75" customHeight="1">
      <c r="A177" s="2079"/>
      <c r="B177" s="1436"/>
      <c r="C177" s="1436"/>
      <c r="D177" s="1436"/>
      <c r="E177" s="1436"/>
      <c r="F177" s="2079"/>
      <c r="G177" s="2079"/>
      <c r="H177" s="2079"/>
      <c r="I177" s="1436"/>
      <c r="J177" s="1436"/>
      <c r="K177" s="2079"/>
      <c r="L177" s="2079"/>
      <c r="M177" s="2079"/>
      <c r="N177" s="2079"/>
      <c r="O177" s="1436"/>
      <c r="P177" s="1436"/>
      <c r="Q177" s="1436"/>
      <c r="R177" s="1436"/>
      <c r="S177" s="2082"/>
      <c r="T177" s="2082"/>
      <c r="U177" s="2082"/>
      <c r="V177" s="1436"/>
      <c r="W177" s="1436"/>
      <c r="X177" s="1436"/>
      <c r="Y177" s="1436"/>
      <c r="Z177" s="1436"/>
      <c r="AA177" s="1436"/>
      <c r="AB177" s="1436"/>
      <c r="AC177" s="1436"/>
      <c r="AD177" s="1436"/>
      <c r="AE177" s="1436"/>
      <c r="AF177" s="1436"/>
      <c r="AG177" s="1436"/>
      <c r="AH177" s="1436"/>
      <c r="AI177" s="1436"/>
    </row>
    <row r="178" ht="15.75" customHeight="1">
      <c r="A178" s="2079"/>
      <c r="B178" s="1436"/>
      <c r="C178" s="1436"/>
      <c r="D178" s="1436"/>
      <c r="E178" s="1436"/>
      <c r="F178" s="2079"/>
      <c r="G178" s="2079"/>
      <c r="H178" s="2079"/>
      <c r="I178" s="1436"/>
      <c r="J178" s="1436"/>
      <c r="K178" s="2079"/>
      <c r="L178" s="2079"/>
      <c r="M178" s="2079"/>
      <c r="N178" s="2079"/>
      <c r="O178" s="1436"/>
      <c r="P178" s="1436"/>
      <c r="Q178" s="1436"/>
      <c r="R178" s="1436"/>
      <c r="S178" s="2082"/>
      <c r="T178" s="2082"/>
      <c r="U178" s="2082"/>
      <c r="V178" s="1436"/>
      <c r="W178" s="1436"/>
      <c r="X178" s="1436"/>
      <c r="Y178" s="1436"/>
      <c r="Z178" s="1436"/>
      <c r="AA178" s="1436"/>
      <c r="AB178" s="1436"/>
      <c r="AC178" s="1436"/>
      <c r="AD178" s="1436"/>
      <c r="AE178" s="1436"/>
      <c r="AF178" s="1436"/>
      <c r="AG178" s="1436"/>
      <c r="AH178" s="1436"/>
      <c r="AI178" s="1436"/>
    </row>
    <row r="179" ht="15.75" customHeight="1">
      <c r="A179" s="2079"/>
      <c r="B179" s="1436"/>
      <c r="C179" s="1436"/>
      <c r="D179" s="1436"/>
      <c r="E179" s="1436"/>
      <c r="F179" s="2079"/>
      <c r="G179" s="2079"/>
      <c r="H179" s="2079"/>
      <c r="I179" s="1436"/>
      <c r="J179" s="1436"/>
      <c r="K179" s="2079"/>
      <c r="L179" s="2079"/>
      <c r="M179" s="2079"/>
      <c r="N179" s="2079"/>
      <c r="O179" s="1436"/>
      <c r="P179" s="1436"/>
      <c r="Q179" s="1436"/>
      <c r="R179" s="1436"/>
      <c r="S179" s="2082"/>
      <c r="T179" s="2082"/>
      <c r="U179" s="2082"/>
      <c r="V179" s="1436"/>
      <c r="W179" s="1436"/>
      <c r="X179" s="1436"/>
      <c r="Y179" s="1436"/>
      <c r="Z179" s="1436"/>
      <c r="AA179" s="1436"/>
      <c r="AB179" s="1436"/>
      <c r="AC179" s="1436"/>
      <c r="AD179" s="1436"/>
      <c r="AE179" s="1436"/>
      <c r="AF179" s="1436"/>
      <c r="AG179" s="1436"/>
      <c r="AH179" s="1436"/>
      <c r="AI179" s="1436"/>
    </row>
    <row r="180" ht="15.75" customHeight="1">
      <c r="A180" s="2079"/>
      <c r="B180" s="1436"/>
      <c r="C180" s="1436"/>
      <c r="D180" s="1436"/>
      <c r="E180" s="1436"/>
      <c r="F180" s="2079"/>
      <c r="G180" s="2079"/>
      <c r="H180" s="2079"/>
      <c r="I180" s="1436"/>
      <c r="J180" s="1436"/>
      <c r="K180" s="2079"/>
      <c r="L180" s="2079"/>
      <c r="M180" s="2079"/>
      <c r="N180" s="2079"/>
      <c r="O180" s="1436"/>
      <c r="P180" s="1436"/>
      <c r="Q180" s="1436"/>
      <c r="R180" s="1436"/>
      <c r="S180" s="2082"/>
      <c r="T180" s="2082"/>
      <c r="U180" s="2082"/>
      <c r="V180" s="1436"/>
      <c r="W180" s="1436"/>
      <c r="X180" s="1436"/>
      <c r="Y180" s="1436"/>
      <c r="Z180" s="1436"/>
      <c r="AA180" s="1436"/>
      <c r="AB180" s="1436"/>
      <c r="AC180" s="1436"/>
      <c r="AD180" s="1436"/>
      <c r="AE180" s="1436"/>
      <c r="AF180" s="1436"/>
      <c r="AG180" s="1436"/>
      <c r="AH180" s="1436"/>
      <c r="AI180" s="1436"/>
    </row>
    <row r="181" ht="15.75" customHeight="1">
      <c r="A181" s="2079"/>
      <c r="B181" s="1436"/>
      <c r="C181" s="1436"/>
      <c r="D181" s="1436"/>
      <c r="E181" s="1436"/>
      <c r="F181" s="2079"/>
      <c r="G181" s="2079"/>
      <c r="H181" s="2079"/>
      <c r="I181" s="1436"/>
      <c r="J181" s="1436"/>
      <c r="K181" s="2079"/>
      <c r="L181" s="2079"/>
      <c r="M181" s="2079"/>
      <c r="N181" s="2079"/>
      <c r="O181" s="1436"/>
      <c r="P181" s="1436"/>
      <c r="Q181" s="1436"/>
      <c r="R181" s="1436"/>
      <c r="S181" s="2082"/>
      <c r="T181" s="2082"/>
      <c r="U181" s="2082"/>
      <c r="V181" s="1436"/>
      <c r="W181" s="1436"/>
      <c r="X181" s="1436"/>
      <c r="Y181" s="1436"/>
      <c r="Z181" s="1436"/>
      <c r="AA181" s="1436"/>
      <c r="AB181" s="1436"/>
      <c r="AC181" s="1436"/>
      <c r="AD181" s="1436"/>
      <c r="AE181" s="1436"/>
      <c r="AF181" s="1436"/>
      <c r="AG181" s="1436"/>
      <c r="AH181" s="1436"/>
      <c r="AI181" s="1436"/>
    </row>
    <row r="182" ht="15.75" customHeight="1">
      <c r="A182" s="2079"/>
      <c r="B182" s="1436"/>
      <c r="C182" s="1436"/>
      <c r="D182" s="1436"/>
      <c r="E182" s="1436"/>
      <c r="F182" s="2079"/>
      <c r="G182" s="2079"/>
      <c r="H182" s="2079"/>
      <c r="I182" s="1436"/>
      <c r="J182" s="1436"/>
      <c r="K182" s="2079"/>
      <c r="L182" s="2079"/>
      <c r="M182" s="2079"/>
      <c r="N182" s="2079"/>
      <c r="O182" s="1436"/>
      <c r="P182" s="1436"/>
      <c r="Q182" s="1436"/>
      <c r="R182" s="1436"/>
      <c r="S182" s="2082"/>
      <c r="T182" s="2082"/>
      <c r="U182" s="2082"/>
      <c r="V182" s="1436"/>
      <c r="W182" s="1436"/>
      <c r="X182" s="1436"/>
      <c r="Y182" s="1436"/>
      <c r="Z182" s="1436"/>
      <c r="AA182" s="1436"/>
      <c r="AB182" s="1436"/>
      <c r="AC182" s="1436"/>
      <c r="AD182" s="1436"/>
      <c r="AE182" s="1436"/>
      <c r="AF182" s="1436"/>
      <c r="AG182" s="1436"/>
      <c r="AH182" s="1436"/>
      <c r="AI182" s="1436"/>
    </row>
    <row r="183" ht="15.75" customHeight="1">
      <c r="A183" s="2079"/>
      <c r="B183" s="1436"/>
      <c r="C183" s="1436"/>
      <c r="D183" s="1436"/>
      <c r="E183" s="1436"/>
      <c r="F183" s="2079"/>
      <c r="G183" s="2079"/>
      <c r="H183" s="2079"/>
      <c r="I183" s="1436"/>
      <c r="J183" s="1436"/>
      <c r="K183" s="2079"/>
      <c r="L183" s="2079"/>
      <c r="M183" s="2079"/>
      <c r="N183" s="2079"/>
      <c r="O183" s="1436"/>
      <c r="P183" s="1436"/>
      <c r="Q183" s="1436"/>
      <c r="R183" s="1436"/>
      <c r="S183" s="2082"/>
      <c r="T183" s="2082"/>
      <c r="U183" s="2082"/>
      <c r="V183" s="1436"/>
      <c r="W183" s="1436"/>
      <c r="X183" s="1436"/>
      <c r="Y183" s="1436"/>
      <c r="Z183" s="1436"/>
      <c r="AA183" s="1436"/>
      <c r="AB183" s="1436"/>
      <c r="AC183" s="1436"/>
      <c r="AD183" s="1436"/>
      <c r="AE183" s="1436"/>
      <c r="AF183" s="1436"/>
      <c r="AG183" s="1436"/>
      <c r="AH183" s="1436"/>
      <c r="AI183" s="1436"/>
    </row>
    <row r="184" ht="15.75" customHeight="1">
      <c r="A184" s="2079"/>
      <c r="B184" s="1436"/>
      <c r="C184" s="1436"/>
      <c r="D184" s="1436"/>
      <c r="E184" s="1436"/>
      <c r="F184" s="2079"/>
      <c r="G184" s="2079"/>
      <c r="H184" s="2079"/>
      <c r="I184" s="1436"/>
      <c r="J184" s="1436"/>
      <c r="K184" s="2079"/>
      <c r="L184" s="2079"/>
      <c r="M184" s="2079"/>
      <c r="N184" s="2079"/>
      <c r="O184" s="1436"/>
      <c r="P184" s="1436"/>
      <c r="Q184" s="1436"/>
      <c r="R184" s="1436"/>
      <c r="S184" s="2082"/>
      <c r="T184" s="2082"/>
      <c r="U184" s="2082"/>
      <c r="V184" s="1436"/>
      <c r="W184" s="1436"/>
      <c r="X184" s="1436"/>
      <c r="Y184" s="1436"/>
      <c r="Z184" s="1436"/>
      <c r="AA184" s="1436"/>
      <c r="AB184" s="1436"/>
      <c r="AC184" s="1436"/>
      <c r="AD184" s="1436"/>
      <c r="AE184" s="1436"/>
      <c r="AF184" s="1436"/>
      <c r="AG184" s="1436"/>
      <c r="AH184" s="1436"/>
      <c r="AI184" s="1436"/>
    </row>
    <row r="185" ht="15.75" customHeight="1">
      <c r="A185" s="2079"/>
      <c r="B185" s="1436"/>
      <c r="C185" s="1436"/>
      <c r="D185" s="1436"/>
      <c r="E185" s="1436"/>
      <c r="F185" s="2079"/>
      <c r="G185" s="2079"/>
      <c r="H185" s="2079"/>
      <c r="I185" s="1436"/>
      <c r="J185" s="1436"/>
      <c r="K185" s="2079"/>
      <c r="L185" s="2079"/>
      <c r="M185" s="2079"/>
      <c r="N185" s="2079"/>
      <c r="O185" s="1436"/>
      <c r="P185" s="1436"/>
      <c r="Q185" s="1436"/>
      <c r="R185" s="1436"/>
      <c r="S185" s="2082"/>
      <c r="T185" s="2082"/>
      <c r="U185" s="2082"/>
      <c r="V185" s="1436"/>
      <c r="W185" s="1436"/>
      <c r="X185" s="1436"/>
      <c r="Y185" s="1436"/>
      <c r="Z185" s="1436"/>
      <c r="AA185" s="1436"/>
      <c r="AB185" s="1436"/>
      <c r="AC185" s="1436"/>
      <c r="AD185" s="1436"/>
      <c r="AE185" s="1436"/>
      <c r="AF185" s="1436"/>
      <c r="AG185" s="1436"/>
      <c r="AH185" s="1436"/>
      <c r="AI185" s="1436"/>
    </row>
    <row r="186" ht="15.75" customHeight="1">
      <c r="A186" s="2079"/>
      <c r="B186" s="1436"/>
      <c r="C186" s="1436"/>
      <c r="D186" s="1436"/>
      <c r="E186" s="1436"/>
      <c r="F186" s="2079"/>
      <c r="G186" s="2079"/>
      <c r="H186" s="2079"/>
      <c r="I186" s="1436"/>
      <c r="J186" s="1436"/>
      <c r="K186" s="2079"/>
      <c r="L186" s="2079"/>
      <c r="M186" s="2079"/>
      <c r="N186" s="2079"/>
      <c r="O186" s="1436"/>
      <c r="P186" s="1436"/>
      <c r="Q186" s="1436"/>
      <c r="R186" s="1436"/>
      <c r="S186" s="2082"/>
      <c r="T186" s="2082"/>
      <c r="U186" s="2082"/>
      <c r="V186" s="1436"/>
      <c r="W186" s="1436"/>
      <c r="X186" s="1436"/>
      <c r="Y186" s="1436"/>
      <c r="Z186" s="1436"/>
      <c r="AA186" s="1436"/>
      <c r="AB186" s="1436"/>
      <c r="AC186" s="1436"/>
      <c r="AD186" s="1436"/>
      <c r="AE186" s="1436"/>
      <c r="AF186" s="1436"/>
      <c r="AG186" s="1436"/>
      <c r="AH186" s="1436"/>
      <c r="AI186" s="1436"/>
    </row>
    <row r="187" ht="15.75" customHeight="1">
      <c r="A187" s="2079"/>
      <c r="B187" s="1436"/>
      <c r="C187" s="1436"/>
      <c r="D187" s="1436"/>
      <c r="E187" s="1436"/>
      <c r="F187" s="2079"/>
      <c r="G187" s="2079"/>
      <c r="H187" s="2079"/>
      <c r="I187" s="1436"/>
      <c r="J187" s="1436"/>
      <c r="K187" s="2079"/>
      <c r="L187" s="2079"/>
      <c r="M187" s="2079"/>
      <c r="N187" s="2079"/>
      <c r="O187" s="1436"/>
      <c r="P187" s="1436"/>
      <c r="Q187" s="1436"/>
      <c r="R187" s="1436"/>
      <c r="S187" s="2082"/>
      <c r="T187" s="2082"/>
      <c r="U187" s="2082"/>
      <c r="V187" s="1436"/>
      <c r="W187" s="1436"/>
      <c r="X187" s="1436"/>
      <c r="Y187" s="1436"/>
      <c r="Z187" s="1436"/>
      <c r="AA187" s="1436"/>
      <c r="AB187" s="1436"/>
      <c r="AC187" s="1436"/>
      <c r="AD187" s="1436"/>
      <c r="AE187" s="1436"/>
      <c r="AF187" s="1436"/>
      <c r="AG187" s="1436"/>
      <c r="AH187" s="1436"/>
      <c r="AI187" s="1436"/>
    </row>
    <row r="188" ht="15.75" customHeight="1">
      <c r="A188" s="2079"/>
      <c r="B188" s="1436"/>
      <c r="C188" s="1436"/>
      <c r="D188" s="1436"/>
      <c r="E188" s="1436"/>
      <c r="F188" s="2079"/>
      <c r="G188" s="2079"/>
      <c r="H188" s="2079"/>
      <c r="I188" s="1436"/>
      <c r="J188" s="1436"/>
      <c r="K188" s="2079"/>
      <c r="L188" s="2079"/>
      <c r="M188" s="2079"/>
      <c r="N188" s="2079"/>
      <c r="O188" s="1436"/>
      <c r="P188" s="1436"/>
      <c r="Q188" s="1436"/>
      <c r="R188" s="1436"/>
      <c r="S188" s="2082"/>
      <c r="T188" s="2082"/>
      <c r="U188" s="2082"/>
      <c r="V188" s="1436"/>
      <c r="W188" s="1436"/>
      <c r="X188" s="1436"/>
      <c r="Y188" s="1436"/>
      <c r="Z188" s="1436"/>
      <c r="AA188" s="1436"/>
      <c r="AB188" s="1436"/>
      <c r="AC188" s="1436"/>
      <c r="AD188" s="1436"/>
      <c r="AE188" s="1436"/>
      <c r="AF188" s="1436"/>
      <c r="AG188" s="1436"/>
      <c r="AH188" s="1436"/>
      <c r="AI188" s="1436"/>
    </row>
    <row r="189" ht="15.75" customHeight="1">
      <c r="A189" s="2079"/>
      <c r="B189" s="1436"/>
      <c r="C189" s="1436"/>
      <c r="D189" s="1436"/>
      <c r="E189" s="1436"/>
      <c r="F189" s="2079"/>
      <c r="G189" s="2079"/>
      <c r="H189" s="2079"/>
      <c r="I189" s="1436"/>
      <c r="J189" s="1436"/>
      <c r="K189" s="2079"/>
      <c r="L189" s="2079"/>
      <c r="M189" s="2079"/>
      <c r="N189" s="2079"/>
      <c r="O189" s="1436"/>
      <c r="P189" s="1436"/>
      <c r="Q189" s="1436"/>
      <c r="R189" s="1436"/>
      <c r="S189" s="2082"/>
      <c r="T189" s="2082"/>
      <c r="U189" s="2082"/>
      <c r="V189" s="1436"/>
      <c r="W189" s="1436"/>
      <c r="X189" s="1436"/>
      <c r="Y189" s="1436"/>
      <c r="Z189" s="1436"/>
      <c r="AA189" s="1436"/>
      <c r="AB189" s="1436"/>
      <c r="AC189" s="1436"/>
      <c r="AD189" s="1436"/>
      <c r="AE189" s="1436"/>
      <c r="AF189" s="1436"/>
      <c r="AG189" s="1436"/>
      <c r="AH189" s="1436"/>
      <c r="AI189" s="1436"/>
    </row>
    <row r="190" ht="15.75" customHeight="1">
      <c r="A190" s="2079"/>
      <c r="B190" s="1436"/>
      <c r="C190" s="1436"/>
      <c r="D190" s="1436"/>
      <c r="E190" s="1436"/>
      <c r="F190" s="2079"/>
      <c r="G190" s="2079"/>
      <c r="H190" s="2079"/>
      <c r="I190" s="1436"/>
      <c r="J190" s="1436"/>
      <c r="K190" s="2079"/>
      <c r="L190" s="2079"/>
      <c r="M190" s="2079"/>
      <c r="N190" s="2079"/>
      <c r="O190" s="1436"/>
      <c r="P190" s="1436"/>
      <c r="Q190" s="1436"/>
      <c r="R190" s="1436"/>
      <c r="S190" s="2082"/>
      <c r="T190" s="2082"/>
      <c r="U190" s="2082"/>
      <c r="V190" s="1436"/>
      <c r="W190" s="1436"/>
      <c r="X190" s="1436"/>
      <c r="Y190" s="1436"/>
      <c r="Z190" s="1436"/>
      <c r="AA190" s="1436"/>
      <c r="AB190" s="1436"/>
      <c r="AC190" s="1436"/>
      <c r="AD190" s="1436"/>
      <c r="AE190" s="1436"/>
      <c r="AF190" s="1436"/>
      <c r="AG190" s="1436"/>
      <c r="AH190" s="1436"/>
      <c r="AI190" s="1436"/>
    </row>
    <row r="191" ht="15.75" customHeight="1">
      <c r="A191" s="2079"/>
      <c r="B191" s="1436"/>
      <c r="C191" s="1436"/>
      <c r="D191" s="1436"/>
      <c r="E191" s="1436"/>
      <c r="F191" s="2079"/>
      <c r="G191" s="2079"/>
      <c r="H191" s="2079"/>
      <c r="I191" s="1436"/>
      <c r="J191" s="1436"/>
      <c r="K191" s="2079"/>
      <c r="L191" s="2079"/>
      <c r="M191" s="2079"/>
      <c r="N191" s="2079"/>
      <c r="O191" s="1436"/>
      <c r="P191" s="1436"/>
      <c r="Q191" s="1436"/>
      <c r="R191" s="1436"/>
      <c r="S191" s="2082"/>
      <c r="T191" s="2082"/>
      <c r="U191" s="2082"/>
      <c r="V191" s="1436"/>
      <c r="W191" s="1436"/>
      <c r="X191" s="1436"/>
      <c r="Y191" s="1436"/>
      <c r="Z191" s="1436"/>
      <c r="AA191" s="1436"/>
      <c r="AB191" s="1436"/>
      <c r="AC191" s="1436"/>
      <c r="AD191" s="1436"/>
      <c r="AE191" s="1436"/>
      <c r="AF191" s="1436"/>
      <c r="AG191" s="1436"/>
      <c r="AH191" s="1436"/>
      <c r="AI191" s="1436"/>
    </row>
    <row r="192" ht="15.75" customHeight="1">
      <c r="A192" s="2079"/>
      <c r="B192" s="1436"/>
      <c r="C192" s="1436"/>
      <c r="D192" s="1436"/>
      <c r="E192" s="1436"/>
      <c r="F192" s="2079"/>
      <c r="G192" s="2079"/>
      <c r="H192" s="2079"/>
      <c r="I192" s="1436"/>
      <c r="J192" s="1436"/>
      <c r="K192" s="2079"/>
      <c r="L192" s="2079"/>
      <c r="M192" s="2079"/>
      <c r="N192" s="2079"/>
      <c r="O192" s="1436"/>
      <c r="P192" s="1436"/>
      <c r="Q192" s="1436"/>
      <c r="R192" s="1436"/>
      <c r="S192" s="2082"/>
      <c r="T192" s="2082"/>
      <c r="U192" s="2082"/>
      <c r="V192" s="1436"/>
      <c r="W192" s="1436"/>
      <c r="X192" s="1436"/>
      <c r="Y192" s="1436"/>
      <c r="Z192" s="1436"/>
      <c r="AA192" s="1436"/>
      <c r="AB192" s="1436"/>
      <c r="AC192" s="1436"/>
      <c r="AD192" s="1436"/>
      <c r="AE192" s="1436"/>
      <c r="AF192" s="1436"/>
      <c r="AG192" s="1436"/>
      <c r="AH192" s="1436"/>
      <c r="AI192" s="1436"/>
    </row>
    <row r="193" ht="15.75" customHeight="1">
      <c r="A193" s="2079"/>
      <c r="B193" s="1436"/>
      <c r="C193" s="1436"/>
      <c r="D193" s="1436"/>
      <c r="E193" s="1436"/>
      <c r="F193" s="2079"/>
      <c r="G193" s="2079"/>
      <c r="H193" s="2079"/>
      <c r="I193" s="1436"/>
      <c r="J193" s="1436"/>
      <c r="K193" s="2079"/>
      <c r="L193" s="2079"/>
      <c r="M193" s="2079"/>
      <c r="N193" s="2079"/>
      <c r="O193" s="1436"/>
      <c r="P193" s="1436"/>
      <c r="Q193" s="1436"/>
      <c r="R193" s="1436"/>
      <c r="S193" s="2082"/>
      <c r="T193" s="2082"/>
      <c r="U193" s="2082"/>
      <c r="V193" s="1436"/>
      <c r="W193" s="1436"/>
      <c r="X193" s="1436"/>
      <c r="Y193" s="1436"/>
      <c r="Z193" s="1436"/>
      <c r="AA193" s="1436"/>
      <c r="AB193" s="1436"/>
      <c r="AC193" s="1436"/>
      <c r="AD193" s="1436"/>
      <c r="AE193" s="1436"/>
      <c r="AF193" s="1436"/>
      <c r="AG193" s="1436"/>
      <c r="AH193" s="1436"/>
      <c r="AI193" s="1436"/>
    </row>
    <row r="194" ht="15.75" customHeight="1">
      <c r="A194" s="2079"/>
      <c r="B194" s="1436"/>
      <c r="C194" s="1436"/>
      <c r="D194" s="1436"/>
      <c r="E194" s="1436"/>
      <c r="F194" s="2079"/>
      <c r="G194" s="2079"/>
      <c r="H194" s="2079"/>
      <c r="I194" s="1436"/>
      <c r="J194" s="1436"/>
      <c r="K194" s="2079"/>
      <c r="L194" s="2079"/>
      <c r="M194" s="2079"/>
      <c r="N194" s="2079"/>
      <c r="O194" s="1436"/>
      <c r="P194" s="1436"/>
      <c r="Q194" s="1436"/>
      <c r="R194" s="1436"/>
      <c r="S194" s="2082"/>
      <c r="T194" s="2082"/>
      <c r="U194" s="2082"/>
      <c r="V194" s="1436"/>
      <c r="W194" s="1436"/>
      <c r="X194" s="1436"/>
      <c r="Y194" s="1436"/>
      <c r="Z194" s="1436"/>
      <c r="AA194" s="1436"/>
      <c r="AB194" s="1436"/>
      <c r="AC194" s="1436"/>
      <c r="AD194" s="1436"/>
      <c r="AE194" s="1436"/>
      <c r="AF194" s="1436"/>
      <c r="AG194" s="1436"/>
      <c r="AH194" s="1436"/>
      <c r="AI194" s="1436"/>
    </row>
    <row r="195" ht="15.75" customHeight="1">
      <c r="A195" s="2079"/>
      <c r="B195" s="1436"/>
      <c r="C195" s="1436"/>
      <c r="D195" s="1436"/>
      <c r="E195" s="1436"/>
      <c r="F195" s="2079"/>
      <c r="G195" s="2079"/>
      <c r="H195" s="2079"/>
      <c r="I195" s="1436"/>
      <c r="J195" s="1436"/>
      <c r="K195" s="2079"/>
      <c r="L195" s="2079"/>
      <c r="M195" s="2079"/>
      <c r="N195" s="2079"/>
      <c r="O195" s="1436"/>
      <c r="P195" s="1436"/>
      <c r="Q195" s="1436"/>
      <c r="R195" s="1436"/>
      <c r="S195" s="2082"/>
      <c r="T195" s="2082"/>
      <c r="U195" s="2082"/>
      <c r="V195" s="1436"/>
      <c r="W195" s="1436"/>
      <c r="X195" s="1436"/>
      <c r="Y195" s="1436"/>
      <c r="Z195" s="1436"/>
      <c r="AA195" s="1436"/>
      <c r="AB195" s="1436"/>
      <c r="AC195" s="1436"/>
      <c r="AD195" s="1436"/>
      <c r="AE195" s="1436"/>
      <c r="AF195" s="1436"/>
      <c r="AG195" s="1436"/>
      <c r="AH195" s="1436"/>
      <c r="AI195" s="1436"/>
    </row>
    <row r="196" ht="15.75" customHeight="1">
      <c r="A196" s="2079"/>
      <c r="B196" s="1436"/>
      <c r="C196" s="1436"/>
      <c r="D196" s="1436"/>
      <c r="E196" s="1436"/>
      <c r="F196" s="2079"/>
      <c r="G196" s="2079"/>
      <c r="H196" s="2079"/>
      <c r="I196" s="1436"/>
      <c r="J196" s="1436"/>
      <c r="K196" s="2079"/>
      <c r="L196" s="2079"/>
      <c r="M196" s="2079"/>
      <c r="N196" s="2079"/>
      <c r="O196" s="1436"/>
      <c r="P196" s="1436"/>
      <c r="Q196" s="1436"/>
      <c r="R196" s="1436"/>
      <c r="S196" s="2082"/>
      <c r="T196" s="2082"/>
      <c r="U196" s="2082"/>
      <c r="V196" s="1436"/>
      <c r="W196" s="1436"/>
      <c r="X196" s="1436"/>
      <c r="Y196" s="1436"/>
      <c r="Z196" s="1436"/>
      <c r="AA196" s="1436"/>
      <c r="AB196" s="1436"/>
      <c r="AC196" s="1436"/>
      <c r="AD196" s="1436"/>
      <c r="AE196" s="1436"/>
      <c r="AF196" s="1436"/>
      <c r="AG196" s="1436"/>
      <c r="AH196" s="1436"/>
      <c r="AI196" s="1436"/>
    </row>
    <row r="197" ht="15.75" customHeight="1">
      <c r="A197" s="2079"/>
      <c r="B197" s="1436"/>
      <c r="C197" s="1436"/>
      <c r="D197" s="1436"/>
      <c r="E197" s="1436"/>
      <c r="F197" s="2079"/>
      <c r="G197" s="2079"/>
      <c r="H197" s="2079"/>
      <c r="I197" s="1436"/>
      <c r="J197" s="1436"/>
      <c r="K197" s="2079"/>
      <c r="L197" s="2079"/>
      <c r="M197" s="2079"/>
      <c r="N197" s="2079"/>
      <c r="O197" s="1436"/>
      <c r="P197" s="1436"/>
      <c r="Q197" s="1436"/>
      <c r="R197" s="1436"/>
      <c r="S197" s="2082"/>
      <c r="T197" s="2082"/>
      <c r="U197" s="2082"/>
      <c r="V197" s="1436"/>
      <c r="W197" s="1436"/>
      <c r="X197" s="1436"/>
      <c r="Y197" s="1436"/>
      <c r="Z197" s="1436"/>
      <c r="AA197" s="1436"/>
      <c r="AB197" s="1436"/>
      <c r="AC197" s="1436"/>
      <c r="AD197" s="1436"/>
      <c r="AE197" s="1436"/>
      <c r="AF197" s="1436"/>
      <c r="AG197" s="1436"/>
      <c r="AH197" s="1436"/>
      <c r="AI197" s="1436"/>
    </row>
    <row r="198" ht="15.75" customHeight="1">
      <c r="A198" s="2079"/>
      <c r="B198" s="1436"/>
      <c r="C198" s="1436"/>
      <c r="D198" s="1436"/>
      <c r="E198" s="1436"/>
      <c r="F198" s="2079"/>
      <c r="G198" s="2079"/>
      <c r="H198" s="2079"/>
      <c r="I198" s="1436"/>
      <c r="J198" s="1436"/>
      <c r="K198" s="2079"/>
      <c r="L198" s="2079"/>
      <c r="M198" s="2079"/>
      <c r="N198" s="2079"/>
      <c r="O198" s="1436"/>
      <c r="P198" s="1436"/>
      <c r="Q198" s="1436"/>
      <c r="R198" s="1436"/>
      <c r="S198" s="2082"/>
      <c r="T198" s="2082"/>
      <c r="U198" s="2082"/>
      <c r="V198" s="1436"/>
      <c r="W198" s="1436"/>
      <c r="X198" s="1436"/>
      <c r="Y198" s="1436"/>
      <c r="Z198" s="1436"/>
      <c r="AA198" s="1436"/>
      <c r="AB198" s="1436"/>
      <c r="AC198" s="1436"/>
      <c r="AD198" s="1436"/>
      <c r="AE198" s="1436"/>
      <c r="AF198" s="1436"/>
      <c r="AG198" s="1436"/>
      <c r="AH198" s="1436"/>
      <c r="AI198" s="1436"/>
    </row>
    <row r="199" ht="15.75" customHeight="1">
      <c r="A199" s="2079"/>
      <c r="B199" s="1436"/>
      <c r="C199" s="1436"/>
      <c r="D199" s="1436"/>
      <c r="E199" s="1436"/>
      <c r="F199" s="2079"/>
      <c r="G199" s="2079"/>
      <c r="H199" s="2079"/>
      <c r="I199" s="1436"/>
      <c r="J199" s="1436"/>
      <c r="K199" s="2079"/>
      <c r="L199" s="2079"/>
      <c r="M199" s="2079"/>
      <c r="N199" s="2079"/>
      <c r="O199" s="1436"/>
      <c r="P199" s="1436"/>
      <c r="Q199" s="1436"/>
      <c r="R199" s="1436"/>
      <c r="S199" s="2082"/>
      <c r="T199" s="2082"/>
      <c r="U199" s="2082"/>
      <c r="V199" s="1436"/>
      <c r="W199" s="1436"/>
      <c r="X199" s="1436"/>
      <c r="Y199" s="1436"/>
      <c r="Z199" s="1436"/>
      <c r="AA199" s="1436"/>
      <c r="AB199" s="1436"/>
      <c r="AC199" s="1436"/>
      <c r="AD199" s="1436"/>
      <c r="AE199" s="1436"/>
      <c r="AF199" s="1436"/>
      <c r="AG199" s="1436"/>
      <c r="AH199" s="1436"/>
      <c r="AI199" s="1436"/>
    </row>
    <row r="200" ht="15.75" customHeight="1">
      <c r="A200" s="2079"/>
      <c r="B200" s="1436"/>
      <c r="C200" s="1436"/>
      <c r="D200" s="1436"/>
      <c r="E200" s="1436"/>
      <c r="F200" s="2079"/>
      <c r="G200" s="2079"/>
      <c r="H200" s="2079"/>
      <c r="I200" s="1436"/>
      <c r="J200" s="1436"/>
      <c r="K200" s="2079"/>
      <c r="L200" s="2079"/>
      <c r="M200" s="2079"/>
      <c r="N200" s="2079"/>
      <c r="O200" s="1436"/>
      <c r="P200" s="1436"/>
      <c r="Q200" s="1436"/>
      <c r="R200" s="1436"/>
      <c r="S200" s="2082"/>
      <c r="T200" s="2082"/>
      <c r="U200" s="2082"/>
      <c r="V200" s="1436"/>
      <c r="W200" s="1436"/>
      <c r="X200" s="1436"/>
      <c r="Y200" s="1436"/>
      <c r="Z200" s="1436"/>
      <c r="AA200" s="1436"/>
      <c r="AB200" s="1436"/>
      <c r="AC200" s="1436"/>
      <c r="AD200" s="1436"/>
      <c r="AE200" s="1436"/>
      <c r="AF200" s="1436"/>
      <c r="AG200" s="1436"/>
      <c r="AH200" s="1436"/>
      <c r="AI200" s="1436"/>
    </row>
    <row r="201" ht="15.75" customHeight="1">
      <c r="A201" s="2079"/>
      <c r="B201" s="1436"/>
      <c r="C201" s="1436"/>
      <c r="D201" s="1436"/>
      <c r="E201" s="1436"/>
      <c r="F201" s="2079"/>
      <c r="G201" s="2079"/>
      <c r="H201" s="2079"/>
      <c r="I201" s="1436"/>
      <c r="J201" s="1436"/>
      <c r="K201" s="2079"/>
      <c r="L201" s="2079"/>
      <c r="M201" s="2079"/>
      <c r="N201" s="2079"/>
      <c r="O201" s="1436"/>
      <c r="P201" s="1436"/>
      <c r="Q201" s="1436"/>
      <c r="R201" s="1436"/>
      <c r="S201" s="2082"/>
      <c r="T201" s="2082"/>
      <c r="U201" s="2082"/>
      <c r="V201" s="1436"/>
      <c r="W201" s="1436"/>
      <c r="X201" s="1436"/>
      <c r="Y201" s="1436"/>
      <c r="Z201" s="1436"/>
      <c r="AA201" s="1436"/>
      <c r="AB201" s="1436"/>
      <c r="AC201" s="1436"/>
      <c r="AD201" s="1436"/>
      <c r="AE201" s="1436"/>
      <c r="AF201" s="1436"/>
      <c r="AG201" s="1436"/>
      <c r="AH201" s="1436"/>
      <c r="AI201" s="1436"/>
    </row>
    <row r="202" ht="15.75" customHeight="1">
      <c r="A202" s="2079"/>
      <c r="B202" s="1436"/>
      <c r="C202" s="1436"/>
      <c r="D202" s="1436"/>
      <c r="E202" s="1436"/>
      <c r="F202" s="2079"/>
      <c r="G202" s="2079"/>
      <c r="H202" s="2079"/>
      <c r="I202" s="1436"/>
      <c r="J202" s="1436"/>
      <c r="K202" s="2079"/>
      <c r="L202" s="2079"/>
      <c r="M202" s="2079"/>
      <c r="N202" s="2079"/>
      <c r="O202" s="1436"/>
      <c r="P202" s="1436"/>
      <c r="Q202" s="1436"/>
      <c r="R202" s="1436"/>
      <c r="S202" s="2082"/>
      <c r="T202" s="2082"/>
      <c r="U202" s="2082"/>
      <c r="V202" s="1436"/>
      <c r="W202" s="1436"/>
      <c r="X202" s="1436"/>
      <c r="Y202" s="1436"/>
      <c r="Z202" s="1436"/>
      <c r="AA202" s="1436"/>
      <c r="AB202" s="1436"/>
      <c r="AC202" s="1436"/>
      <c r="AD202" s="1436"/>
      <c r="AE202" s="1436"/>
      <c r="AF202" s="1436"/>
      <c r="AG202" s="1436"/>
      <c r="AH202" s="1436"/>
      <c r="AI202" s="1436"/>
    </row>
    <row r="203" ht="15.75" customHeight="1">
      <c r="A203" s="2079"/>
      <c r="B203" s="1436"/>
      <c r="C203" s="1436"/>
      <c r="D203" s="1436"/>
      <c r="E203" s="1436"/>
      <c r="F203" s="2079"/>
      <c r="G203" s="2079"/>
      <c r="H203" s="2079"/>
      <c r="I203" s="1436"/>
      <c r="J203" s="1436"/>
      <c r="K203" s="2079"/>
      <c r="L203" s="2079"/>
      <c r="M203" s="2079"/>
      <c r="N203" s="2079"/>
      <c r="O203" s="1436"/>
      <c r="P203" s="1436"/>
      <c r="Q203" s="1436"/>
      <c r="R203" s="1436"/>
      <c r="S203" s="2082"/>
      <c r="T203" s="2082"/>
      <c r="U203" s="2082"/>
      <c r="V203" s="1436"/>
      <c r="W203" s="1436"/>
      <c r="X203" s="1436"/>
      <c r="Y203" s="1436"/>
      <c r="Z203" s="1436"/>
      <c r="AA203" s="1436"/>
      <c r="AB203" s="1436"/>
      <c r="AC203" s="1436"/>
      <c r="AD203" s="1436"/>
      <c r="AE203" s="1436"/>
      <c r="AF203" s="1436"/>
      <c r="AG203" s="1436"/>
      <c r="AH203" s="1436"/>
      <c r="AI203" s="1436"/>
    </row>
    <row r="204" ht="15.75" customHeight="1">
      <c r="A204" s="2079"/>
      <c r="B204" s="1436"/>
      <c r="C204" s="1436"/>
      <c r="D204" s="1436"/>
      <c r="E204" s="1436"/>
      <c r="F204" s="2079"/>
      <c r="G204" s="2079"/>
      <c r="H204" s="2079"/>
      <c r="I204" s="1436"/>
      <c r="J204" s="1436"/>
      <c r="K204" s="2079"/>
      <c r="L204" s="2079"/>
      <c r="M204" s="2079"/>
      <c r="N204" s="2079"/>
      <c r="O204" s="1436"/>
      <c r="P204" s="1436"/>
      <c r="Q204" s="1436"/>
      <c r="R204" s="1436"/>
      <c r="S204" s="2082"/>
      <c r="T204" s="2082"/>
      <c r="U204" s="2082"/>
      <c r="V204" s="1436"/>
      <c r="W204" s="1436"/>
      <c r="X204" s="1436"/>
      <c r="Y204" s="1436"/>
      <c r="Z204" s="1436"/>
      <c r="AA204" s="1436"/>
      <c r="AB204" s="1436"/>
      <c r="AC204" s="1436"/>
      <c r="AD204" s="1436"/>
      <c r="AE204" s="1436"/>
      <c r="AF204" s="1436"/>
      <c r="AG204" s="1436"/>
      <c r="AH204" s="1436"/>
      <c r="AI204" s="1436"/>
    </row>
    <row r="205" ht="15.75" customHeight="1">
      <c r="A205" s="2079"/>
      <c r="B205" s="1436"/>
      <c r="C205" s="1436"/>
      <c r="D205" s="1436"/>
      <c r="E205" s="1436"/>
      <c r="F205" s="2079"/>
      <c r="G205" s="2079"/>
      <c r="H205" s="2079"/>
      <c r="I205" s="1436"/>
      <c r="J205" s="1436"/>
      <c r="K205" s="2079"/>
      <c r="L205" s="2079"/>
      <c r="M205" s="2079"/>
      <c r="N205" s="2079"/>
      <c r="O205" s="1436"/>
      <c r="P205" s="1436"/>
      <c r="Q205" s="1436"/>
      <c r="R205" s="1436"/>
      <c r="S205" s="2082"/>
      <c r="T205" s="2082"/>
      <c r="U205" s="2082"/>
      <c r="V205" s="1436"/>
      <c r="W205" s="1436"/>
      <c r="X205" s="1436"/>
      <c r="Y205" s="1436"/>
      <c r="Z205" s="1436"/>
      <c r="AA205" s="1436"/>
      <c r="AB205" s="1436"/>
      <c r="AC205" s="1436"/>
      <c r="AD205" s="1436"/>
      <c r="AE205" s="1436"/>
      <c r="AF205" s="1436"/>
      <c r="AG205" s="1436"/>
      <c r="AH205" s="1436"/>
      <c r="AI205" s="1436"/>
    </row>
    <row r="206" ht="15.75" customHeight="1">
      <c r="A206" s="2079"/>
      <c r="B206" s="1436"/>
      <c r="C206" s="1436"/>
      <c r="D206" s="1436"/>
      <c r="E206" s="1436"/>
      <c r="F206" s="2079"/>
      <c r="G206" s="2079"/>
      <c r="H206" s="2079"/>
      <c r="I206" s="1436"/>
      <c r="J206" s="1436"/>
      <c r="K206" s="2079"/>
      <c r="L206" s="2079"/>
      <c r="M206" s="2079"/>
      <c r="N206" s="2079"/>
      <c r="O206" s="1436"/>
      <c r="P206" s="1436"/>
      <c r="Q206" s="1436"/>
      <c r="R206" s="1436"/>
      <c r="S206" s="2082"/>
      <c r="T206" s="2082"/>
      <c r="U206" s="2082"/>
      <c r="V206" s="1436"/>
      <c r="W206" s="1436"/>
      <c r="X206" s="1436"/>
      <c r="Y206" s="1436"/>
      <c r="Z206" s="1436"/>
      <c r="AA206" s="1436"/>
      <c r="AB206" s="1436"/>
      <c r="AC206" s="1436"/>
      <c r="AD206" s="1436"/>
      <c r="AE206" s="1436"/>
      <c r="AF206" s="1436"/>
      <c r="AG206" s="1436"/>
      <c r="AH206" s="1436"/>
      <c r="AI206" s="1436"/>
    </row>
    <row r="207" ht="15.75" customHeight="1">
      <c r="A207" s="2079"/>
      <c r="B207" s="1436"/>
      <c r="C207" s="1436"/>
      <c r="D207" s="1436"/>
      <c r="E207" s="1436"/>
      <c r="F207" s="2079"/>
      <c r="G207" s="2079"/>
      <c r="H207" s="2079"/>
      <c r="I207" s="1436"/>
      <c r="J207" s="1436"/>
      <c r="K207" s="2079"/>
      <c r="L207" s="2079"/>
      <c r="M207" s="2079"/>
      <c r="N207" s="2079"/>
      <c r="O207" s="1436"/>
      <c r="P207" s="1436"/>
      <c r="Q207" s="1436"/>
      <c r="R207" s="1436"/>
      <c r="S207" s="2082"/>
      <c r="T207" s="2082"/>
      <c r="U207" s="2082"/>
      <c r="V207" s="1436"/>
      <c r="W207" s="1436"/>
      <c r="X207" s="1436"/>
      <c r="Y207" s="1436"/>
      <c r="Z207" s="1436"/>
      <c r="AA207" s="1436"/>
      <c r="AB207" s="1436"/>
      <c r="AC207" s="1436"/>
      <c r="AD207" s="1436"/>
      <c r="AE207" s="1436"/>
      <c r="AF207" s="1436"/>
      <c r="AG207" s="1436"/>
      <c r="AH207" s="1436"/>
      <c r="AI207" s="1436"/>
    </row>
    <row r="208" ht="15.75" customHeight="1">
      <c r="A208" s="2079"/>
      <c r="B208" s="1436"/>
      <c r="C208" s="1436"/>
      <c r="D208" s="1436"/>
      <c r="E208" s="1436"/>
      <c r="F208" s="2079"/>
      <c r="G208" s="2079"/>
      <c r="H208" s="2079"/>
      <c r="I208" s="1436"/>
      <c r="J208" s="1436"/>
      <c r="K208" s="2079"/>
      <c r="L208" s="2079"/>
      <c r="M208" s="2079"/>
      <c r="N208" s="2079"/>
      <c r="O208" s="1436"/>
      <c r="P208" s="1436"/>
      <c r="Q208" s="1436"/>
      <c r="R208" s="1436"/>
      <c r="S208" s="2082"/>
      <c r="T208" s="2082"/>
      <c r="U208" s="2082"/>
      <c r="V208" s="1436"/>
      <c r="W208" s="1436"/>
      <c r="X208" s="1436"/>
      <c r="Y208" s="1436"/>
      <c r="Z208" s="1436"/>
      <c r="AA208" s="1436"/>
      <c r="AB208" s="1436"/>
      <c r="AC208" s="1436"/>
      <c r="AD208" s="1436"/>
      <c r="AE208" s="1436"/>
      <c r="AF208" s="1436"/>
      <c r="AG208" s="1436"/>
      <c r="AH208" s="1436"/>
      <c r="AI208" s="1436"/>
    </row>
    <row r="209" ht="15.75" customHeight="1">
      <c r="A209" s="2079"/>
      <c r="B209" s="1436"/>
      <c r="C209" s="1436"/>
      <c r="D209" s="1436"/>
      <c r="E209" s="1436"/>
      <c r="F209" s="2079"/>
      <c r="G209" s="2079"/>
      <c r="H209" s="2079"/>
      <c r="I209" s="1436"/>
      <c r="J209" s="1436"/>
      <c r="K209" s="2079"/>
      <c r="L209" s="2079"/>
      <c r="M209" s="2079"/>
      <c r="N209" s="2079"/>
      <c r="O209" s="1436"/>
      <c r="P209" s="1436"/>
      <c r="Q209" s="1436"/>
      <c r="R209" s="1436"/>
      <c r="S209" s="2082"/>
      <c r="T209" s="2082"/>
      <c r="U209" s="2082"/>
      <c r="V209" s="1436"/>
      <c r="W209" s="1436"/>
      <c r="X209" s="1436"/>
      <c r="Y209" s="1436"/>
      <c r="Z209" s="1436"/>
      <c r="AA209" s="1436"/>
      <c r="AB209" s="1436"/>
      <c r="AC209" s="1436"/>
      <c r="AD209" s="1436"/>
      <c r="AE209" s="1436"/>
      <c r="AF209" s="1436"/>
      <c r="AG209" s="1436"/>
      <c r="AH209" s="1436"/>
      <c r="AI209" s="1436"/>
    </row>
    <row r="210" ht="15.75" customHeight="1">
      <c r="A210" s="2079"/>
      <c r="B210" s="1436"/>
      <c r="C210" s="1436"/>
      <c r="D210" s="1436"/>
      <c r="E210" s="1436"/>
      <c r="F210" s="2079"/>
      <c r="G210" s="2079"/>
      <c r="H210" s="2079"/>
      <c r="I210" s="1436"/>
      <c r="J210" s="1436"/>
      <c r="K210" s="2079"/>
      <c r="L210" s="2079"/>
      <c r="M210" s="2079"/>
      <c r="N210" s="2079"/>
      <c r="O210" s="1436"/>
      <c r="P210" s="1436"/>
      <c r="Q210" s="1436"/>
      <c r="R210" s="1436"/>
      <c r="S210" s="2082"/>
      <c r="T210" s="2082"/>
      <c r="U210" s="2082"/>
      <c r="V210" s="1436"/>
      <c r="W210" s="1436"/>
      <c r="X210" s="1436"/>
      <c r="Y210" s="1436"/>
      <c r="Z210" s="1436"/>
      <c r="AA210" s="1436"/>
      <c r="AB210" s="1436"/>
      <c r="AC210" s="1436"/>
      <c r="AD210" s="1436"/>
      <c r="AE210" s="1436"/>
      <c r="AF210" s="1436"/>
      <c r="AG210" s="1436"/>
      <c r="AH210" s="1436"/>
      <c r="AI210" s="1436"/>
    </row>
    <row r="211" ht="15.75" customHeight="1">
      <c r="A211" s="2079"/>
      <c r="B211" s="1436"/>
      <c r="C211" s="1436"/>
      <c r="D211" s="1436"/>
      <c r="E211" s="1436"/>
      <c r="F211" s="2079"/>
      <c r="G211" s="2079"/>
      <c r="H211" s="2079"/>
      <c r="I211" s="1436"/>
      <c r="J211" s="1436"/>
      <c r="K211" s="2079"/>
      <c r="L211" s="2079"/>
      <c r="M211" s="2079"/>
      <c r="N211" s="2079"/>
      <c r="O211" s="1436"/>
      <c r="P211" s="1436"/>
      <c r="Q211" s="1436"/>
      <c r="R211" s="1436"/>
      <c r="S211" s="2082"/>
      <c r="T211" s="2082"/>
      <c r="U211" s="2082"/>
      <c r="V211" s="1436"/>
      <c r="W211" s="1436"/>
      <c r="X211" s="1436"/>
      <c r="Y211" s="1436"/>
      <c r="Z211" s="1436"/>
      <c r="AA211" s="1436"/>
      <c r="AB211" s="1436"/>
      <c r="AC211" s="1436"/>
      <c r="AD211" s="1436"/>
      <c r="AE211" s="1436"/>
      <c r="AF211" s="1436"/>
      <c r="AG211" s="1436"/>
      <c r="AH211" s="1436"/>
      <c r="AI211" s="1436"/>
    </row>
    <row r="212" ht="15.75" customHeight="1">
      <c r="A212" s="2079"/>
      <c r="B212" s="1436"/>
      <c r="C212" s="1436"/>
      <c r="D212" s="1436"/>
      <c r="E212" s="1436"/>
      <c r="F212" s="2079"/>
      <c r="G212" s="2079"/>
      <c r="H212" s="2079"/>
      <c r="I212" s="1436"/>
      <c r="J212" s="1436"/>
      <c r="K212" s="2079"/>
      <c r="L212" s="2079"/>
      <c r="M212" s="2079"/>
      <c r="N212" s="2079"/>
      <c r="O212" s="1436"/>
      <c r="P212" s="1436"/>
      <c r="Q212" s="1436"/>
      <c r="R212" s="1436"/>
      <c r="S212" s="2082"/>
      <c r="T212" s="2082"/>
      <c r="U212" s="2082"/>
      <c r="V212" s="1436"/>
      <c r="W212" s="1436"/>
      <c r="X212" s="1436"/>
      <c r="Y212" s="1436"/>
      <c r="Z212" s="1436"/>
      <c r="AA212" s="1436"/>
      <c r="AB212" s="1436"/>
      <c r="AC212" s="1436"/>
      <c r="AD212" s="1436"/>
      <c r="AE212" s="1436"/>
      <c r="AF212" s="1436"/>
      <c r="AG212" s="1436"/>
      <c r="AH212" s="1436"/>
      <c r="AI212" s="1436"/>
    </row>
    <row r="213" ht="15.75" customHeight="1">
      <c r="A213" s="2079"/>
      <c r="B213" s="1436"/>
      <c r="C213" s="1436"/>
      <c r="D213" s="1436"/>
      <c r="E213" s="1436"/>
      <c r="F213" s="2079"/>
      <c r="G213" s="2079"/>
      <c r="H213" s="2079"/>
      <c r="I213" s="1436"/>
      <c r="J213" s="1436"/>
      <c r="K213" s="2079"/>
      <c r="L213" s="2079"/>
      <c r="M213" s="2079"/>
      <c r="N213" s="2079"/>
      <c r="O213" s="1436"/>
      <c r="P213" s="1436"/>
      <c r="Q213" s="1436"/>
      <c r="R213" s="1436"/>
      <c r="S213" s="2082"/>
      <c r="T213" s="2082"/>
      <c r="U213" s="2082"/>
      <c r="V213" s="1436"/>
      <c r="W213" s="1436"/>
      <c r="X213" s="1436"/>
      <c r="Y213" s="1436"/>
      <c r="Z213" s="1436"/>
      <c r="AA213" s="1436"/>
      <c r="AB213" s="1436"/>
      <c r="AC213" s="1436"/>
      <c r="AD213" s="1436"/>
      <c r="AE213" s="1436"/>
      <c r="AF213" s="1436"/>
      <c r="AG213" s="1436"/>
      <c r="AH213" s="1436"/>
      <c r="AI213" s="1436"/>
    </row>
    <row r="214" ht="15.75" customHeight="1">
      <c r="A214" s="2079"/>
      <c r="B214" s="1436"/>
      <c r="C214" s="1436"/>
      <c r="D214" s="1436"/>
      <c r="E214" s="1436"/>
      <c r="F214" s="2079"/>
      <c r="G214" s="2079"/>
      <c r="H214" s="2079"/>
      <c r="I214" s="1436"/>
      <c r="J214" s="1436"/>
      <c r="K214" s="2079"/>
      <c r="L214" s="2079"/>
      <c r="M214" s="2079"/>
      <c r="N214" s="2079"/>
      <c r="O214" s="1436"/>
      <c r="P214" s="1436"/>
      <c r="Q214" s="1436"/>
      <c r="R214" s="1436"/>
      <c r="S214" s="2082"/>
      <c r="T214" s="2082"/>
      <c r="U214" s="2082"/>
      <c r="V214" s="1436"/>
      <c r="W214" s="1436"/>
      <c r="X214" s="1436"/>
      <c r="Y214" s="1436"/>
      <c r="Z214" s="1436"/>
      <c r="AA214" s="1436"/>
      <c r="AB214" s="1436"/>
      <c r="AC214" s="1436"/>
      <c r="AD214" s="1436"/>
      <c r="AE214" s="1436"/>
      <c r="AF214" s="1436"/>
      <c r="AG214" s="1436"/>
      <c r="AH214" s="1436"/>
      <c r="AI214" s="1436"/>
    </row>
    <row r="215" ht="15.75" customHeight="1">
      <c r="A215" s="2079"/>
      <c r="B215" s="1436"/>
      <c r="C215" s="1436"/>
      <c r="D215" s="1436"/>
      <c r="E215" s="1436"/>
      <c r="F215" s="2079"/>
      <c r="G215" s="2079"/>
      <c r="H215" s="2079"/>
      <c r="I215" s="1436"/>
      <c r="J215" s="1436"/>
      <c r="K215" s="2079"/>
      <c r="L215" s="2079"/>
      <c r="M215" s="2079"/>
      <c r="N215" s="2079"/>
      <c r="O215" s="1436"/>
      <c r="P215" s="1436"/>
      <c r="Q215" s="1436"/>
      <c r="R215" s="1436"/>
      <c r="S215" s="2082"/>
      <c r="T215" s="2082"/>
      <c r="U215" s="2082"/>
      <c r="V215" s="1436"/>
      <c r="W215" s="1436"/>
      <c r="X215" s="1436"/>
      <c r="Y215" s="1436"/>
      <c r="Z215" s="1436"/>
      <c r="AA215" s="1436"/>
      <c r="AB215" s="1436"/>
      <c r="AC215" s="1436"/>
      <c r="AD215" s="1436"/>
      <c r="AE215" s="1436"/>
      <c r="AF215" s="1436"/>
      <c r="AG215" s="1436"/>
      <c r="AH215" s="1436"/>
      <c r="AI215" s="1436"/>
    </row>
    <row r="216" ht="15.75" customHeight="1">
      <c r="A216" s="2079"/>
      <c r="B216" s="1436"/>
      <c r="C216" s="1436"/>
      <c r="D216" s="1436"/>
      <c r="E216" s="1436"/>
      <c r="F216" s="2079"/>
      <c r="G216" s="2079"/>
      <c r="H216" s="2079"/>
      <c r="I216" s="1436"/>
      <c r="J216" s="1436"/>
      <c r="K216" s="2079"/>
      <c r="L216" s="2079"/>
      <c r="M216" s="2079"/>
      <c r="N216" s="2079"/>
      <c r="O216" s="1436"/>
      <c r="P216" s="1436"/>
      <c r="Q216" s="1436"/>
      <c r="R216" s="1436"/>
      <c r="S216" s="2082"/>
      <c r="T216" s="2082"/>
      <c r="U216" s="2082"/>
      <c r="V216" s="1436"/>
      <c r="W216" s="1436"/>
      <c r="X216" s="1436"/>
      <c r="Y216" s="1436"/>
      <c r="Z216" s="1436"/>
      <c r="AA216" s="1436"/>
      <c r="AB216" s="1436"/>
      <c r="AC216" s="1436"/>
      <c r="AD216" s="1436"/>
      <c r="AE216" s="1436"/>
      <c r="AF216" s="1436"/>
      <c r="AG216" s="1436"/>
      <c r="AH216" s="1436"/>
      <c r="AI216" s="1436"/>
    </row>
    <row r="217" ht="15.75" customHeight="1">
      <c r="A217" s="2079"/>
      <c r="B217" s="1436"/>
      <c r="C217" s="1436"/>
      <c r="D217" s="1436"/>
      <c r="E217" s="1436"/>
      <c r="F217" s="2079"/>
      <c r="G217" s="2079"/>
      <c r="H217" s="2079"/>
      <c r="I217" s="1436"/>
      <c r="J217" s="1436"/>
      <c r="K217" s="2079"/>
      <c r="L217" s="2079"/>
      <c r="M217" s="2079"/>
      <c r="N217" s="2079"/>
      <c r="O217" s="1436"/>
      <c r="P217" s="1436"/>
      <c r="Q217" s="1436"/>
      <c r="R217" s="1436"/>
      <c r="S217" s="2082"/>
      <c r="T217" s="2082"/>
      <c r="U217" s="2082"/>
      <c r="V217" s="1436"/>
      <c r="W217" s="1436"/>
      <c r="X217" s="1436"/>
      <c r="Y217" s="1436"/>
      <c r="Z217" s="1436"/>
      <c r="AA217" s="1436"/>
      <c r="AB217" s="1436"/>
      <c r="AC217" s="1436"/>
      <c r="AD217" s="1436"/>
      <c r="AE217" s="1436"/>
      <c r="AF217" s="1436"/>
      <c r="AG217" s="1436"/>
      <c r="AH217" s="1436"/>
      <c r="AI217" s="1436"/>
    </row>
    <row r="218" ht="15.75" customHeight="1">
      <c r="A218" s="2079"/>
      <c r="B218" s="1436"/>
      <c r="C218" s="1436"/>
      <c r="D218" s="1436"/>
      <c r="E218" s="1436"/>
      <c r="F218" s="2079"/>
      <c r="G218" s="2079"/>
      <c r="H218" s="2079"/>
      <c r="I218" s="1436"/>
      <c r="J218" s="1436"/>
      <c r="K218" s="2079"/>
      <c r="L218" s="2079"/>
      <c r="M218" s="2079"/>
      <c r="N218" s="2079"/>
      <c r="O218" s="1436"/>
      <c r="P218" s="1436"/>
      <c r="Q218" s="1436"/>
      <c r="R218" s="1436"/>
      <c r="S218" s="2082"/>
      <c r="T218" s="2082"/>
      <c r="U218" s="2082"/>
      <c r="V218" s="1436"/>
      <c r="W218" s="1436"/>
      <c r="X218" s="1436"/>
      <c r="Y218" s="1436"/>
      <c r="Z218" s="1436"/>
      <c r="AA218" s="1436"/>
      <c r="AB218" s="1436"/>
      <c r="AC218" s="1436"/>
      <c r="AD218" s="1436"/>
      <c r="AE218" s="1436"/>
      <c r="AF218" s="1436"/>
      <c r="AG218" s="1436"/>
      <c r="AH218" s="1436"/>
      <c r="AI218" s="1436"/>
    </row>
    <row r="219" ht="15.75" customHeight="1">
      <c r="A219" s="2079"/>
      <c r="B219" s="1436"/>
      <c r="C219" s="1436"/>
      <c r="D219" s="1436"/>
      <c r="E219" s="1436"/>
      <c r="F219" s="2079"/>
      <c r="G219" s="2079"/>
      <c r="H219" s="2079"/>
      <c r="I219" s="1436"/>
      <c r="J219" s="1436"/>
      <c r="K219" s="2079"/>
      <c r="L219" s="2079"/>
      <c r="M219" s="2079"/>
      <c r="N219" s="2079"/>
      <c r="O219" s="1436"/>
      <c r="P219" s="1436"/>
      <c r="Q219" s="1436"/>
      <c r="R219" s="1436"/>
      <c r="S219" s="2082"/>
      <c r="T219" s="2082"/>
      <c r="U219" s="2082"/>
      <c r="V219" s="1436"/>
      <c r="W219" s="1436"/>
      <c r="X219" s="1436"/>
      <c r="Y219" s="1436"/>
      <c r="Z219" s="1436"/>
      <c r="AA219" s="1436"/>
      <c r="AB219" s="1436"/>
      <c r="AC219" s="1436"/>
      <c r="AD219" s="1436"/>
      <c r="AE219" s="1436"/>
      <c r="AF219" s="1436"/>
      <c r="AG219" s="1436"/>
      <c r="AH219" s="1436"/>
      <c r="AI219" s="1436"/>
    </row>
    <row r="220" ht="15.75" customHeight="1">
      <c r="A220" s="2079"/>
      <c r="B220" s="1436"/>
      <c r="C220" s="1436"/>
      <c r="D220" s="1436"/>
      <c r="E220" s="1436"/>
      <c r="F220" s="2079"/>
      <c r="G220" s="2079"/>
      <c r="H220" s="2079"/>
      <c r="I220" s="1436"/>
      <c r="J220" s="1436"/>
      <c r="K220" s="2079"/>
      <c r="L220" s="2079"/>
      <c r="M220" s="2079"/>
      <c r="N220" s="2079"/>
      <c r="O220" s="1436"/>
      <c r="P220" s="1436"/>
      <c r="Q220" s="1436"/>
      <c r="R220" s="1436"/>
      <c r="S220" s="2082"/>
      <c r="T220" s="2082"/>
      <c r="U220" s="2082"/>
      <c r="V220" s="1436"/>
      <c r="W220" s="1436"/>
      <c r="X220" s="1436"/>
      <c r="Y220" s="1436"/>
      <c r="Z220" s="1436"/>
      <c r="AA220" s="1436"/>
      <c r="AB220" s="1436"/>
      <c r="AC220" s="1436"/>
      <c r="AD220" s="1436"/>
      <c r="AE220" s="1436"/>
      <c r="AF220" s="1436"/>
      <c r="AG220" s="1436"/>
      <c r="AH220" s="1436"/>
      <c r="AI220" s="1436"/>
    </row>
    <row r="221" ht="15.75" customHeight="1">
      <c r="A221" s="2079"/>
      <c r="B221" s="1436"/>
      <c r="C221" s="1436"/>
      <c r="D221" s="1436"/>
      <c r="E221" s="1436"/>
      <c r="F221" s="2079"/>
      <c r="G221" s="2079"/>
      <c r="H221" s="2079"/>
      <c r="I221" s="1436"/>
      <c r="J221" s="1436"/>
      <c r="K221" s="2079"/>
      <c r="L221" s="2079"/>
      <c r="M221" s="2079"/>
      <c r="N221" s="2079"/>
      <c r="O221" s="1436"/>
      <c r="P221" s="1436"/>
      <c r="Q221" s="1436"/>
      <c r="R221" s="1436"/>
      <c r="S221" s="2082"/>
      <c r="T221" s="2082"/>
      <c r="U221" s="2082"/>
      <c r="V221" s="1436"/>
      <c r="W221" s="1436"/>
      <c r="X221" s="1436"/>
      <c r="Y221" s="1436"/>
      <c r="Z221" s="1436"/>
      <c r="AA221" s="1436"/>
      <c r="AB221" s="1436"/>
      <c r="AC221" s="1436"/>
      <c r="AD221" s="1436"/>
      <c r="AE221" s="1436"/>
      <c r="AF221" s="1436"/>
      <c r="AG221" s="1436"/>
      <c r="AH221" s="1436"/>
      <c r="AI221" s="1436"/>
    </row>
    <row r="222" ht="15.75" customHeight="1">
      <c r="A222" s="2079"/>
      <c r="B222" s="1436"/>
      <c r="C222" s="1436"/>
      <c r="D222" s="1436"/>
      <c r="E222" s="1436"/>
      <c r="F222" s="2079"/>
      <c r="G222" s="2079"/>
      <c r="H222" s="2079"/>
      <c r="I222" s="1436"/>
      <c r="J222" s="1436"/>
      <c r="K222" s="2079"/>
      <c r="L222" s="2079"/>
      <c r="M222" s="2079"/>
      <c r="N222" s="2079"/>
      <c r="O222" s="1436"/>
      <c r="P222" s="1436"/>
      <c r="Q222" s="1436"/>
      <c r="R222" s="1436"/>
      <c r="S222" s="2082"/>
      <c r="T222" s="2082"/>
      <c r="U222" s="2082"/>
      <c r="V222" s="1436"/>
      <c r="W222" s="1436"/>
      <c r="X222" s="1436"/>
      <c r="Y222" s="1436"/>
      <c r="Z222" s="1436"/>
      <c r="AA222" s="1436"/>
      <c r="AB222" s="1436"/>
      <c r="AC222" s="1436"/>
      <c r="AD222" s="1436"/>
      <c r="AE222" s="1436"/>
      <c r="AF222" s="1436"/>
      <c r="AG222" s="1436"/>
      <c r="AH222" s="1436"/>
      <c r="AI222" s="1436"/>
    </row>
    <row r="223" ht="15.75" customHeight="1">
      <c r="A223" s="2079"/>
      <c r="B223" s="1436"/>
      <c r="C223" s="1436"/>
      <c r="D223" s="1436"/>
      <c r="E223" s="1436"/>
      <c r="F223" s="2079"/>
      <c r="G223" s="2079"/>
      <c r="H223" s="2079"/>
      <c r="I223" s="1436"/>
      <c r="J223" s="1436"/>
      <c r="K223" s="2079"/>
      <c r="L223" s="2079"/>
      <c r="M223" s="2079"/>
      <c r="N223" s="2079"/>
      <c r="O223" s="1436"/>
      <c r="P223" s="1436"/>
      <c r="Q223" s="1436"/>
      <c r="R223" s="1436"/>
      <c r="S223" s="2082"/>
      <c r="T223" s="2082"/>
      <c r="U223" s="2082"/>
      <c r="V223" s="1436"/>
      <c r="W223" s="1436"/>
      <c r="X223" s="1436"/>
      <c r="Y223" s="1436"/>
      <c r="Z223" s="1436"/>
      <c r="AA223" s="1436"/>
      <c r="AB223" s="1436"/>
      <c r="AC223" s="1436"/>
      <c r="AD223" s="1436"/>
      <c r="AE223" s="1436"/>
      <c r="AF223" s="1436"/>
      <c r="AG223" s="1436"/>
      <c r="AH223" s="1436"/>
      <c r="AI223" s="1436"/>
    </row>
    <row r="224" ht="15.75" customHeight="1">
      <c r="A224" s="2079"/>
      <c r="B224" s="1436"/>
      <c r="C224" s="1436"/>
      <c r="D224" s="1436"/>
      <c r="E224" s="1436"/>
      <c r="F224" s="2079"/>
      <c r="G224" s="2079"/>
      <c r="H224" s="2079"/>
      <c r="I224" s="1436"/>
      <c r="J224" s="1436"/>
      <c r="K224" s="2079"/>
      <c r="L224" s="2079"/>
      <c r="M224" s="2079"/>
      <c r="N224" s="2079"/>
      <c r="O224" s="1436"/>
      <c r="P224" s="1436"/>
      <c r="Q224" s="1436"/>
      <c r="R224" s="1436"/>
      <c r="S224" s="2082"/>
      <c r="T224" s="2082"/>
      <c r="U224" s="2082"/>
      <c r="V224" s="1436"/>
      <c r="W224" s="1436"/>
      <c r="X224" s="1436"/>
      <c r="Y224" s="1436"/>
      <c r="Z224" s="1436"/>
      <c r="AA224" s="1436"/>
      <c r="AB224" s="1436"/>
      <c r="AC224" s="1436"/>
      <c r="AD224" s="1436"/>
      <c r="AE224" s="1436"/>
      <c r="AF224" s="1436"/>
      <c r="AG224" s="1436"/>
      <c r="AH224" s="1436"/>
      <c r="AI224" s="1436"/>
    </row>
    <row r="225" ht="15.75" customHeight="1">
      <c r="A225" s="2079"/>
      <c r="B225" s="1436"/>
      <c r="C225" s="1436"/>
      <c r="D225" s="1436"/>
      <c r="E225" s="1436"/>
      <c r="F225" s="2079"/>
      <c r="G225" s="2079"/>
      <c r="H225" s="2079"/>
      <c r="I225" s="1436"/>
      <c r="J225" s="1436"/>
      <c r="K225" s="2079"/>
      <c r="L225" s="2079"/>
      <c r="M225" s="2079"/>
      <c r="N225" s="2079"/>
      <c r="O225" s="1436"/>
      <c r="P225" s="1436"/>
      <c r="Q225" s="1436"/>
      <c r="R225" s="1436"/>
      <c r="S225" s="2082"/>
      <c r="T225" s="2082"/>
      <c r="U225" s="2082"/>
      <c r="V225" s="1436"/>
      <c r="W225" s="1436"/>
      <c r="X225" s="1436"/>
      <c r="Y225" s="1436"/>
      <c r="Z225" s="1436"/>
      <c r="AA225" s="1436"/>
      <c r="AB225" s="1436"/>
      <c r="AC225" s="1436"/>
      <c r="AD225" s="1436"/>
      <c r="AE225" s="1436"/>
      <c r="AF225" s="1436"/>
      <c r="AG225" s="1436"/>
      <c r="AH225" s="1436"/>
      <c r="AI225" s="1436"/>
    </row>
    <row r="226" ht="15.75" customHeight="1">
      <c r="A226" s="2079"/>
      <c r="B226" s="1436"/>
      <c r="C226" s="1436"/>
      <c r="D226" s="1436"/>
      <c r="E226" s="1436"/>
      <c r="F226" s="2079"/>
      <c r="G226" s="2079"/>
      <c r="H226" s="2079"/>
      <c r="I226" s="1436"/>
      <c r="J226" s="1436"/>
      <c r="K226" s="2079"/>
      <c r="L226" s="2079"/>
      <c r="M226" s="2079"/>
      <c r="N226" s="2079"/>
      <c r="O226" s="1436"/>
      <c r="P226" s="1436"/>
      <c r="Q226" s="1436"/>
      <c r="R226" s="1436"/>
      <c r="S226" s="2082"/>
      <c r="T226" s="2082"/>
      <c r="U226" s="2082"/>
      <c r="V226" s="1436"/>
      <c r="W226" s="1436"/>
      <c r="X226" s="1436"/>
      <c r="Y226" s="1436"/>
      <c r="Z226" s="1436"/>
      <c r="AA226" s="1436"/>
      <c r="AB226" s="1436"/>
      <c r="AC226" s="1436"/>
      <c r="AD226" s="1436"/>
      <c r="AE226" s="1436"/>
      <c r="AF226" s="1436"/>
      <c r="AG226" s="1436"/>
      <c r="AH226" s="1436"/>
      <c r="AI226" s="1436"/>
    </row>
    <row r="227" ht="15.75" customHeight="1">
      <c r="A227" s="2079"/>
      <c r="B227" s="1436"/>
      <c r="C227" s="1436"/>
      <c r="D227" s="1436"/>
      <c r="E227" s="1436"/>
      <c r="F227" s="2079"/>
      <c r="G227" s="2079"/>
      <c r="H227" s="2079"/>
      <c r="I227" s="1436"/>
      <c r="J227" s="1436"/>
      <c r="K227" s="2079"/>
      <c r="L227" s="2079"/>
      <c r="M227" s="2079"/>
      <c r="N227" s="2079"/>
      <c r="O227" s="1436"/>
      <c r="P227" s="1436"/>
      <c r="Q227" s="1436"/>
      <c r="R227" s="1436"/>
      <c r="S227" s="2082"/>
      <c r="T227" s="2082"/>
      <c r="U227" s="2082"/>
      <c r="V227" s="1436"/>
      <c r="W227" s="1436"/>
      <c r="X227" s="1436"/>
      <c r="Y227" s="1436"/>
      <c r="Z227" s="1436"/>
      <c r="AA227" s="1436"/>
      <c r="AB227" s="1436"/>
      <c r="AC227" s="1436"/>
      <c r="AD227" s="1436"/>
      <c r="AE227" s="1436"/>
      <c r="AF227" s="1436"/>
      <c r="AG227" s="1436"/>
      <c r="AH227" s="1436"/>
      <c r="AI227" s="1436"/>
    </row>
    <row r="228" ht="15.75" customHeight="1">
      <c r="A228" s="2079"/>
      <c r="B228" s="1436"/>
      <c r="C228" s="1436"/>
      <c r="D228" s="1436"/>
      <c r="E228" s="1436"/>
      <c r="F228" s="2079"/>
      <c r="G228" s="2079"/>
      <c r="H228" s="2079"/>
      <c r="I228" s="1436"/>
      <c r="J228" s="1436"/>
      <c r="K228" s="2079"/>
      <c r="L228" s="2079"/>
      <c r="M228" s="2079"/>
      <c r="N228" s="2079"/>
      <c r="O228" s="1436"/>
      <c r="P228" s="1436"/>
      <c r="Q228" s="1436"/>
      <c r="R228" s="1436"/>
      <c r="S228" s="2082"/>
      <c r="T228" s="2082"/>
      <c r="U228" s="2082"/>
      <c r="V228" s="1436"/>
      <c r="W228" s="1436"/>
      <c r="X228" s="1436"/>
      <c r="Y228" s="1436"/>
      <c r="Z228" s="1436"/>
      <c r="AA228" s="1436"/>
      <c r="AB228" s="1436"/>
      <c r="AC228" s="1436"/>
      <c r="AD228" s="1436"/>
      <c r="AE228" s="1436"/>
      <c r="AF228" s="1436"/>
      <c r="AG228" s="1436"/>
      <c r="AH228" s="1436"/>
      <c r="AI228" s="1436"/>
    </row>
    <row r="229" ht="15.75" customHeight="1">
      <c r="A229" s="2079"/>
      <c r="B229" s="1436"/>
      <c r="C229" s="1436"/>
      <c r="D229" s="1436"/>
      <c r="E229" s="1436"/>
      <c r="F229" s="2079"/>
      <c r="G229" s="2079"/>
      <c r="H229" s="2079"/>
      <c r="I229" s="1436"/>
      <c r="J229" s="1436"/>
      <c r="K229" s="2079"/>
      <c r="L229" s="2079"/>
      <c r="M229" s="2079"/>
      <c r="N229" s="2079"/>
      <c r="O229" s="1436"/>
      <c r="P229" s="1436"/>
      <c r="Q229" s="1436"/>
      <c r="R229" s="1436"/>
      <c r="S229" s="2082"/>
      <c r="T229" s="2082"/>
      <c r="U229" s="2082"/>
      <c r="V229" s="1436"/>
      <c r="W229" s="1436"/>
      <c r="X229" s="1436"/>
      <c r="Y229" s="1436"/>
      <c r="Z229" s="1436"/>
      <c r="AA229" s="1436"/>
      <c r="AB229" s="1436"/>
      <c r="AC229" s="1436"/>
      <c r="AD229" s="1436"/>
      <c r="AE229" s="1436"/>
      <c r="AF229" s="1436"/>
      <c r="AG229" s="1436"/>
      <c r="AH229" s="1436"/>
      <c r="AI229" s="1436"/>
    </row>
    <row r="230" ht="15.75" customHeight="1">
      <c r="A230" s="2079"/>
      <c r="B230" s="1436"/>
      <c r="C230" s="1436"/>
      <c r="D230" s="1436"/>
      <c r="E230" s="1436"/>
      <c r="F230" s="2079"/>
      <c r="G230" s="2079"/>
      <c r="H230" s="2079"/>
      <c r="I230" s="1436"/>
      <c r="J230" s="1436"/>
      <c r="K230" s="2079"/>
      <c r="L230" s="2079"/>
      <c r="M230" s="2079"/>
      <c r="N230" s="2079"/>
      <c r="O230" s="1436"/>
      <c r="P230" s="1436"/>
      <c r="Q230" s="1436"/>
      <c r="R230" s="1436"/>
      <c r="S230" s="2082"/>
      <c r="T230" s="2082"/>
      <c r="U230" s="2082"/>
      <c r="V230" s="1436"/>
      <c r="W230" s="1436"/>
      <c r="X230" s="1436"/>
      <c r="Y230" s="1436"/>
      <c r="Z230" s="1436"/>
      <c r="AA230" s="1436"/>
      <c r="AB230" s="1436"/>
      <c r="AC230" s="1436"/>
      <c r="AD230" s="1436"/>
      <c r="AE230" s="1436"/>
      <c r="AF230" s="1436"/>
      <c r="AG230" s="1436"/>
      <c r="AH230" s="1436"/>
      <c r="AI230" s="1436"/>
    </row>
    <row r="231" ht="15.75" customHeight="1">
      <c r="A231" s="2079"/>
      <c r="B231" s="1436"/>
      <c r="C231" s="1436"/>
      <c r="D231" s="1436"/>
      <c r="E231" s="1436"/>
      <c r="F231" s="2079"/>
      <c r="G231" s="2079"/>
      <c r="H231" s="2079"/>
      <c r="I231" s="1436"/>
      <c r="J231" s="1436"/>
      <c r="K231" s="2079"/>
      <c r="L231" s="2079"/>
      <c r="M231" s="2079"/>
      <c r="N231" s="2079"/>
      <c r="O231" s="1436"/>
      <c r="P231" s="1436"/>
      <c r="Q231" s="1436"/>
      <c r="R231" s="1436"/>
      <c r="S231" s="2082"/>
      <c r="T231" s="2082"/>
      <c r="U231" s="2082"/>
      <c r="V231" s="1436"/>
      <c r="W231" s="1436"/>
      <c r="X231" s="1436"/>
      <c r="Y231" s="1436"/>
      <c r="Z231" s="1436"/>
      <c r="AA231" s="1436"/>
      <c r="AB231" s="1436"/>
      <c r="AC231" s="1436"/>
      <c r="AD231" s="1436"/>
      <c r="AE231" s="1436"/>
      <c r="AF231" s="1436"/>
      <c r="AG231" s="1436"/>
      <c r="AH231" s="1436"/>
      <c r="AI231" s="1436"/>
    </row>
    <row r="232" ht="15.75" customHeight="1">
      <c r="A232" s="2079"/>
      <c r="B232" s="1436"/>
      <c r="C232" s="1436"/>
      <c r="D232" s="1436"/>
      <c r="E232" s="1436"/>
      <c r="F232" s="2079"/>
      <c r="G232" s="2079"/>
      <c r="H232" s="2079"/>
      <c r="I232" s="1436"/>
      <c r="J232" s="1436"/>
      <c r="K232" s="2079"/>
      <c r="L232" s="2079"/>
      <c r="M232" s="2079"/>
      <c r="N232" s="2079"/>
      <c r="O232" s="1436"/>
      <c r="P232" s="1436"/>
      <c r="Q232" s="1436"/>
      <c r="R232" s="1436"/>
      <c r="S232" s="2082"/>
      <c r="T232" s="2082"/>
      <c r="U232" s="2082"/>
      <c r="V232" s="1436"/>
      <c r="W232" s="1436"/>
      <c r="X232" s="1436"/>
      <c r="Y232" s="1436"/>
      <c r="Z232" s="1436"/>
      <c r="AA232" s="1436"/>
      <c r="AB232" s="1436"/>
      <c r="AC232" s="1436"/>
      <c r="AD232" s="1436"/>
      <c r="AE232" s="1436"/>
      <c r="AF232" s="1436"/>
      <c r="AG232" s="1436"/>
      <c r="AH232" s="1436"/>
      <c r="AI232" s="1436"/>
    </row>
    <row r="233" ht="15.75" customHeight="1">
      <c r="A233" s="2079"/>
      <c r="B233" s="1436"/>
      <c r="C233" s="1436"/>
      <c r="D233" s="1436"/>
      <c r="E233" s="1436"/>
      <c r="F233" s="2079"/>
      <c r="G233" s="2079"/>
      <c r="H233" s="2079"/>
      <c r="I233" s="1436"/>
      <c r="J233" s="1436"/>
      <c r="K233" s="2079"/>
      <c r="L233" s="2079"/>
      <c r="M233" s="2079"/>
      <c r="N233" s="2079"/>
      <c r="O233" s="1436"/>
      <c r="P233" s="1436"/>
      <c r="Q233" s="1436"/>
      <c r="R233" s="1436"/>
      <c r="S233" s="2082"/>
      <c r="T233" s="2082"/>
      <c r="U233" s="2082"/>
      <c r="V233" s="1436"/>
      <c r="W233" s="1436"/>
      <c r="X233" s="1436"/>
      <c r="Y233" s="1436"/>
      <c r="Z233" s="1436"/>
      <c r="AA233" s="1436"/>
      <c r="AB233" s="1436"/>
      <c r="AC233" s="1436"/>
      <c r="AD233" s="1436"/>
      <c r="AE233" s="1436"/>
      <c r="AF233" s="1436"/>
      <c r="AG233" s="1436"/>
      <c r="AH233" s="1436"/>
      <c r="AI233" s="1436"/>
    </row>
    <row r="234" ht="15.75" customHeight="1">
      <c r="A234" s="2079"/>
      <c r="B234" s="1436"/>
      <c r="C234" s="1436"/>
      <c r="D234" s="1436"/>
      <c r="E234" s="1436"/>
      <c r="F234" s="2079"/>
      <c r="G234" s="2079"/>
      <c r="H234" s="2079"/>
      <c r="I234" s="1436"/>
      <c r="J234" s="1436"/>
      <c r="K234" s="2079"/>
      <c r="L234" s="2079"/>
      <c r="M234" s="2079"/>
      <c r="N234" s="2079"/>
      <c r="O234" s="1436"/>
      <c r="P234" s="1436"/>
      <c r="Q234" s="1436"/>
      <c r="R234" s="1436"/>
      <c r="S234" s="2082"/>
      <c r="T234" s="2082"/>
      <c r="U234" s="2082"/>
      <c r="V234" s="1436"/>
      <c r="W234" s="1436"/>
      <c r="X234" s="1436"/>
      <c r="Y234" s="1436"/>
      <c r="Z234" s="1436"/>
      <c r="AA234" s="1436"/>
      <c r="AB234" s="1436"/>
      <c r="AC234" s="1436"/>
      <c r="AD234" s="1436"/>
      <c r="AE234" s="1436"/>
      <c r="AF234" s="1436"/>
      <c r="AG234" s="1436"/>
      <c r="AH234" s="1436"/>
      <c r="AI234" s="1436"/>
    </row>
    <row r="235" ht="15.75" customHeight="1">
      <c r="A235" s="2079"/>
      <c r="B235" s="1436"/>
      <c r="C235" s="1436"/>
      <c r="D235" s="1436"/>
      <c r="E235" s="1436"/>
      <c r="F235" s="2079"/>
      <c r="G235" s="2079"/>
      <c r="H235" s="2079"/>
      <c r="I235" s="1436"/>
      <c r="J235" s="1436"/>
      <c r="K235" s="2079"/>
      <c r="L235" s="2079"/>
      <c r="M235" s="2079"/>
      <c r="N235" s="2079"/>
      <c r="O235" s="1436"/>
      <c r="P235" s="1436"/>
      <c r="Q235" s="1436"/>
      <c r="R235" s="1436"/>
      <c r="S235" s="2082"/>
      <c r="T235" s="2082"/>
      <c r="U235" s="2082"/>
      <c r="V235" s="1436"/>
      <c r="W235" s="1436"/>
      <c r="X235" s="1436"/>
      <c r="Y235" s="1436"/>
      <c r="Z235" s="1436"/>
      <c r="AA235" s="1436"/>
      <c r="AB235" s="1436"/>
      <c r="AC235" s="1436"/>
      <c r="AD235" s="1436"/>
      <c r="AE235" s="1436"/>
      <c r="AF235" s="1436"/>
      <c r="AG235" s="1436"/>
      <c r="AH235" s="1436"/>
      <c r="AI235" s="1436"/>
    </row>
    <row r="236" ht="15.75" customHeight="1">
      <c r="A236" s="2079"/>
      <c r="B236" s="1436"/>
      <c r="C236" s="1436"/>
      <c r="D236" s="1436"/>
      <c r="E236" s="1436"/>
      <c r="F236" s="2079"/>
      <c r="G236" s="2079"/>
      <c r="H236" s="2079"/>
      <c r="I236" s="1436"/>
      <c r="J236" s="1436"/>
      <c r="K236" s="2079"/>
      <c r="L236" s="2079"/>
      <c r="M236" s="2079"/>
      <c r="N236" s="2079"/>
      <c r="O236" s="1436"/>
      <c r="P236" s="1436"/>
      <c r="Q236" s="1436"/>
      <c r="R236" s="1436"/>
      <c r="S236" s="2082"/>
      <c r="T236" s="2082"/>
      <c r="U236" s="2082"/>
      <c r="V236" s="1436"/>
      <c r="W236" s="1436"/>
      <c r="X236" s="1436"/>
      <c r="Y236" s="1436"/>
      <c r="Z236" s="1436"/>
      <c r="AA236" s="1436"/>
      <c r="AB236" s="1436"/>
      <c r="AC236" s="1436"/>
      <c r="AD236" s="1436"/>
      <c r="AE236" s="1436"/>
      <c r="AF236" s="1436"/>
      <c r="AG236" s="1436"/>
      <c r="AH236" s="1436"/>
      <c r="AI236" s="1436"/>
    </row>
    <row r="237" ht="15.75" customHeight="1">
      <c r="A237" s="2079"/>
      <c r="B237" s="1436"/>
      <c r="C237" s="1436"/>
      <c r="D237" s="1436"/>
      <c r="E237" s="1436"/>
      <c r="F237" s="2079"/>
      <c r="G237" s="2079"/>
      <c r="H237" s="2079"/>
      <c r="I237" s="1436"/>
      <c r="J237" s="1436"/>
      <c r="K237" s="2079"/>
      <c r="L237" s="2079"/>
      <c r="M237" s="2079"/>
      <c r="N237" s="2079"/>
      <c r="O237" s="1436"/>
      <c r="P237" s="1436"/>
      <c r="Q237" s="1436"/>
      <c r="R237" s="1436"/>
      <c r="S237" s="2082"/>
      <c r="T237" s="2082"/>
      <c r="U237" s="2082"/>
      <c r="V237" s="1436"/>
      <c r="W237" s="1436"/>
      <c r="X237" s="1436"/>
      <c r="Y237" s="1436"/>
      <c r="Z237" s="1436"/>
      <c r="AA237" s="1436"/>
      <c r="AB237" s="1436"/>
      <c r="AC237" s="1436"/>
      <c r="AD237" s="1436"/>
      <c r="AE237" s="1436"/>
      <c r="AF237" s="1436"/>
      <c r="AG237" s="1436"/>
      <c r="AH237" s="1436"/>
      <c r="AI237" s="1436"/>
    </row>
    <row r="238" ht="15.75" customHeight="1">
      <c r="A238" s="2079"/>
      <c r="B238" s="1436"/>
      <c r="C238" s="1436"/>
      <c r="D238" s="1436"/>
      <c r="E238" s="1436"/>
      <c r="F238" s="2079"/>
      <c r="G238" s="2079"/>
      <c r="H238" s="2079"/>
      <c r="I238" s="1436"/>
      <c r="J238" s="1436"/>
      <c r="K238" s="2079"/>
      <c r="L238" s="2079"/>
      <c r="M238" s="2079"/>
      <c r="N238" s="2079"/>
      <c r="O238" s="1436"/>
      <c r="P238" s="1436"/>
      <c r="Q238" s="1436"/>
      <c r="R238" s="1436"/>
      <c r="S238" s="2082"/>
      <c r="T238" s="2082"/>
      <c r="U238" s="2082"/>
      <c r="V238" s="1436"/>
      <c r="W238" s="1436"/>
      <c r="X238" s="1436"/>
      <c r="Y238" s="1436"/>
      <c r="Z238" s="1436"/>
      <c r="AA238" s="1436"/>
      <c r="AB238" s="1436"/>
      <c r="AC238" s="1436"/>
      <c r="AD238" s="1436"/>
      <c r="AE238" s="1436"/>
      <c r="AF238" s="1436"/>
      <c r="AG238" s="1436"/>
      <c r="AH238" s="1436"/>
      <c r="AI238" s="1436"/>
    </row>
    <row r="239" ht="15.75" customHeight="1">
      <c r="A239" s="2079"/>
      <c r="B239" s="1436"/>
      <c r="C239" s="1436"/>
      <c r="D239" s="1436"/>
      <c r="E239" s="1436"/>
      <c r="F239" s="2079"/>
      <c r="G239" s="2079"/>
      <c r="H239" s="2079"/>
      <c r="I239" s="1436"/>
      <c r="J239" s="1436"/>
      <c r="K239" s="2079"/>
      <c r="L239" s="2079"/>
      <c r="M239" s="2079"/>
      <c r="N239" s="2079"/>
      <c r="O239" s="1436"/>
      <c r="P239" s="1436"/>
      <c r="Q239" s="1436"/>
      <c r="R239" s="1436"/>
      <c r="S239" s="2082"/>
      <c r="T239" s="2082"/>
      <c r="U239" s="2082"/>
      <c r="V239" s="1436"/>
      <c r="W239" s="1436"/>
      <c r="X239" s="1436"/>
      <c r="Y239" s="1436"/>
      <c r="Z239" s="1436"/>
      <c r="AA239" s="1436"/>
      <c r="AB239" s="1436"/>
      <c r="AC239" s="1436"/>
      <c r="AD239" s="1436"/>
      <c r="AE239" s="1436"/>
      <c r="AF239" s="1436"/>
      <c r="AG239" s="1436"/>
      <c r="AH239" s="1436"/>
      <c r="AI239" s="1436"/>
    </row>
    <row r="240" ht="15.75" customHeight="1">
      <c r="A240" s="2079"/>
      <c r="B240" s="1436"/>
      <c r="C240" s="1436"/>
      <c r="D240" s="1436"/>
      <c r="E240" s="1436"/>
      <c r="F240" s="2079"/>
      <c r="G240" s="2079"/>
      <c r="H240" s="2079"/>
      <c r="I240" s="1436"/>
      <c r="J240" s="1436"/>
      <c r="K240" s="2079"/>
      <c r="L240" s="2079"/>
      <c r="M240" s="2079"/>
      <c r="N240" s="2079"/>
      <c r="O240" s="1436"/>
      <c r="P240" s="1436"/>
      <c r="Q240" s="1436"/>
      <c r="R240" s="1436"/>
      <c r="S240" s="2082"/>
      <c r="T240" s="2082"/>
      <c r="U240" s="2082"/>
      <c r="V240" s="1436"/>
      <c r="W240" s="1436"/>
      <c r="X240" s="1436"/>
      <c r="Y240" s="1436"/>
      <c r="Z240" s="1436"/>
      <c r="AA240" s="1436"/>
      <c r="AB240" s="1436"/>
      <c r="AC240" s="1436"/>
      <c r="AD240" s="1436"/>
      <c r="AE240" s="1436"/>
      <c r="AF240" s="1436"/>
      <c r="AG240" s="1436"/>
      <c r="AH240" s="1436"/>
      <c r="AI240" s="1436"/>
    </row>
    <row r="241" ht="15.75" customHeight="1">
      <c r="A241" s="2079"/>
      <c r="B241" s="1436"/>
      <c r="C241" s="1436"/>
      <c r="D241" s="1436"/>
      <c r="E241" s="1436"/>
      <c r="F241" s="2079"/>
      <c r="G241" s="2079"/>
      <c r="H241" s="2079"/>
      <c r="I241" s="1436"/>
      <c r="J241" s="1436"/>
      <c r="K241" s="2079"/>
      <c r="L241" s="2079"/>
      <c r="M241" s="2079"/>
      <c r="N241" s="2079"/>
      <c r="O241" s="1436"/>
      <c r="P241" s="1436"/>
      <c r="Q241" s="1436"/>
      <c r="R241" s="1436"/>
      <c r="S241" s="2082"/>
      <c r="T241" s="2082"/>
      <c r="U241" s="2082"/>
      <c r="V241" s="1436"/>
      <c r="W241" s="1436"/>
      <c r="X241" s="1436"/>
      <c r="Y241" s="1436"/>
      <c r="Z241" s="1436"/>
      <c r="AA241" s="1436"/>
      <c r="AB241" s="1436"/>
      <c r="AC241" s="1436"/>
      <c r="AD241" s="1436"/>
      <c r="AE241" s="1436"/>
      <c r="AF241" s="1436"/>
      <c r="AG241" s="1436"/>
      <c r="AH241" s="1436"/>
      <c r="AI241" s="1436"/>
    </row>
    <row r="242" ht="15.75" customHeight="1">
      <c r="A242" s="2079"/>
      <c r="B242" s="1436"/>
      <c r="C242" s="1436"/>
      <c r="D242" s="1436"/>
      <c r="E242" s="1436"/>
      <c r="F242" s="2079"/>
      <c r="G242" s="2079"/>
      <c r="H242" s="2079"/>
      <c r="I242" s="1436"/>
      <c r="J242" s="1436"/>
      <c r="K242" s="2079"/>
      <c r="L242" s="2079"/>
      <c r="M242" s="2079"/>
      <c r="N242" s="2079"/>
      <c r="O242" s="1436"/>
      <c r="P242" s="1436"/>
      <c r="Q242" s="1436"/>
      <c r="R242" s="1436"/>
      <c r="S242" s="2082"/>
      <c r="T242" s="2082"/>
      <c r="U242" s="2082"/>
      <c r="V242" s="1436"/>
      <c r="W242" s="1436"/>
      <c r="X242" s="1436"/>
      <c r="Y242" s="1436"/>
      <c r="Z242" s="1436"/>
      <c r="AA242" s="1436"/>
      <c r="AB242" s="1436"/>
      <c r="AC242" s="1436"/>
      <c r="AD242" s="1436"/>
      <c r="AE242" s="1436"/>
      <c r="AF242" s="1436"/>
      <c r="AG242" s="1436"/>
      <c r="AH242" s="1436"/>
      <c r="AI242" s="1436"/>
    </row>
    <row r="243" ht="15.75" customHeight="1">
      <c r="A243" s="2079"/>
      <c r="B243" s="1436"/>
      <c r="C243" s="1436"/>
      <c r="D243" s="1436"/>
      <c r="E243" s="1436"/>
      <c r="F243" s="2079"/>
      <c r="G243" s="2079"/>
      <c r="H243" s="2079"/>
      <c r="I243" s="1436"/>
      <c r="J243" s="1436"/>
      <c r="K243" s="2079"/>
      <c r="L243" s="2079"/>
      <c r="M243" s="2079"/>
      <c r="N243" s="2079"/>
      <c r="O243" s="1436"/>
      <c r="P243" s="1436"/>
      <c r="Q243" s="1436"/>
      <c r="R243" s="1436"/>
      <c r="S243" s="2082"/>
      <c r="T243" s="2082"/>
      <c r="U243" s="2082"/>
      <c r="V243" s="1436"/>
      <c r="W243" s="1436"/>
      <c r="X243" s="1436"/>
      <c r="Y243" s="1436"/>
      <c r="Z243" s="1436"/>
      <c r="AA243" s="1436"/>
      <c r="AB243" s="1436"/>
      <c r="AC243" s="1436"/>
      <c r="AD243" s="1436"/>
      <c r="AE243" s="1436"/>
      <c r="AF243" s="1436"/>
      <c r="AG243" s="1436"/>
      <c r="AH243" s="1436"/>
      <c r="AI243" s="1436"/>
    </row>
    <row r="244" ht="15.75" customHeight="1">
      <c r="A244" s="2079"/>
      <c r="B244" s="1436"/>
      <c r="C244" s="1436"/>
      <c r="D244" s="1436"/>
      <c r="E244" s="1436"/>
      <c r="F244" s="2079"/>
      <c r="G244" s="2079"/>
      <c r="H244" s="2079"/>
      <c r="I244" s="1436"/>
      <c r="J244" s="1436"/>
      <c r="K244" s="2079"/>
      <c r="L244" s="2079"/>
      <c r="M244" s="2079"/>
      <c r="N244" s="2079"/>
      <c r="O244" s="1436"/>
      <c r="P244" s="1436"/>
      <c r="Q244" s="1436"/>
      <c r="R244" s="1436"/>
      <c r="S244" s="2082"/>
      <c r="T244" s="2082"/>
      <c r="U244" s="2082"/>
      <c r="V244" s="1436"/>
      <c r="W244" s="1436"/>
      <c r="X244" s="1436"/>
      <c r="Y244" s="1436"/>
      <c r="Z244" s="1436"/>
      <c r="AA244" s="1436"/>
      <c r="AB244" s="1436"/>
      <c r="AC244" s="1436"/>
      <c r="AD244" s="1436"/>
      <c r="AE244" s="1436"/>
      <c r="AF244" s="1436"/>
      <c r="AG244" s="1436"/>
      <c r="AH244" s="1436"/>
      <c r="AI244" s="1436"/>
    </row>
    <row r="245" ht="15.75" customHeight="1">
      <c r="A245" s="2079"/>
      <c r="B245" s="1436"/>
      <c r="C245" s="1436"/>
      <c r="D245" s="1436"/>
      <c r="E245" s="1436"/>
      <c r="F245" s="2079"/>
      <c r="G245" s="2079"/>
      <c r="H245" s="2079"/>
      <c r="I245" s="1436"/>
      <c r="J245" s="1436"/>
      <c r="K245" s="2079"/>
      <c r="L245" s="2079"/>
      <c r="M245" s="2079"/>
      <c r="N245" s="2079"/>
      <c r="O245" s="1436"/>
      <c r="P245" s="1436"/>
      <c r="Q245" s="1436"/>
      <c r="R245" s="1436"/>
      <c r="S245" s="2082"/>
      <c r="T245" s="2082"/>
      <c r="U245" s="2082"/>
      <c r="V245" s="1436"/>
      <c r="W245" s="1436"/>
      <c r="X245" s="1436"/>
      <c r="Y245" s="1436"/>
      <c r="Z245" s="1436"/>
      <c r="AA245" s="1436"/>
      <c r="AB245" s="1436"/>
      <c r="AC245" s="1436"/>
      <c r="AD245" s="1436"/>
      <c r="AE245" s="1436"/>
      <c r="AF245" s="1436"/>
      <c r="AG245" s="1436"/>
      <c r="AH245" s="1436"/>
      <c r="AI245" s="1436"/>
    </row>
    <row r="246" ht="15.75" customHeight="1">
      <c r="A246" s="2079"/>
      <c r="B246" s="1436"/>
      <c r="C246" s="1436"/>
      <c r="D246" s="1436"/>
      <c r="E246" s="1436"/>
      <c r="F246" s="2079"/>
      <c r="G246" s="2079"/>
      <c r="H246" s="2079"/>
      <c r="I246" s="1436"/>
      <c r="J246" s="1436"/>
      <c r="K246" s="2079"/>
      <c r="L246" s="2079"/>
      <c r="M246" s="2079"/>
      <c r="N246" s="2079"/>
      <c r="O246" s="1436"/>
      <c r="P246" s="1436"/>
      <c r="Q246" s="1436"/>
      <c r="R246" s="1436"/>
      <c r="S246" s="2082"/>
      <c r="T246" s="2082"/>
      <c r="U246" s="2082"/>
      <c r="V246" s="1436"/>
      <c r="W246" s="1436"/>
      <c r="X246" s="1436"/>
      <c r="Y246" s="1436"/>
      <c r="Z246" s="1436"/>
      <c r="AA246" s="1436"/>
      <c r="AB246" s="1436"/>
      <c r="AC246" s="1436"/>
      <c r="AD246" s="1436"/>
      <c r="AE246" s="1436"/>
      <c r="AF246" s="1436"/>
      <c r="AG246" s="1436"/>
      <c r="AH246" s="1436"/>
      <c r="AI246" s="1436"/>
    </row>
    <row r="247" ht="15.75" customHeight="1">
      <c r="A247" s="2079"/>
      <c r="B247" s="1436"/>
      <c r="C247" s="1436"/>
      <c r="D247" s="1436"/>
      <c r="E247" s="1436"/>
      <c r="F247" s="2079"/>
      <c r="G247" s="2079"/>
      <c r="H247" s="2079"/>
      <c r="I247" s="1436"/>
      <c r="J247" s="1436"/>
      <c r="K247" s="2079"/>
      <c r="L247" s="2079"/>
      <c r="M247" s="2079"/>
      <c r="N247" s="2079"/>
      <c r="O247" s="1436"/>
      <c r="P247" s="1436"/>
      <c r="Q247" s="1436"/>
      <c r="R247" s="1436"/>
      <c r="S247" s="2082"/>
      <c r="T247" s="2082"/>
      <c r="U247" s="2082"/>
      <c r="V247" s="1436"/>
      <c r="W247" s="1436"/>
      <c r="X247" s="1436"/>
      <c r="Y247" s="1436"/>
      <c r="Z247" s="1436"/>
      <c r="AA247" s="1436"/>
      <c r="AB247" s="1436"/>
      <c r="AC247" s="1436"/>
      <c r="AD247" s="1436"/>
      <c r="AE247" s="1436"/>
      <c r="AF247" s="1436"/>
      <c r="AG247" s="1436"/>
      <c r="AH247" s="1436"/>
      <c r="AI247" s="1436"/>
    </row>
    <row r="248" ht="15.75" customHeight="1">
      <c r="A248" s="2079"/>
      <c r="B248" s="1436"/>
      <c r="C248" s="1436"/>
      <c r="D248" s="1436"/>
      <c r="E248" s="1436"/>
      <c r="F248" s="2079"/>
      <c r="G248" s="2079"/>
      <c r="H248" s="2079"/>
      <c r="I248" s="1436"/>
      <c r="J248" s="1436"/>
      <c r="K248" s="2079"/>
      <c r="L248" s="2079"/>
      <c r="M248" s="2079"/>
      <c r="N248" s="2079"/>
      <c r="O248" s="1436"/>
      <c r="P248" s="1436"/>
      <c r="Q248" s="1436"/>
      <c r="R248" s="1436"/>
      <c r="S248" s="2082"/>
      <c r="T248" s="2082"/>
      <c r="U248" s="2082"/>
      <c r="V248" s="1436"/>
      <c r="W248" s="1436"/>
      <c r="X248" s="1436"/>
      <c r="Y248" s="1436"/>
      <c r="Z248" s="1436"/>
      <c r="AA248" s="1436"/>
      <c r="AB248" s="1436"/>
      <c r="AC248" s="1436"/>
      <c r="AD248" s="1436"/>
      <c r="AE248" s="1436"/>
      <c r="AF248" s="1436"/>
      <c r="AG248" s="1436"/>
      <c r="AH248" s="1436"/>
      <c r="AI248" s="1436"/>
    </row>
    <row r="249" ht="15.75" customHeight="1">
      <c r="A249" s="2079"/>
      <c r="B249" s="1436"/>
      <c r="C249" s="1436"/>
      <c r="D249" s="1436"/>
      <c r="E249" s="1436"/>
      <c r="F249" s="2079"/>
      <c r="G249" s="2079"/>
      <c r="H249" s="2079"/>
      <c r="I249" s="1436"/>
      <c r="J249" s="1436"/>
      <c r="K249" s="2079"/>
      <c r="L249" s="2079"/>
      <c r="M249" s="2079"/>
      <c r="N249" s="2079"/>
      <c r="O249" s="1436"/>
      <c r="P249" s="1436"/>
      <c r="Q249" s="1436"/>
      <c r="R249" s="1436"/>
      <c r="S249" s="2082"/>
      <c r="T249" s="2082"/>
      <c r="U249" s="2082"/>
      <c r="V249" s="1436"/>
      <c r="W249" s="1436"/>
      <c r="X249" s="1436"/>
      <c r="Y249" s="1436"/>
      <c r="Z249" s="1436"/>
      <c r="AA249" s="1436"/>
      <c r="AB249" s="1436"/>
      <c r="AC249" s="1436"/>
      <c r="AD249" s="1436"/>
      <c r="AE249" s="1436"/>
      <c r="AF249" s="1436"/>
      <c r="AG249" s="1436"/>
      <c r="AH249" s="1436"/>
      <c r="AI249" s="1436"/>
    </row>
    <row r="250" ht="15.75" customHeight="1">
      <c r="A250" s="2079"/>
      <c r="B250" s="1436"/>
      <c r="C250" s="1436"/>
      <c r="D250" s="1436"/>
      <c r="E250" s="1436"/>
      <c r="F250" s="2079"/>
      <c r="G250" s="2079"/>
      <c r="H250" s="2079"/>
      <c r="I250" s="1436"/>
      <c r="J250" s="1436"/>
      <c r="K250" s="2079"/>
      <c r="L250" s="2079"/>
      <c r="M250" s="2079"/>
      <c r="N250" s="2079"/>
      <c r="O250" s="1436"/>
      <c r="P250" s="1436"/>
      <c r="Q250" s="1436"/>
      <c r="R250" s="1436"/>
      <c r="S250" s="2082"/>
      <c r="T250" s="2082"/>
      <c r="U250" s="2082"/>
      <c r="V250" s="1436"/>
      <c r="W250" s="1436"/>
      <c r="X250" s="1436"/>
      <c r="Y250" s="1436"/>
      <c r="Z250" s="1436"/>
      <c r="AA250" s="1436"/>
      <c r="AB250" s="1436"/>
      <c r="AC250" s="1436"/>
      <c r="AD250" s="1436"/>
      <c r="AE250" s="1436"/>
      <c r="AF250" s="1436"/>
      <c r="AG250" s="1436"/>
      <c r="AH250" s="1436"/>
      <c r="AI250" s="1436"/>
    </row>
    <row r="251" ht="15.75" customHeight="1">
      <c r="A251" s="2079"/>
      <c r="B251" s="1436"/>
      <c r="C251" s="1436"/>
      <c r="D251" s="1436"/>
      <c r="E251" s="1436"/>
      <c r="F251" s="2079"/>
      <c r="G251" s="2079"/>
      <c r="H251" s="2079"/>
      <c r="I251" s="1436"/>
      <c r="J251" s="1436"/>
      <c r="K251" s="2079"/>
      <c r="L251" s="2079"/>
      <c r="M251" s="2079"/>
      <c r="N251" s="2079"/>
      <c r="O251" s="1436"/>
      <c r="P251" s="1436"/>
      <c r="Q251" s="1436"/>
      <c r="R251" s="1436"/>
      <c r="S251" s="2082"/>
      <c r="T251" s="2082"/>
      <c r="U251" s="2082"/>
      <c r="V251" s="1436"/>
      <c r="W251" s="1436"/>
      <c r="X251" s="1436"/>
      <c r="Y251" s="1436"/>
      <c r="Z251" s="1436"/>
      <c r="AA251" s="1436"/>
      <c r="AB251" s="1436"/>
      <c r="AC251" s="1436"/>
      <c r="AD251" s="1436"/>
      <c r="AE251" s="1436"/>
      <c r="AF251" s="1436"/>
      <c r="AG251" s="1436"/>
      <c r="AH251" s="1436"/>
      <c r="AI251" s="1436"/>
    </row>
    <row r="252" ht="15.75" customHeight="1">
      <c r="A252" s="2079"/>
      <c r="B252" s="1436"/>
      <c r="C252" s="1436"/>
      <c r="D252" s="1436"/>
      <c r="E252" s="1436"/>
      <c r="F252" s="2079"/>
      <c r="G252" s="2079"/>
      <c r="H252" s="2079"/>
      <c r="I252" s="1436"/>
      <c r="J252" s="1436"/>
      <c r="K252" s="2079"/>
      <c r="L252" s="2079"/>
      <c r="M252" s="2079"/>
      <c r="N252" s="2079"/>
      <c r="O252" s="1436"/>
      <c r="P252" s="1436"/>
      <c r="Q252" s="1436"/>
      <c r="R252" s="1436"/>
      <c r="S252" s="2082"/>
      <c r="T252" s="2082"/>
      <c r="U252" s="2082"/>
      <c r="V252" s="1436"/>
      <c r="W252" s="1436"/>
      <c r="X252" s="1436"/>
      <c r="Y252" s="1436"/>
      <c r="Z252" s="1436"/>
      <c r="AA252" s="1436"/>
      <c r="AB252" s="1436"/>
      <c r="AC252" s="1436"/>
      <c r="AD252" s="1436"/>
      <c r="AE252" s="1436"/>
      <c r="AF252" s="1436"/>
      <c r="AG252" s="1436"/>
      <c r="AH252" s="1436"/>
      <c r="AI252" s="1436"/>
    </row>
    <row r="253" ht="15.75" customHeight="1">
      <c r="A253" s="2079"/>
      <c r="B253" s="1436"/>
      <c r="C253" s="1436"/>
      <c r="D253" s="1436"/>
      <c r="E253" s="1436"/>
      <c r="F253" s="2079"/>
      <c r="G253" s="2079"/>
      <c r="H253" s="2079"/>
      <c r="I253" s="1436"/>
      <c r="J253" s="1436"/>
      <c r="K253" s="2079"/>
      <c r="L253" s="2079"/>
      <c r="M253" s="2079"/>
      <c r="N253" s="2079"/>
      <c r="O253" s="1436"/>
      <c r="P253" s="1436"/>
      <c r="Q253" s="1436"/>
      <c r="R253" s="1436"/>
      <c r="S253" s="2082"/>
      <c r="T253" s="2082"/>
      <c r="U253" s="2082"/>
      <c r="V253" s="1436"/>
      <c r="W253" s="1436"/>
      <c r="X253" s="1436"/>
      <c r="Y253" s="1436"/>
      <c r="Z253" s="1436"/>
      <c r="AA253" s="1436"/>
      <c r="AB253" s="1436"/>
      <c r="AC253" s="1436"/>
      <c r="AD253" s="1436"/>
      <c r="AE253" s="1436"/>
      <c r="AF253" s="1436"/>
      <c r="AG253" s="1436"/>
      <c r="AH253" s="1436"/>
      <c r="AI253" s="1436"/>
    </row>
    <row r="254" ht="15.75" customHeight="1">
      <c r="A254" s="2079"/>
      <c r="B254" s="1436"/>
      <c r="C254" s="1436"/>
      <c r="D254" s="1436"/>
      <c r="E254" s="1436"/>
      <c r="F254" s="2079"/>
      <c r="G254" s="2079"/>
      <c r="H254" s="2079"/>
      <c r="I254" s="1436"/>
      <c r="J254" s="1436"/>
      <c r="K254" s="2079"/>
      <c r="L254" s="2079"/>
      <c r="M254" s="2079"/>
      <c r="N254" s="2079"/>
      <c r="O254" s="1436"/>
      <c r="P254" s="1436"/>
      <c r="Q254" s="1436"/>
      <c r="R254" s="1436"/>
      <c r="S254" s="2082"/>
      <c r="T254" s="2082"/>
      <c r="U254" s="2082"/>
      <c r="V254" s="1436"/>
      <c r="W254" s="1436"/>
      <c r="X254" s="1436"/>
      <c r="Y254" s="1436"/>
      <c r="Z254" s="1436"/>
      <c r="AA254" s="1436"/>
      <c r="AB254" s="1436"/>
      <c r="AC254" s="1436"/>
      <c r="AD254" s="1436"/>
      <c r="AE254" s="1436"/>
      <c r="AF254" s="1436"/>
      <c r="AG254" s="1436"/>
      <c r="AH254" s="1436"/>
      <c r="AI254" s="1436"/>
    </row>
    <row r="255" ht="15.75" customHeight="1">
      <c r="A255" s="2079"/>
      <c r="B255" s="1436"/>
      <c r="C255" s="1436"/>
      <c r="D255" s="1436"/>
      <c r="E255" s="1436"/>
      <c r="F255" s="2079"/>
      <c r="G255" s="2079"/>
      <c r="H255" s="2079"/>
      <c r="I255" s="1436"/>
      <c r="J255" s="1436"/>
      <c r="K255" s="2079"/>
      <c r="L255" s="2079"/>
      <c r="M255" s="2079"/>
      <c r="N255" s="2079"/>
      <c r="O255" s="1436"/>
      <c r="P255" s="1436"/>
      <c r="Q255" s="1436"/>
      <c r="R255" s="1436"/>
      <c r="S255" s="2082"/>
      <c r="T255" s="2082"/>
      <c r="U255" s="2082"/>
      <c r="V255" s="1436"/>
      <c r="W255" s="1436"/>
      <c r="X255" s="1436"/>
      <c r="Y255" s="1436"/>
      <c r="Z255" s="1436"/>
      <c r="AA255" s="1436"/>
      <c r="AB255" s="1436"/>
      <c r="AC255" s="1436"/>
      <c r="AD255" s="1436"/>
      <c r="AE255" s="1436"/>
      <c r="AF255" s="1436"/>
      <c r="AG255" s="1436"/>
      <c r="AH255" s="1436"/>
      <c r="AI255" s="1436"/>
    </row>
    <row r="256" ht="15.75" customHeight="1">
      <c r="A256" s="2079"/>
      <c r="B256" s="1436"/>
      <c r="C256" s="1436"/>
      <c r="D256" s="1436"/>
      <c r="E256" s="1436"/>
      <c r="F256" s="2079"/>
      <c r="G256" s="2079"/>
      <c r="H256" s="2079"/>
      <c r="I256" s="1436"/>
      <c r="J256" s="1436"/>
      <c r="K256" s="2079"/>
      <c r="L256" s="2079"/>
      <c r="M256" s="2079"/>
      <c r="N256" s="2079"/>
      <c r="O256" s="1436"/>
      <c r="P256" s="1436"/>
      <c r="Q256" s="1436"/>
      <c r="R256" s="1436"/>
      <c r="S256" s="2082"/>
      <c r="T256" s="2082"/>
      <c r="U256" s="2082"/>
      <c r="V256" s="1436"/>
      <c r="W256" s="1436"/>
      <c r="X256" s="1436"/>
      <c r="Y256" s="1436"/>
      <c r="Z256" s="1436"/>
      <c r="AA256" s="1436"/>
      <c r="AB256" s="1436"/>
      <c r="AC256" s="1436"/>
      <c r="AD256" s="1436"/>
      <c r="AE256" s="1436"/>
      <c r="AF256" s="1436"/>
      <c r="AG256" s="1436"/>
      <c r="AH256" s="1436"/>
      <c r="AI256" s="1436"/>
    </row>
    <row r="257" ht="15.75" customHeight="1">
      <c r="A257" s="2079"/>
      <c r="B257" s="1436"/>
      <c r="C257" s="1436"/>
      <c r="D257" s="1436"/>
      <c r="E257" s="1436"/>
      <c r="F257" s="2079"/>
      <c r="G257" s="2079"/>
      <c r="H257" s="2079"/>
      <c r="I257" s="1436"/>
      <c r="J257" s="1436"/>
      <c r="K257" s="2079"/>
      <c r="L257" s="2079"/>
      <c r="M257" s="2079"/>
      <c r="N257" s="2079"/>
      <c r="O257" s="1436"/>
      <c r="P257" s="1436"/>
      <c r="Q257" s="1436"/>
      <c r="R257" s="1436"/>
      <c r="S257" s="2082"/>
      <c r="T257" s="2082"/>
      <c r="U257" s="2082"/>
      <c r="V257" s="1436"/>
      <c r="W257" s="1436"/>
      <c r="X257" s="1436"/>
      <c r="Y257" s="1436"/>
      <c r="Z257" s="1436"/>
      <c r="AA257" s="1436"/>
      <c r="AB257" s="1436"/>
      <c r="AC257" s="1436"/>
      <c r="AD257" s="1436"/>
      <c r="AE257" s="1436"/>
      <c r="AF257" s="1436"/>
      <c r="AG257" s="1436"/>
      <c r="AH257" s="1436"/>
      <c r="AI257" s="1436"/>
    </row>
    <row r="258" ht="15.75" customHeight="1">
      <c r="A258" s="2079"/>
      <c r="B258" s="1436"/>
      <c r="C258" s="1436"/>
      <c r="D258" s="1436"/>
      <c r="E258" s="1436"/>
      <c r="F258" s="2079"/>
      <c r="G258" s="2079"/>
      <c r="H258" s="2079"/>
      <c r="I258" s="1436"/>
      <c r="J258" s="1436"/>
      <c r="K258" s="2079"/>
      <c r="L258" s="2079"/>
      <c r="M258" s="2079"/>
      <c r="N258" s="2079"/>
      <c r="O258" s="1436"/>
      <c r="P258" s="1436"/>
      <c r="Q258" s="1436"/>
      <c r="R258" s="1436"/>
      <c r="S258" s="2082"/>
      <c r="T258" s="2082"/>
      <c r="U258" s="2082"/>
      <c r="V258" s="1436"/>
      <c r="W258" s="1436"/>
      <c r="X258" s="1436"/>
      <c r="Y258" s="1436"/>
      <c r="Z258" s="1436"/>
      <c r="AA258" s="1436"/>
      <c r="AB258" s="1436"/>
      <c r="AC258" s="1436"/>
      <c r="AD258" s="1436"/>
      <c r="AE258" s="1436"/>
      <c r="AF258" s="1436"/>
      <c r="AG258" s="1436"/>
      <c r="AH258" s="1436"/>
      <c r="AI258" s="1436"/>
    </row>
    <row r="259" ht="15.75" customHeight="1">
      <c r="A259" s="2079"/>
      <c r="B259" s="1436"/>
      <c r="C259" s="1436"/>
      <c r="D259" s="1436"/>
      <c r="E259" s="1436"/>
      <c r="F259" s="2079"/>
      <c r="G259" s="2079"/>
      <c r="H259" s="2079"/>
      <c r="I259" s="1436"/>
      <c r="J259" s="1436"/>
      <c r="K259" s="2079"/>
      <c r="L259" s="2079"/>
      <c r="M259" s="2079"/>
      <c r="N259" s="2079"/>
      <c r="O259" s="1436"/>
      <c r="P259" s="1436"/>
      <c r="Q259" s="1436"/>
      <c r="R259" s="1436"/>
      <c r="S259" s="2082"/>
      <c r="T259" s="2082"/>
      <c r="U259" s="2082"/>
      <c r="V259" s="1436"/>
      <c r="W259" s="1436"/>
      <c r="X259" s="1436"/>
      <c r="Y259" s="1436"/>
      <c r="Z259" s="1436"/>
      <c r="AA259" s="1436"/>
      <c r="AB259" s="1436"/>
      <c r="AC259" s="1436"/>
      <c r="AD259" s="1436"/>
      <c r="AE259" s="1436"/>
      <c r="AF259" s="1436"/>
      <c r="AG259" s="1436"/>
      <c r="AH259" s="1436"/>
      <c r="AI259" s="1436"/>
    </row>
    <row r="260" ht="15.75" customHeight="1">
      <c r="A260" s="2079"/>
      <c r="B260" s="1436"/>
      <c r="C260" s="1436"/>
      <c r="D260" s="1436"/>
      <c r="E260" s="1436"/>
      <c r="F260" s="2079"/>
      <c r="G260" s="2079"/>
      <c r="H260" s="2079"/>
      <c r="I260" s="1436"/>
      <c r="J260" s="1436"/>
      <c r="K260" s="2079"/>
      <c r="L260" s="2079"/>
      <c r="M260" s="2079"/>
      <c r="N260" s="2079"/>
      <c r="O260" s="1436"/>
      <c r="P260" s="1436"/>
      <c r="Q260" s="1436"/>
      <c r="R260" s="1436"/>
      <c r="S260" s="2082"/>
      <c r="T260" s="2082"/>
      <c r="U260" s="2082"/>
      <c r="V260" s="1436"/>
      <c r="W260" s="1436"/>
      <c r="X260" s="1436"/>
      <c r="Y260" s="1436"/>
      <c r="Z260" s="1436"/>
      <c r="AA260" s="1436"/>
      <c r="AB260" s="1436"/>
      <c r="AC260" s="1436"/>
      <c r="AD260" s="1436"/>
      <c r="AE260" s="1436"/>
      <c r="AF260" s="1436"/>
      <c r="AG260" s="1436"/>
      <c r="AH260" s="1436"/>
      <c r="AI260" s="1436"/>
    </row>
    <row r="261" ht="15.75" customHeight="1">
      <c r="A261" s="2079"/>
      <c r="B261" s="1436"/>
      <c r="C261" s="1436"/>
      <c r="D261" s="1436"/>
      <c r="E261" s="1436"/>
      <c r="F261" s="2079"/>
      <c r="G261" s="2079"/>
      <c r="H261" s="2079"/>
      <c r="I261" s="1436"/>
      <c r="J261" s="1436"/>
      <c r="K261" s="2079"/>
      <c r="L261" s="2079"/>
      <c r="M261" s="2079"/>
      <c r="N261" s="2079"/>
      <c r="O261" s="1436"/>
      <c r="P261" s="1436"/>
      <c r="Q261" s="1436"/>
      <c r="R261" s="1436"/>
      <c r="S261" s="2082"/>
      <c r="T261" s="2082"/>
      <c r="U261" s="2082"/>
      <c r="V261" s="1436"/>
      <c r="W261" s="1436"/>
      <c r="X261" s="1436"/>
      <c r="Y261" s="1436"/>
      <c r="Z261" s="1436"/>
      <c r="AA261" s="1436"/>
      <c r="AB261" s="1436"/>
      <c r="AC261" s="1436"/>
      <c r="AD261" s="1436"/>
      <c r="AE261" s="1436"/>
      <c r="AF261" s="1436"/>
      <c r="AG261" s="1436"/>
      <c r="AH261" s="1436"/>
      <c r="AI261" s="1436"/>
    </row>
    <row r="262" ht="15.75" customHeight="1">
      <c r="A262" s="2079"/>
      <c r="B262" s="1436"/>
      <c r="C262" s="1436"/>
      <c r="D262" s="1436"/>
      <c r="E262" s="1436"/>
      <c r="F262" s="2079"/>
      <c r="G262" s="2079"/>
      <c r="H262" s="2079"/>
      <c r="I262" s="1436"/>
      <c r="J262" s="1436"/>
      <c r="K262" s="2079"/>
      <c r="L262" s="2079"/>
      <c r="M262" s="2079"/>
      <c r="N262" s="2079"/>
      <c r="O262" s="1436"/>
      <c r="P262" s="1436"/>
      <c r="Q262" s="1436"/>
      <c r="R262" s="1436"/>
      <c r="S262" s="2082"/>
      <c r="T262" s="2082"/>
      <c r="U262" s="2082"/>
      <c r="V262" s="1436"/>
      <c r="W262" s="1436"/>
      <c r="X262" s="1436"/>
      <c r="Y262" s="1436"/>
      <c r="Z262" s="1436"/>
      <c r="AA262" s="1436"/>
      <c r="AB262" s="1436"/>
      <c r="AC262" s="1436"/>
      <c r="AD262" s="1436"/>
      <c r="AE262" s="1436"/>
      <c r="AF262" s="1436"/>
      <c r="AG262" s="1436"/>
      <c r="AH262" s="1436"/>
      <c r="AI262" s="1436"/>
    </row>
    <row r="263" ht="15.75" customHeight="1">
      <c r="A263" s="2079"/>
      <c r="B263" s="1436"/>
      <c r="C263" s="1436"/>
      <c r="D263" s="1436"/>
      <c r="E263" s="1436"/>
      <c r="F263" s="2079"/>
      <c r="G263" s="2079"/>
      <c r="H263" s="2079"/>
      <c r="I263" s="1436"/>
      <c r="J263" s="1436"/>
      <c r="K263" s="2079"/>
      <c r="L263" s="2079"/>
      <c r="M263" s="2079"/>
      <c r="N263" s="2079"/>
      <c r="O263" s="1436"/>
      <c r="P263" s="1436"/>
      <c r="Q263" s="1436"/>
      <c r="R263" s="1436"/>
      <c r="S263" s="2082"/>
      <c r="T263" s="2082"/>
      <c r="U263" s="2082"/>
      <c r="V263" s="1436"/>
      <c r="W263" s="1436"/>
      <c r="X263" s="1436"/>
      <c r="Y263" s="1436"/>
      <c r="Z263" s="1436"/>
      <c r="AA263" s="1436"/>
      <c r="AB263" s="1436"/>
      <c r="AC263" s="1436"/>
      <c r="AD263" s="1436"/>
      <c r="AE263" s="1436"/>
      <c r="AF263" s="1436"/>
      <c r="AG263" s="1436"/>
      <c r="AH263" s="1436"/>
      <c r="AI263" s="1436"/>
    </row>
    <row r="264" ht="15.75" customHeight="1">
      <c r="A264" s="2079"/>
      <c r="B264" s="1436"/>
      <c r="C264" s="1436"/>
      <c r="D264" s="1436"/>
      <c r="E264" s="1436"/>
      <c r="F264" s="2079"/>
      <c r="G264" s="2079"/>
      <c r="H264" s="2079"/>
      <c r="I264" s="1436"/>
      <c r="J264" s="1436"/>
      <c r="K264" s="2079"/>
      <c r="L264" s="2079"/>
      <c r="M264" s="2079"/>
      <c r="N264" s="2079"/>
      <c r="O264" s="1436"/>
      <c r="P264" s="1436"/>
      <c r="Q264" s="1436"/>
      <c r="R264" s="1436"/>
      <c r="S264" s="2082"/>
      <c r="T264" s="2082"/>
      <c r="U264" s="2082"/>
      <c r="V264" s="1436"/>
      <c r="W264" s="1436"/>
      <c r="X264" s="1436"/>
      <c r="Y264" s="1436"/>
      <c r="Z264" s="1436"/>
      <c r="AA264" s="1436"/>
      <c r="AB264" s="1436"/>
      <c r="AC264" s="1436"/>
      <c r="AD264" s="1436"/>
      <c r="AE264" s="1436"/>
      <c r="AF264" s="1436"/>
      <c r="AG264" s="1436"/>
      <c r="AH264" s="1436"/>
      <c r="AI264" s="1436"/>
    </row>
    <row r="265" ht="15.75" customHeight="1">
      <c r="A265" s="2079"/>
      <c r="B265" s="1436"/>
      <c r="C265" s="1436"/>
      <c r="D265" s="1436"/>
      <c r="E265" s="1436"/>
      <c r="F265" s="2079"/>
      <c r="G265" s="2079"/>
      <c r="H265" s="2079"/>
      <c r="I265" s="1436"/>
      <c r="J265" s="1436"/>
      <c r="K265" s="2079"/>
      <c r="L265" s="2079"/>
      <c r="M265" s="2079"/>
      <c r="N265" s="2079"/>
      <c r="O265" s="1436"/>
      <c r="P265" s="1436"/>
      <c r="Q265" s="1436"/>
      <c r="R265" s="1436"/>
      <c r="S265" s="2082"/>
      <c r="T265" s="2082"/>
      <c r="U265" s="2082"/>
      <c r="V265" s="1436"/>
      <c r="W265" s="1436"/>
      <c r="X265" s="1436"/>
      <c r="Y265" s="1436"/>
      <c r="Z265" s="1436"/>
      <c r="AA265" s="1436"/>
      <c r="AB265" s="1436"/>
      <c r="AC265" s="1436"/>
      <c r="AD265" s="1436"/>
      <c r="AE265" s="1436"/>
      <c r="AF265" s="1436"/>
      <c r="AG265" s="1436"/>
      <c r="AH265" s="1436"/>
      <c r="AI265" s="1436"/>
    </row>
    <row r="266" ht="15.75" customHeight="1">
      <c r="A266" s="2079"/>
      <c r="B266" s="1436"/>
      <c r="C266" s="1436"/>
      <c r="D266" s="1436"/>
      <c r="E266" s="1436"/>
      <c r="F266" s="2079"/>
      <c r="G266" s="2079"/>
      <c r="H266" s="2079"/>
      <c r="I266" s="1436"/>
      <c r="J266" s="1436"/>
      <c r="K266" s="2079"/>
      <c r="L266" s="2079"/>
      <c r="M266" s="2079"/>
      <c r="N266" s="2079"/>
      <c r="O266" s="1436"/>
      <c r="P266" s="1436"/>
      <c r="Q266" s="1436"/>
      <c r="R266" s="1436"/>
      <c r="S266" s="2082"/>
      <c r="T266" s="2082"/>
      <c r="U266" s="2082"/>
      <c r="V266" s="1436"/>
      <c r="W266" s="1436"/>
      <c r="X266" s="1436"/>
      <c r="Y266" s="1436"/>
      <c r="Z266" s="1436"/>
      <c r="AA266" s="1436"/>
      <c r="AB266" s="1436"/>
      <c r="AC266" s="1436"/>
      <c r="AD266" s="1436"/>
      <c r="AE266" s="1436"/>
      <c r="AF266" s="1436"/>
      <c r="AG266" s="1436"/>
      <c r="AH266" s="1436"/>
      <c r="AI266" s="1436"/>
    </row>
    <row r="267" ht="15.75" customHeight="1">
      <c r="A267" s="2079"/>
      <c r="B267" s="1436"/>
      <c r="C267" s="1436"/>
      <c r="D267" s="1436"/>
      <c r="E267" s="1436"/>
      <c r="F267" s="2079"/>
      <c r="G267" s="2079"/>
      <c r="H267" s="2079"/>
      <c r="I267" s="1436"/>
      <c r="J267" s="1436"/>
      <c r="K267" s="2079"/>
      <c r="L267" s="2079"/>
      <c r="M267" s="2079"/>
      <c r="N267" s="2079"/>
      <c r="O267" s="1436"/>
      <c r="P267" s="1436"/>
      <c r="Q267" s="1436"/>
      <c r="R267" s="1436"/>
      <c r="S267" s="2082"/>
      <c r="T267" s="2082"/>
      <c r="U267" s="2082"/>
      <c r="V267" s="1436"/>
      <c r="W267" s="1436"/>
      <c r="X267" s="1436"/>
      <c r="Y267" s="1436"/>
      <c r="Z267" s="1436"/>
      <c r="AA267" s="1436"/>
      <c r="AB267" s="1436"/>
      <c r="AC267" s="1436"/>
      <c r="AD267" s="1436"/>
      <c r="AE267" s="1436"/>
      <c r="AF267" s="1436"/>
      <c r="AG267" s="1436"/>
      <c r="AH267" s="1436"/>
      <c r="AI267" s="1436"/>
    </row>
    <row r="268" ht="15.75" customHeight="1">
      <c r="A268" s="2079"/>
      <c r="B268" s="1436"/>
      <c r="C268" s="1436"/>
      <c r="D268" s="1436"/>
      <c r="E268" s="1436"/>
      <c r="F268" s="2079"/>
      <c r="G268" s="2079"/>
      <c r="H268" s="2079"/>
      <c r="I268" s="1436"/>
      <c r="J268" s="1436"/>
      <c r="K268" s="2079"/>
      <c r="L268" s="2079"/>
      <c r="M268" s="2079"/>
      <c r="N268" s="2079"/>
      <c r="O268" s="1436"/>
      <c r="P268" s="1436"/>
      <c r="Q268" s="1436"/>
      <c r="R268" s="1436"/>
      <c r="S268" s="2082"/>
      <c r="T268" s="2082"/>
      <c r="U268" s="2082"/>
      <c r="V268" s="1436"/>
      <c r="W268" s="1436"/>
      <c r="X268" s="1436"/>
      <c r="Y268" s="1436"/>
      <c r="Z268" s="1436"/>
      <c r="AA268" s="1436"/>
      <c r="AB268" s="1436"/>
      <c r="AC268" s="1436"/>
      <c r="AD268" s="1436"/>
      <c r="AE268" s="1436"/>
      <c r="AF268" s="1436"/>
      <c r="AG268" s="1436"/>
      <c r="AH268" s="1436"/>
      <c r="AI268" s="1436"/>
    </row>
    <row r="269" ht="15.75" customHeight="1">
      <c r="A269" s="2079"/>
      <c r="B269" s="1436"/>
      <c r="C269" s="1436"/>
      <c r="D269" s="1436"/>
      <c r="E269" s="1436"/>
      <c r="F269" s="2079"/>
      <c r="G269" s="2079"/>
      <c r="H269" s="2079"/>
      <c r="I269" s="1436"/>
      <c r="J269" s="1436"/>
      <c r="K269" s="2079"/>
      <c r="L269" s="2079"/>
      <c r="M269" s="2079"/>
      <c r="N269" s="2079"/>
      <c r="O269" s="1436"/>
      <c r="P269" s="1436"/>
      <c r="Q269" s="1436"/>
      <c r="R269" s="1436"/>
      <c r="S269" s="2082"/>
      <c r="T269" s="2082"/>
      <c r="U269" s="2082"/>
      <c r="V269" s="1436"/>
      <c r="W269" s="1436"/>
      <c r="X269" s="1436"/>
      <c r="Y269" s="1436"/>
      <c r="Z269" s="1436"/>
      <c r="AA269" s="1436"/>
      <c r="AB269" s="1436"/>
      <c r="AC269" s="1436"/>
      <c r="AD269" s="1436"/>
      <c r="AE269" s="1436"/>
      <c r="AF269" s="1436"/>
      <c r="AG269" s="1436"/>
      <c r="AH269" s="1436"/>
      <c r="AI269" s="1436"/>
    </row>
    <row r="270" ht="15.75" customHeight="1">
      <c r="A270" s="2079"/>
      <c r="B270" s="1436"/>
      <c r="C270" s="1436"/>
      <c r="D270" s="1436"/>
      <c r="E270" s="1436"/>
      <c r="F270" s="2079"/>
      <c r="G270" s="2079"/>
      <c r="H270" s="2079"/>
      <c r="I270" s="1436"/>
      <c r="J270" s="1436"/>
      <c r="K270" s="2079"/>
      <c r="L270" s="2079"/>
      <c r="M270" s="2079"/>
      <c r="N270" s="2079"/>
      <c r="O270" s="1436"/>
      <c r="P270" s="1436"/>
      <c r="Q270" s="1436"/>
      <c r="R270" s="1436"/>
      <c r="S270" s="2082"/>
      <c r="T270" s="2082"/>
      <c r="U270" s="2082"/>
      <c r="V270" s="1436"/>
      <c r="W270" s="1436"/>
      <c r="X270" s="1436"/>
      <c r="Y270" s="1436"/>
      <c r="Z270" s="1436"/>
      <c r="AA270" s="1436"/>
      <c r="AB270" s="1436"/>
      <c r="AC270" s="1436"/>
      <c r="AD270" s="1436"/>
      <c r="AE270" s="1436"/>
      <c r="AF270" s="1436"/>
      <c r="AG270" s="1436"/>
      <c r="AH270" s="1436"/>
      <c r="AI270" s="1436"/>
    </row>
    <row r="271" ht="15.75" customHeight="1">
      <c r="A271" s="2079"/>
      <c r="B271" s="1436"/>
      <c r="C271" s="1436"/>
      <c r="D271" s="1436"/>
      <c r="E271" s="1436"/>
      <c r="F271" s="2079"/>
      <c r="G271" s="2079"/>
      <c r="H271" s="2079"/>
      <c r="I271" s="1436"/>
      <c r="J271" s="1436"/>
      <c r="K271" s="2079"/>
      <c r="L271" s="2079"/>
      <c r="M271" s="2079"/>
      <c r="N271" s="2079"/>
      <c r="O271" s="1436"/>
      <c r="P271" s="1436"/>
      <c r="Q271" s="1436"/>
      <c r="R271" s="1436"/>
      <c r="S271" s="2082"/>
      <c r="T271" s="2082"/>
      <c r="U271" s="2082"/>
      <c r="V271" s="1436"/>
      <c r="W271" s="1436"/>
      <c r="X271" s="1436"/>
      <c r="Y271" s="1436"/>
      <c r="Z271" s="1436"/>
      <c r="AA271" s="1436"/>
      <c r="AB271" s="1436"/>
      <c r="AC271" s="1436"/>
      <c r="AD271" s="1436"/>
      <c r="AE271" s="1436"/>
      <c r="AF271" s="1436"/>
      <c r="AG271" s="1436"/>
      <c r="AH271" s="1436"/>
      <c r="AI271" s="1436"/>
    </row>
    <row r="272" ht="15.75" customHeight="1">
      <c r="A272" s="2079"/>
      <c r="B272" s="1436"/>
      <c r="C272" s="1436"/>
      <c r="D272" s="1436"/>
      <c r="E272" s="1436"/>
      <c r="F272" s="2079"/>
      <c r="G272" s="2079"/>
      <c r="H272" s="2079"/>
      <c r="I272" s="1436"/>
      <c r="J272" s="1436"/>
      <c r="K272" s="2079"/>
      <c r="L272" s="2079"/>
      <c r="M272" s="2079"/>
      <c r="N272" s="2079"/>
      <c r="O272" s="1436"/>
      <c r="P272" s="1436"/>
      <c r="Q272" s="1436"/>
      <c r="R272" s="1436"/>
      <c r="S272" s="2082"/>
      <c r="T272" s="2082"/>
      <c r="U272" s="2082"/>
      <c r="V272" s="1436"/>
      <c r="W272" s="1436"/>
      <c r="X272" s="1436"/>
      <c r="Y272" s="1436"/>
      <c r="Z272" s="1436"/>
      <c r="AA272" s="1436"/>
      <c r="AB272" s="1436"/>
      <c r="AC272" s="1436"/>
      <c r="AD272" s="1436"/>
      <c r="AE272" s="1436"/>
      <c r="AF272" s="1436"/>
      <c r="AG272" s="1436"/>
      <c r="AH272" s="1436"/>
      <c r="AI272" s="1436"/>
    </row>
    <row r="273" ht="15.75" customHeight="1">
      <c r="A273" s="2079"/>
      <c r="B273" s="1436"/>
      <c r="C273" s="1436"/>
      <c r="D273" s="1436"/>
      <c r="E273" s="1436"/>
      <c r="F273" s="2079"/>
      <c r="G273" s="2079"/>
      <c r="H273" s="2079"/>
      <c r="I273" s="1436"/>
      <c r="J273" s="1436"/>
      <c r="K273" s="2079"/>
      <c r="L273" s="2079"/>
      <c r="M273" s="2079"/>
      <c r="N273" s="2079"/>
      <c r="O273" s="1436"/>
      <c r="P273" s="1436"/>
      <c r="Q273" s="1436"/>
      <c r="R273" s="1436"/>
      <c r="S273" s="2082"/>
      <c r="T273" s="2082"/>
      <c r="U273" s="2082"/>
      <c r="V273" s="1436"/>
      <c r="W273" s="1436"/>
      <c r="X273" s="1436"/>
      <c r="Y273" s="1436"/>
      <c r="Z273" s="1436"/>
      <c r="AA273" s="1436"/>
      <c r="AB273" s="1436"/>
      <c r="AC273" s="1436"/>
      <c r="AD273" s="1436"/>
      <c r="AE273" s="1436"/>
      <c r="AF273" s="1436"/>
      <c r="AG273" s="1436"/>
      <c r="AH273" s="1436"/>
      <c r="AI273" s="1436"/>
    </row>
    <row r="274" ht="15.75" customHeight="1">
      <c r="A274" s="2079"/>
      <c r="B274" s="1436"/>
      <c r="C274" s="1436"/>
      <c r="D274" s="1436"/>
      <c r="E274" s="1436"/>
      <c r="F274" s="2079"/>
      <c r="G274" s="2079"/>
      <c r="H274" s="2079"/>
      <c r="I274" s="1436"/>
      <c r="J274" s="1436"/>
      <c r="K274" s="2079"/>
      <c r="L274" s="2079"/>
      <c r="M274" s="2079"/>
      <c r="N274" s="2079"/>
      <c r="O274" s="1436"/>
      <c r="P274" s="1436"/>
      <c r="Q274" s="1436"/>
      <c r="R274" s="1436"/>
      <c r="S274" s="2082"/>
      <c r="T274" s="2082"/>
      <c r="U274" s="2082"/>
      <c r="V274" s="1436"/>
      <c r="W274" s="1436"/>
      <c r="X274" s="1436"/>
      <c r="Y274" s="1436"/>
      <c r="Z274" s="1436"/>
      <c r="AA274" s="1436"/>
      <c r="AB274" s="1436"/>
      <c r="AC274" s="1436"/>
      <c r="AD274" s="1436"/>
      <c r="AE274" s="1436"/>
      <c r="AF274" s="1436"/>
      <c r="AG274" s="1436"/>
      <c r="AH274" s="1436"/>
      <c r="AI274" s="1436"/>
    </row>
    <row r="275" ht="15.75" customHeight="1">
      <c r="A275" s="2079"/>
      <c r="B275" s="1436"/>
      <c r="C275" s="1436"/>
      <c r="D275" s="1436"/>
      <c r="E275" s="1436"/>
      <c r="F275" s="2079"/>
      <c r="G275" s="2079"/>
      <c r="H275" s="2079"/>
      <c r="I275" s="1436"/>
      <c r="J275" s="1436"/>
      <c r="K275" s="2079"/>
      <c r="L275" s="2079"/>
      <c r="M275" s="2079"/>
      <c r="N275" s="2079"/>
      <c r="O275" s="1436"/>
      <c r="P275" s="1436"/>
      <c r="Q275" s="1436"/>
      <c r="R275" s="1436"/>
      <c r="S275" s="2082"/>
      <c r="T275" s="2082"/>
      <c r="U275" s="2082"/>
      <c r="V275" s="1436"/>
      <c r="W275" s="1436"/>
      <c r="X275" s="1436"/>
      <c r="Y275" s="1436"/>
      <c r="Z275" s="1436"/>
      <c r="AA275" s="1436"/>
      <c r="AB275" s="1436"/>
      <c r="AC275" s="1436"/>
      <c r="AD275" s="1436"/>
      <c r="AE275" s="1436"/>
      <c r="AF275" s="1436"/>
      <c r="AG275" s="1436"/>
      <c r="AH275" s="1436"/>
      <c r="AI275" s="1436"/>
    </row>
    <row r="276" ht="15.75" customHeight="1">
      <c r="A276" s="2079"/>
      <c r="B276" s="1436"/>
      <c r="C276" s="1436"/>
      <c r="D276" s="1436"/>
      <c r="E276" s="1436"/>
      <c r="F276" s="2079"/>
      <c r="G276" s="2079"/>
      <c r="H276" s="2079"/>
      <c r="I276" s="1436"/>
      <c r="J276" s="1436"/>
      <c r="K276" s="2079"/>
      <c r="L276" s="2079"/>
      <c r="M276" s="2079"/>
      <c r="N276" s="2079"/>
      <c r="O276" s="1436"/>
      <c r="P276" s="1436"/>
      <c r="Q276" s="1436"/>
      <c r="R276" s="1436"/>
      <c r="S276" s="2082"/>
      <c r="T276" s="2082"/>
      <c r="U276" s="2082"/>
      <c r="V276" s="1436"/>
      <c r="W276" s="1436"/>
      <c r="X276" s="1436"/>
      <c r="Y276" s="1436"/>
      <c r="Z276" s="1436"/>
      <c r="AA276" s="1436"/>
      <c r="AB276" s="1436"/>
      <c r="AC276" s="1436"/>
      <c r="AD276" s="1436"/>
      <c r="AE276" s="1436"/>
      <c r="AF276" s="1436"/>
      <c r="AG276" s="1436"/>
      <c r="AH276" s="1436"/>
      <c r="AI276" s="1436"/>
    </row>
    <row r="277" ht="15.75" customHeight="1">
      <c r="A277" s="2079"/>
      <c r="B277" s="1436"/>
      <c r="C277" s="1436"/>
      <c r="D277" s="1436"/>
      <c r="E277" s="1436"/>
      <c r="F277" s="2079"/>
      <c r="G277" s="2079"/>
      <c r="H277" s="2079"/>
      <c r="I277" s="1436"/>
      <c r="J277" s="1436"/>
      <c r="K277" s="2079"/>
      <c r="L277" s="2079"/>
      <c r="M277" s="2079"/>
      <c r="N277" s="2079"/>
      <c r="O277" s="1436"/>
      <c r="P277" s="1436"/>
      <c r="Q277" s="1436"/>
      <c r="R277" s="1436"/>
      <c r="S277" s="2082"/>
      <c r="T277" s="2082"/>
      <c r="U277" s="2082"/>
      <c r="V277" s="1436"/>
      <c r="W277" s="1436"/>
      <c r="X277" s="1436"/>
      <c r="Y277" s="1436"/>
      <c r="Z277" s="1436"/>
      <c r="AA277" s="1436"/>
      <c r="AB277" s="1436"/>
      <c r="AC277" s="1436"/>
      <c r="AD277" s="1436"/>
      <c r="AE277" s="1436"/>
      <c r="AF277" s="1436"/>
      <c r="AG277" s="1436"/>
      <c r="AH277" s="1436"/>
      <c r="AI277" s="1436"/>
    </row>
    <row r="278" ht="15.75" customHeight="1">
      <c r="A278" s="2079"/>
      <c r="B278" s="1436"/>
      <c r="C278" s="1436"/>
      <c r="D278" s="1436"/>
      <c r="E278" s="1436"/>
      <c r="F278" s="2079"/>
      <c r="G278" s="2079"/>
      <c r="H278" s="2079"/>
      <c r="I278" s="1436"/>
      <c r="J278" s="1436"/>
      <c r="K278" s="2079"/>
      <c r="L278" s="2079"/>
      <c r="M278" s="2079"/>
      <c r="N278" s="2079"/>
      <c r="O278" s="1436"/>
      <c r="P278" s="1436"/>
      <c r="Q278" s="1436"/>
      <c r="R278" s="1436"/>
      <c r="S278" s="2082"/>
      <c r="T278" s="2082"/>
      <c r="U278" s="2082"/>
      <c r="V278" s="1436"/>
      <c r="W278" s="1436"/>
      <c r="X278" s="1436"/>
      <c r="Y278" s="1436"/>
      <c r="Z278" s="1436"/>
      <c r="AA278" s="1436"/>
      <c r="AB278" s="1436"/>
      <c r="AC278" s="1436"/>
      <c r="AD278" s="1436"/>
      <c r="AE278" s="1436"/>
      <c r="AF278" s="1436"/>
      <c r="AG278" s="1436"/>
      <c r="AH278" s="1436"/>
      <c r="AI278" s="1436"/>
    </row>
    <row r="279" ht="15.75" customHeight="1">
      <c r="A279" s="2079"/>
      <c r="B279" s="1436"/>
      <c r="C279" s="1436"/>
      <c r="D279" s="1436"/>
      <c r="E279" s="1436"/>
      <c r="F279" s="2079"/>
      <c r="G279" s="2079"/>
      <c r="H279" s="2079"/>
      <c r="I279" s="1436"/>
      <c r="J279" s="1436"/>
      <c r="K279" s="2079"/>
      <c r="L279" s="2079"/>
      <c r="M279" s="2079"/>
      <c r="N279" s="2079"/>
      <c r="O279" s="1436"/>
      <c r="P279" s="1436"/>
      <c r="Q279" s="1436"/>
      <c r="R279" s="1436"/>
      <c r="S279" s="2082"/>
      <c r="T279" s="2082"/>
      <c r="U279" s="2082"/>
      <c r="V279" s="1436"/>
      <c r="W279" s="1436"/>
      <c r="X279" s="1436"/>
      <c r="Y279" s="1436"/>
      <c r="Z279" s="1436"/>
      <c r="AA279" s="1436"/>
      <c r="AB279" s="1436"/>
      <c r="AC279" s="1436"/>
      <c r="AD279" s="1436"/>
      <c r="AE279" s="1436"/>
      <c r="AF279" s="1436"/>
      <c r="AG279" s="1436"/>
      <c r="AH279" s="1436"/>
      <c r="AI279" s="1436"/>
    </row>
    <row r="280" ht="15.75" customHeight="1">
      <c r="A280" s="2079"/>
      <c r="B280" s="1436"/>
      <c r="C280" s="1436"/>
      <c r="D280" s="1436"/>
      <c r="E280" s="1436"/>
      <c r="F280" s="2079"/>
      <c r="G280" s="2079"/>
      <c r="H280" s="2079"/>
      <c r="I280" s="1436"/>
      <c r="J280" s="1436"/>
      <c r="K280" s="2079"/>
      <c r="L280" s="2079"/>
      <c r="M280" s="2079"/>
      <c r="N280" s="2079"/>
      <c r="O280" s="1436"/>
      <c r="P280" s="1436"/>
      <c r="Q280" s="1436"/>
      <c r="R280" s="1436"/>
      <c r="S280" s="2082"/>
      <c r="T280" s="2082"/>
      <c r="U280" s="2082"/>
      <c r="V280" s="1436"/>
      <c r="W280" s="1436"/>
      <c r="X280" s="1436"/>
      <c r="Y280" s="1436"/>
      <c r="Z280" s="1436"/>
      <c r="AA280" s="1436"/>
      <c r="AB280" s="1436"/>
      <c r="AC280" s="1436"/>
      <c r="AD280" s="1436"/>
      <c r="AE280" s="1436"/>
      <c r="AF280" s="1436"/>
      <c r="AG280" s="1436"/>
      <c r="AH280" s="1436"/>
      <c r="AI280" s="1436"/>
    </row>
    <row r="281" ht="15.75" customHeight="1">
      <c r="A281" s="2079"/>
      <c r="B281" s="1436"/>
      <c r="C281" s="1436"/>
      <c r="D281" s="1436"/>
      <c r="E281" s="1436"/>
      <c r="F281" s="2079"/>
      <c r="G281" s="2079"/>
      <c r="H281" s="2079"/>
      <c r="I281" s="1436"/>
      <c r="J281" s="1436"/>
      <c r="K281" s="2079"/>
      <c r="L281" s="2079"/>
      <c r="M281" s="2079"/>
      <c r="N281" s="2079"/>
      <c r="O281" s="1436"/>
      <c r="P281" s="1436"/>
      <c r="Q281" s="1436"/>
      <c r="R281" s="1436"/>
      <c r="S281" s="2082"/>
      <c r="T281" s="2082"/>
      <c r="U281" s="2082"/>
      <c r="V281" s="1436"/>
      <c r="W281" s="1436"/>
      <c r="X281" s="1436"/>
      <c r="Y281" s="1436"/>
      <c r="Z281" s="1436"/>
      <c r="AA281" s="1436"/>
      <c r="AB281" s="1436"/>
      <c r="AC281" s="1436"/>
      <c r="AD281" s="1436"/>
      <c r="AE281" s="1436"/>
      <c r="AF281" s="1436"/>
      <c r="AG281" s="1436"/>
      <c r="AH281" s="1436"/>
      <c r="AI281" s="1436"/>
    </row>
    <row r="282" ht="15.75" customHeight="1">
      <c r="A282" s="2079"/>
      <c r="B282" s="1436"/>
      <c r="C282" s="1436"/>
      <c r="D282" s="1436"/>
      <c r="E282" s="1436"/>
      <c r="F282" s="2079"/>
      <c r="G282" s="2079"/>
      <c r="H282" s="2079"/>
      <c r="I282" s="1436"/>
      <c r="J282" s="1436"/>
      <c r="K282" s="2079"/>
      <c r="L282" s="2079"/>
      <c r="M282" s="2079"/>
      <c r="N282" s="2079"/>
      <c r="O282" s="1436"/>
      <c r="P282" s="1436"/>
      <c r="Q282" s="1436"/>
      <c r="R282" s="1436"/>
      <c r="S282" s="2082"/>
      <c r="T282" s="2082"/>
      <c r="U282" s="2082"/>
      <c r="V282" s="1436"/>
      <c r="W282" s="1436"/>
      <c r="X282" s="1436"/>
      <c r="Y282" s="1436"/>
      <c r="Z282" s="1436"/>
      <c r="AA282" s="1436"/>
      <c r="AB282" s="1436"/>
      <c r="AC282" s="1436"/>
      <c r="AD282" s="1436"/>
      <c r="AE282" s="1436"/>
      <c r="AF282" s="1436"/>
      <c r="AG282" s="1436"/>
      <c r="AH282" s="1436"/>
      <c r="AI282" s="1436"/>
    </row>
    <row r="283" ht="15.75" customHeight="1">
      <c r="A283" s="2079"/>
      <c r="B283" s="1436"/>
      <c r="C283" s="1436"/>
      <c r="D283" s="1436"/>
      <c r="E283" s="1436"/>
      <c r="F283" s="2079"/>
      <c r="G283" s="2079"/>
      <c r="H283" s="2079"/>
      <c r="I283" s="1436"/>
      <c r="J283" s="1436"/>
      <c r="K283" s="2079"/>
      <c r="L283" s="2079"/>
      <c r="M283" s="2079"/>
      <c r="N283" s="2079"/>
      <c r="O283" s="1436"/>
      <c r="P283" s="1436"/>
      <c r="Q283" s="1436"/>
      <c r="R283" s="1436"/>
      <c r="S283" s="2082"/>
      <c r="T283" s="2082"/>
      <c r="U283" s="2082"/>
      <c r="V283" s="1436"/>
      <c r="W283" s="1436"/>
      <c r="X283" s="1436"/>
      <c r="Y283" s="1436"/>
      <c r="Z283" s="1436"/>
      <c r="AA283" s="1436"/>
      <c r="AB283" s="1436"/>
      <c r="AC283" s="1436"/>
      <c r="AD283" s="1436"/>
      <c r="AE283" s="1436"/>
      <c r="AF283" s="1436"/>
      <c r="AG283" s="1436"/>
      <c r="AH283" s="1436"/>
      <c r="AI283" s="1436"/>
    </row>
    <row r="284" ht="15.75" customHeight="1">
      <c r="A284" s="2079"/>
      <c r="B284" s="1436"/>
      <c r="C284" s="1436"/>
      <c r="D284" s="1436"/>
      <c r="E284" s="1436"/>
      <c r="F284" s="2079"/>
      <c r="G284" s="2079"/>
      <c r="H284" s="2079"/>
      <c r="I284" s="1436"/>
      <c r="J284" s="1436"/>
      <c r="K284" s="2079"/>
      <c r="L284" s="2079"/>
      <c r="M284" s="2079"/>
      <c r="N284" s="2079"/>
      <c r="O284" s="1436"/>
      <c r="P284" s="1436"/>
      <c r="Q284" s="1436"/>
      <c r="R284" s="1436"/>
      <c r="S284" s="2082"/>
      <c r="T284" s="2082"/>
      <c r="U284" s="2082"/>
      <c r="V284" s="1436"/>
      <c r="W284" s="1436"/>
      <c r="X284" s="1436"/>
      <c r="Y284" s="1436"/>
      <c r="Z284" s="1436"/>
      <c r="AA284" s="1436"/>
      <c r="AB284" s="1436"/>
      <c r="AC284" s="1436"/>
      <c r="AD284" s="1436"/>
      <c r="AE284" s="1436"/>
      <c r="AF284" s="1436"/>
      <c r="AG284" s="1436"/>
      <c r="AH284" s="1436"/>
      <c r="AI284" s="1436"/>
    </row>
    <row r="285" ht="15.75" customHeight="1">
      <c r="A285" s="2079"/>
      <c r="B285" s="1436"/>
      <c r="C285" s="1436"/>
      <c r="D285" s="1436"/>
      <c r="E285" s="1436"/>
      <c r="F285" s="2079"/>
      <c r="G285" s="2079"/>
      <c r="H285" s="2079"/>
      <c r="I285" s="1436"/>
      <c r="J285" s="1436"/>
      <c r="K285" s="2079"/>
      <c r="L285" s="2079"/>
      <c r="M285" s="2079"/>
      <c r="N285" s="2079"/>
      <c r="O285" s="1436"/>
      <c r="P285" s="1436"/>
      <c r="Q285" s="1436"/>
      <c r="R285" s="1436"/>
      <c r="S285" s="2082"/>
      <c r="T285" s="2082"/>
      <c r="U285" s="2082"/>
      <c r="V285" s="1436"/>
      <c r="W285" s="1436"/>
      <c r="X285" s="1436"/>
      <c r="Y285" s="1436"/>
      <c r="Z285" s="1436"/>
      <c r="AA285" s="1436"/>
      <c r="AB285" s="1436"/>
      <c r="AC285" s="1436"/>
      <c r="AD285" s="1436"/>
      <c r="AE285" s="1436"/>
      <c r="AF285" s="1436"/>
      <c r="AG285" s="1436"/>
      <c r="AH285" s="1436"/>
      <c r="AI285" s="1436"/>
    </row>
    <row r="286" ht="15.75" customHeight="1">
      <c r="A286" s="2079"/>
      <c r="B286" s="1436"/>
      <c r="C286" s="1436"/>
      <c r="D286" s="1436"/>
      <c r="E286" s="1436"/>
      <c r="F286" s="2079"/>
      <c r="G286" s="2079"/>
      <c r="H286" s="2079"/>
      <c r="I286" s="1436"/>
      <c r="J286" s="1436"/>
      <c r="K286" s="2079"/>
      <c r="L286" s="2079"/>
      <c r="M286" s="2079"/>
      <c r="N286" s="2079"/>
      <c r="O286" s="1436"/>
      <c r="P286" s="1436"/>
      <c r="Q286" s="1436"/>
      <c r="R286" s="1436"/>
      <c r="S286" s="2082"/>
      <c r="T286" s="2082"/>
      <c r="U286" s="2082"/>
      <c r="V286" s="1436"/>
      <c r="W286" s="1436"/>
      <c r="X286" s="1436"/>
      <c r="Y286" s="1436"/>
      <c r="Z286" s="1436"/>
      <c r="AA286" s="1436"/>
      <c r="AB286" s="1436"/>
      <c r="AC286" s="1436"/>
      <c r="AD286" s="1436"/>
      <c r="AE286" s="1436"/>
      <c r="AF286" s="1436"/>
      <c r="AG286" s="1436"/>
      <c r="AH286" s="1436"/>
      <c r="AI286" s="1436"/>
    </row>
    <row r="287" ht="15.75" customHeight="1">
      <c r="A287" s="2079"/>
      <c r="B287" s="1436"/>
      <c r="C287" s="1436"/>
      <c r="D287" s="1436"/>
      <c r="E287" s="1436"/>
      <c r="F287" s="2079"/>
      <c r="G287" s="2079"/>
      <c r="H287" s="2079"/>
      <c r="I287" s="1436"/>
      <c r="J287" s="1436"/>
      <c r="K287" s="2079"/>
      <c r="L287" s="2079"/>
      <c r="M287" s="2079"/>
      <c r="N287" s="2079"/>
      <c r="O287" s="1436"/>
      <c r="P287" s="1436"/>
      <c r="Q287" s="1436"/>
      <c r="R287" s="1436"/>
      <c r="S287" s="2082"/>
      <c r="T287" s="2082"/>
      <c r="U287" s="2082"/>
      <c r="V287" s="1436"/>
      <c r="W287" s="1436"/>
      <c r="X287" s="1436"/>
      <c r="Y287" s="1436"/>
      <c r="Z287" s="1436"/>
      <c r="AA287" s="1436"/>
      <c r="AB287" s="1436"/>
      <c r="AC287" s="1436"/>
      <c r="AD287" s="1436"/>
      <c r="AE287" s="1436"/>
      <c r="AF287" s="1436"/>
      <c r="AG287" s="1436"/>
      <c r="AH287" s="1436"/>
      <c r="AI287" s="1436"/>
    </row>
    <row r="288" ht="15.75" customHeight="1">
      <c r="A288" s="2079"/>
      <c r="B288" s="1436"/>
      <c r="C288" s="1436"/>
      <c r="D288" s="1436"/>
      <c r="E288" s="1436"/>
      <c r="F288" s="2079"/>
      <c r="G288" s="2079"/>
      <c r="H288" s="2079"/>
      <c r="I288" s="1436"/>
      <c r="J288" s="1436"/>
      <c r="K288" s="2079"/>
      <c r="L288" s="2079"/>
      <c r="M288" s="2079"/>
      <c r="N288" s="2079"/>
      <c r="O288" s="1436"/>
      <c r="P288" s="1436"/>
      <c r="Q288" s="1436"/>
      <c r="R288" s="1436"/>
      <c r="S288" s="2082"/>
      <c r="T288" s="2082"/>
      <c r="U288" s="2082"/>
      <c r="V288" s="1436"/>
      <c r="W288" s="1436"/>
      <c r="X288" s="1436"/>
      <c r="Y288" s="1436"/>
      <c r="Z288" s="1436"/>
      <c r="AA288" s="1436"/>
      <c r="AB288" s="1436"/>
      <c r="AC288" s="1436"/>
      <c r="AD288" s="1436"/>
      <c r="AE288" s="1436"/>
      <c r="AF288" s="1436"/>
      <c r="AG288" s="1436"/>
      <c r="AH288" s="1436"/>
      <c r="AI288" s="1436"/>
    </row>
    <row r="289" ht="15.75" customHeight="1">
      <c r="A289" s="2079"/>
      <c r="B289" s="1436"/>
      <c r="C289" s="1436"/>
      <c r="D289" s="1436"/>
      <c r="E289" s="1436"/>
      <c r="F289" s="2079"/>
      <c r="G289" s="2079"/>
      <c r="H289" s="2079"/>
      <c r="I289" s="1436"/>
      <c r="J289" s="1436"/>
      <c r="K289" s="2079"/>
      <c r="L289" s="2079"/>
      <c r="M289" s="2079"/>
      <c r="N289" s="2079"/>
      <c r="O289" s="1436"/>
      <c r="P289" s="1436"/>
      <c r="Q289" s="1436"/>
      <c r="R289" s="1436"/>
      <c r="S289" s="2082"/>
      <c r="T289" s="2082"/>
      <c r="U289" s="2082"/>
      <c r="V289" s="1436"/>
      <c r="W289" s="1436"/>
      <c r="X289" s="1436"/>
      <c r="Y289" s="1436"/>
      <c r="Z289" s="1436"/>
      <c r="AA289" s="1436"/>
      <c r="AB289" s="1436"/>
      <c r="AC289" s="1436"/>
      <c r="AD289" s="1436"/>
      <c r="AE289" s="1436"/>
      <c r="AF289" s="1436"/>
      <c r="AG289" s="1436"/>
      <c r="AH289" s="1436"/>
      <c r="AI289" s="1436"/>
    </row>
    <row r="290" ht="15.75" customHeight="1">
      <c r="A290" s="2079"/>
      <c r="B290" s="1436"/>
      <c r="C290" s="1436"/>
      <c r="D290" s="1436"/>
      <c r="E290" s="1436"/>
      <c r="F290" s="2079"/>
      <c r="G290" s="2079"/>
      <c r="H290" s="2079"/>
      <c r="I290" s="1436"/>
      <c r="J290" s="1436"/>
      <c r="K290" s="2079"/>
      <c r="L290" s="2079"/>
      <c r="M290" s="2079"/>
      <c r="N290" s="2079"/>
      <c r="O290" s="1436"/>
      <c r="P290" s="1436"/>
      <c r="Q290" s="1436"/>
      <c r="R290" s="1436"/>
      <c r="S290" s="2082"/>
      <c r="T290" s="2082"/>
      <c r="U290" s="2082"/>
      <c r="V290" s="1436"/>
      <c r="W290" s="1436"/>
      <c r="X290" s="1436"/>
      <c r="Y290" s="1436"/>
      <c r="Z290" s="1436"/>
      <c r="AA290" s="1436"/>
      <c r="AB290" s="1436"/>
      <c r="AC290" s="1436"/>
      <c r="AD290" s="1436"/>
      <c r="AE290" s="1436"/>
      <c r="AF290" s="1436"/>
      <c r="AG290" s="1436"/>
      <c r="AH290" s="1436"/>
      <c r="AI290" s="1436"/>
    </row>
    <row r="291" ht="15.75" customHeight="1">
      <c r="A291" s="2079"/>
      <c r="B291" s="1436"/>
      <c r="C291" s="1436"/>
      <c r="D291" s="1436"/>
      <c r="E291" s="1436"/>
      <c r="F291" s="2079"/>
      <c r="G291" s="2079"/>
      <c r="H291" s="2079"/>
      <c r="I291" s="1436"/>
      <c r="J291" s="1436"/>
      <c r="K291" s="2079"/>
      <c r="L291" s="2079"/>
      <c r="M291" s="2079"/>
      <c r="N291" s="2079"/>
      <c r="O291" s="1436"/>
      <c r="P291" s="1436"/>
      <c r="Q291" s="1436"/>
      <c r="R291" s="1436"/>
      <c r="S291" s="2082"/>
      <c r="T291" s="2082"/>
      <c r="U291" s="2082"/>
      <c r="V291" s="1436"/>
      <c r="W291" s="1436"/>
      <c r="X291" s="1436"/>
      <c r="Y291" s="1436"/>
      <c r="Z291" s="1436"/>
      <c r="AA291" s="1436"/>
      <c r="AB291" s="1436"/>
      <c r="AC291" s="1436"/>
      <c r="AD291" s="1436"/>
      <c r="AE291" s="1436"/>
      <c r="AF291" s="1436"/>
      <c r="AG291" s="1436"/>
      <c r="AH291" s="1436"/>
      <c r="AI291" s="1436"/>
    </row>
    <row r="292" ht="15.75" customHeight="1">
      <c r="A292" s="2079"/>
      <c r="B292" s="1436"/>
      <c r="C292" s="1436"/>
      <c r="D292" s="1436"/>
      <c r="E292" s="1436"/>
      <c r="F292" s="2079"/>
      <c r="G292" s="2079"/>
      <c r="H292" s="2079"/>
      <c r="I292" s="1436"/>
      <c r="J292" s="1436"/>
      <c r="K292" s="2079"/>
      <c r="L292" s="2079"/>
      <c r="M292" s="2079"/>
      <c r="N292" s="2079"/>
      <c r="O292" s="1436"/>
      <c r="P292" s="1436"/>
      <c r="Q292" s="1436"/>
      <c r="R292" s="1436"/>
      <c r="S292" s="2082"/>
      <c r="T292" s="2082"/>
      <c r="U292" s="2082"/>
      <c r="V292" s="1436"/>
      <c r="W292" s="1436"/>
      <c r="X292" s="1436"/>
      <c r="Y292" s="1436"/>
      <c r="Z292" s="1436"/>
      <c r="AA292" s="1436"/>
      <c r="AB292" s="1436"/>
      <c r="AC292" s="1436"/>
      <c r="AD292" s="1436"/>
      <c r="AE292" s="1436"/>
      <c r="AF292" s="1436"/>
      <c r="AG292" s="1436"/>
      <c r="AH292" s="1436"/>
      <c r="AI292" s="1436"/>
    </row>
    <row r="293" ht="15.75" customHeight="1">
      <c r="A293" s="2079"/>
      <c r="B293" s="1436"/>
      <c r="C293" s="1436"/>
      <c r="D293" s="1436"/>
      <c r="E293" s="1436"/>
      <c r="F293" s="2079"/>
      <c r="G293" s="2079"/>
      <c r="H293" s="2079"/>
      <c r="I293" s="1436"/>
      <c r="J293" s="1436"/>
      <c r="K293" s="2079"/>
      <c r="L293" s="2079"/>
      <c r="M293" s="2079"/>
      <c r="N293" s="2079"/>
      <c r="O293" s="1436"/>
      <c r="P293" s="1436"/>
      <c r="Q293" s="1436"/>
      <c r="R293" s="1436"/>
      <c r="S293" s="2082"/>
      <c r="T293" s="2082"/>
      <c r="U293" s="2082"/>
      <c r="V293" s="1436"/>
      <c r="W293" s="1436"/>
      <c r="X293" s="1436"/>
      <c r="Y293" s="1436"/>
      <c r="Z293" s="1436"/>
      <c r="AA293" s="1436"/>
      <c r="AB293" s="1436"/>
      <c r="AC293" s="1436"/>
      <c r="AD293" s="1436"/>
      <c r="AE293" s="1436"/>
      <c r="AF293" s="1436"/>
      <c r="AG293" s="1436"/>
      <c r="AH293" s="1436"/>
      <c r="AI293" s="1436"/>
    </row>
    <row r="294" ht="15.75" customHeight="1">
      <c r="A294" s="2079"/>
      <c r="B294" s="1436"/>
      <c r="C294" s="1436"/>
      <c r="D294" s="1436"/>
      <c r="E294" s="1436"/>
      <c r="F294" s="2079"/>
      <c r="G294" s="2079"/>
      <c r="H294" s="2079"/>
      <c r="I294" s="1436"/>
      <c r="J294" s="1436"/>
      <c r="K294" s="2079"/>
      <c r="L294" s="2079"/>
      <c r="M294" s="2079"/>
      <c r="N294" s="2079"/>
      <c r="O294" s="1436"/>
      <c r="P294" s="1436"/>
      <c r="Q294" s="1436"/>
      <c r="R294" s="1436"/>
      <c r="S294" s="2082"/>
      <c r="T294" s="2082"/>
      <c r="U294" s="2082"/>
      <c r="V294" s="1436"/>
      <c r="W294" s="1436"/>
      <c r="X294" s="1436"/>
      <c r="Y294" s="1436"/>
      <c r="Z294" s="1436"/>
      <c r="AA294" s="1436"/>
      <c r="AB294" s="1436"/>
      <c r="AC294" s="1436"/>
      <c r="AD294" s="1436"/>
      <c r="AE294" s="1436"/>
      <c r="AF294" s="1436"/>
      <c r="AG294" s="1436"/>
      <c r="AH294" s="1436"/>
      <c r="AI294" s="1436"/>
    </row>
    <row r="295" ht="15.75" customHeight="1">
      <c r="A295" s="2079"/>
      <c r="B295" s="1436"/>
      <c r="C295" s="1436"/>
      <c r="D295" s="1436"/>
      <c r="E295" s="1436"/>
      <c r="F295" s="2079"/>
      <c r="G295" s="2079"/>
      <c r="H295" s="2079"/>
      <c r="I295" s="1436"/>
      <c r="J295" s="1436"/>
      <c r="K295" s="2079"/>
      <c r="L295" s="2079"/>
      <c r="M295" s="2079"/>
      <c r="N295" s="2079"/>
      <c r="O295" s="1436"/>
      <c r="P295" s="1436"/>
      <c r="Q295" s="1436"/>
      <c r="R295" s="1436"/>
      <c r="S295" s="2082"/>
      <c r="T295" s="2082"/>
      <c r="U295" s="2082"/>
      <c r="V295" s="1436"/>
      <c r="W295" s="1436"/>
      <c r="X295" s="1436"/>
      <c r="Y295" s="1436"/>
      <c r="Z295" s="1436"/>
      <c r="AA295" s="1436"/>
      <c r="AB295" s="1436"/>
      <c r="AC295" s="1436"/>
      <c r="AD295" s="1436"/>
      <c r="AE295" s="1436"/>
      <c r="AF295" s="1436"/>
      <c r="AG295" s="1436"/>
      <c r="AH295" s="1436"/>
      <c r="AI295" s="1436"/>
    </row>
    <row r="296" ht="15.75" customHeight="1">
      <c r="A296" s="2079"/>
      <c r="B296" s="1436"/>
      <c r="C296" s="1436"/>
      <c r="D296" s="1436"/>
      <c r="E296" s="1436"/>
      <c r="F296" s="2079"/>
      <c r="G296" s="2079"/>
      <c r="H296" s="2079"/>
      <c r="I296" s="1436"/>
      <c r="J296" s="1436"/>
      <c r="K296" s="2079"/>
      <c r="L296" s="2079"/>
      <c r="M296" s="2079"/>
      <c r="N296" s="2079"/>
      <c r="O296" s="1436"/>
      <c r="P296" s="1436"/>
      <c r="Q296" s="1436"/>
      <c r="R296" s="1436"/>
      <c r="S296" s="2082"/>
      <c r="T296" s="2082"/>
      <c r="U296" s="2082"/>
      <c r="V296" s="1436"/>
      <c r="W296" s="1436"/>
      <c r="X296" s="1436"/>
      <c r="Y296" s="1436"/>
      <c r="Z296" s="1436"/>
      <c r="AA296" s="1436"/>
      <c r="AB296" s="1436"/>
      <c r="AC296" s="1436"/>
      <c r="AD296" s="1436"/>
      <c r="AE296" s="1436"/>
      <c r="AF296" s="1436"/>
      <c r="AG296" s="1436"/>
      <c r="AH296" s="1436"/>
      <c r="AI296" s="1436"/>
    </row>
    <row r="297" ht="15.75" customHeight="1">
      <c r="A297" s="2079"/>
      <c r="B297" s="1436"/>
      <c r="C297" s="1436"/>
      <c r="D297" s="1436"/>
      <c r="E297" s="1436"/>
      <c r="F297" s="2079"/>
      <c r="G297" s="2079"/>
      <c r="H297" s="2079"/>
      <c r="I297" s="1436"/>
      <c r="J297" s="1436"/>
      <c r="K297" s="2079"/>
      <c r="L297" s="2079"/>
      <c r="M297" s="2079"/>
      <c r="N297" s="2079"/>
      <c r="O297" s="1436"/>
      <c r="P297" s="1436"/>
      <c r="Q297" s="1436"/>
      <c r="R297" s="1436"/>
      <c r="S297" s="2082"/>
      <c r="T297" s="2082"/>
      <c r="U297" s="2082"/>
      <c r="V297" s="1436"/>
      <c r="W297" s="1436"/>
      <c r="X297" s="1436"/>
      <c r="Y297" s="1436"/>
      <c r="Z297" s="1436"/>
      <c r="AA297" s="1436"/>
      <c r="AB297" s="1436"/>
      <c r="AC297" s="1436"/>
      <c r="AD297" s="1436"/>
      <c r="AE297" s="1436"/>
      <c r="AF297" s="1436"/>
      <c r="AG297" s="1436"/>
      <c r="AH297" s="1436"/>
      <c r="AI297" s="1436"/>
    </row>
    <row r="298" ht="15.75" customHeight="1">
      <c r="A298" s="2079"/>
      <c r="B298" s="1436"/>
      <c r="C298" s="1436"/>
      <c r="D298" s="1436"/>
      <c r="E298" s="1436"/>
      <c r="F298" s="2079"/>
      <c r="G298" s="2079"/>
      <c r="H298" s="2079"/>
      <c r="I298" s="1436"/>
      <c r="J298" s="1436"/>
      <c r="K298" s="2079"/>
      <c r="L298" s="2079"/>
      <c r="M298" s="2079"/>
      <c r="N298" s="2079"/>
      <c r="O298" s="1436"/>
      <c r="P298" s="1436"/>
      <c r="Q298" s="1436"/>
      <c r="R298" s="1436"/>
      <c r="S298" s="2082"/>
      <c r="T298" s="2082"/>
      <c r="U298" s="2082"/>
      <c r="V298" s="1436"/>
      <c r="W298" s="1436"/>
      <c r="X298" s="1436"/>
      <c r="Y298" s="1436"/>
      <c r="Z298" s="1436"/>
      <c r="AA298" s="1436"/>
      <c r="AB298" s="1436"/>
      <c r="AC298" s="1436"/>
      <c r="AD298" s="1436"/>
      <c r="AE298" s="1436"/>
      <c r="AF298" s="1436"/>
      <c r="AG298" s="1436"/>
      <c r="AH298" s="1436"/>
      <c r="AI298" s="1436"/>
    </row>
    <row r="299" ht="15.75" customHeight="1">
      <c r="A299" s="2079"/>
      <c r="B299" s="1436"/>
      <c r="C299" s="1436"/>
      <c r="D299" s="1436"/>
      <c r="E299" s="1436"/>
      <c r="F299" s="2079"/>
      <c r="G299" s="2079"/>
      <c r="H299" s="2079"/>
      <c r="I299" s="1436"/>
      <c r="J299" s="1436"/>
      <c r="K299" s="2079"/>
      <c r="L299" s="2079"/>
      <c r="M299" s="2079"/>
      <c r="N299" s="2079"/>
      <c r="O299" s="1436"/>
      <c r="P299" s="1436"/>
      <c r="Q299" s="1436"/>
      <c r="R299" s="1436"/>
      <c r="S299" s="2082"/>
      <c r="T299" s="2082"/>
      <c r="U299" s="2082"/>
      <c r="V299" s="1436"/>
      <c r="W299" s="1436"/>
      <c r="X299" s="1436"/>
      <c r="Y299" s="1436"/>
      <c r="Z299" s="1436"/>
      <c r="AA299" s="1436"/>
      <c r="AB299" s="1436"/>
      <c r="AC299" s="1436"/>
      <c r="AD299" s="1436"/>
      <c r="AE299" s="1436"/>
      <c r="AF299" s="1436"/>
      <c r="AG299" s="1436"/>
      <c r="AH299" s="1436"/>
      <c r="AI299" s="1436"/>
    </row>
    <row r="300" ht="15.75" customHeight="1">
      <c r="A300" s="2079"/>
      <c r="B300" s="1436"/>
      <c r="C300" s="1436"/>
      <c r="D300" s="1436"/>
      <c r="E300" s="1436"/>
      <c r="F300" s="2079"/>
      <c r="G300" s="2079"/>
      <c r="H300" s="2079"/>
      <c r="I300" s="1436"/>
      <c r="J300" s="1436"/>
      <c r="K300" s="2079"/>
      <c r="L300" s="2079"/>
      <c r="M300" s="2079"/>
      <c r="N300" s="2079"/>
      <c r="O300" s="1436"/>
      <c r="P300" s="1436"/>
      <c r="Q300" s="1436"/>
      <c r="R300" s="1436"/>
      <c r="S300" s="2082"/>
      <c r="T300" s="2082"/>
      <c r="U300" s="2082"/>
      <c r="V300" s="1436"/>
      <c r="W300" s="1436"/>
      <c r="X300" s="1436"/>
      <c r="Y300" s="1436"/>
      <c r="Z300" s="1436"/>
      <c r="AA300" s="1436"/>
      <c r="AB300" s="1436"/>
      <c r="AC300" s="1436"/>
      <c r="AD300" s="1436"/>
      <c r="AE300" s="1436"/>
      <c r="AF300" s="1436"/>
      <c r="AG300" s="1436"/>
      <c r="AH300" s="1436"/>
      <c r="AI300" s="1436"/>
    </row>
    <row r="301" ht="15.75" customHeight="1">
      <c r="A301" s="2079"/>
      <c r="B301" s="1436"/>
      <c r="C301" s="1436"/>
      <c r="D301" s="1436"/>
      <c r="E301" s="1436"/>
      <c r="F301" s="2079"/>
      <c r="G301" s="2079"/>
      <c r="H301" s="2079"/>
      <c r="I301" s="1436"/>
      <c r="J301" s="1436"/>
      <c r="K301" s="2079"/>
      <c r="L301" s="2079"/>
      <c r="M301" s="2079"/>
      <c r="N301" s="2079"/>
      <c r="O301" s="1436"/>
      <c r="P301" s="1436"/>
      <c r="Q301" s="1436"/>
      <c r="R301" s="1436"/>
      <c r="S301" s="2082"/>
      <c r="T301" s="2082"/>
      <c r="U301" s="2082"/>
      <c r="V301" s="1436"/>
      <c r="W301" s="1436"/>
      <c r="X301" s="1436"/>
      <c r="Y301" s="1436"/>
      <c r="Z301" s="1436"/>
      <c r="AA301" s="1436"/>
      <c r="AB301" s="1436"/>
      <c r="AC301" s="1436"/>
      <c r="AD301" s="1436"/>
      <c r="AE301" s="1436"/>
      <c r="AF301" s="1436"/>
      <c r="AG301" s="1436"/>
      <c r="AH301" s="1436"/>
      <c r="AI301" s="1436"/>
    </row>
    <row r="302" ht="15.75" customHeight="1">
      <c r="A302" s="2079"/>
      <c r="B302" s="1436"/>
      <c r="C302" s="1436"/>
      <c r="D302" s="1436"/>
      <c r="E302" s="1436"/>
      <c r="F302" s="2079"/>
      <c r="G302" s="2079"/>
      <c r="H302" s="2079"/>
      <c r="I302" s="1436"/>
      <c r="J302" s="1436"/>
      <c r="K302" s="2079"/>
      <c r="L302" s="2079"/>
      <c r="M302" s="2079"/>
      <c r="N302" s="2079"/>
      <c r="O302" s="1436"/>
      <c r="P302" s="1436"/>
      <c r="Q302" s="1436"/>
      <c r="R302" s="1436"/>
      <c r="S302" s="2082"/>
      <c r="T302" s="2082"/>
      <c r="U302" s="2082"/>
      <c r="V302" s="1436"/>
      <c r="W302" s="1436"/>
      <c r="X302" s="1436"/>
      <c r="Y302" s="1436"/>
      <c r="Z302" s="1436"/>
      <c r="AA302" s="1436"/>
      <c r="AB302" s="1436"/>
      <c r="AC302" s="1436"/>
      <c r="AD302" s="1436"/>
      <c r="AE302" s="1436"/>
      <c r="AF302" s="1436"/>
      <c r="AG302" s="1436"/>
      <c r="AH302" s="1436"/>
      <c r="AI302" s="1436"/>
    </row>
    <row r="303" ht="15.75" customHeight="1">
      <c r="A303" s="2079"/>
      <c r="B303" s="1436"/>
      <c r="C303" s="1436"/>
      <c r="D303" s="1436"/>
      <c r="E303" s="1436"/>
      <c r="F303" s="2079"/>
      <c r="G303" s="2079"/>
      <c r="H303" s="2079"/>
      <c r="I303" s="1436"/>
      <c r="J303" s="1436"/>
      <c r="K303" s="2079"/>
      <c r="L303" s="2079"/>
      <c r="M303" s="2079"/>
      <c r="N303" s="2079"/>
      <c r="O303" s="1436"/>
      <c r="P303" s="1436"/>
      <c r="Q303" s="1436"/>
      <c r="R303" s="1436"/>
      <c r="S303" s="2082"/>
      <c r="T303" s="2082"/>
      <c r="U303" s="2082"/>
      <c r="V303" s="1436"/>
      <c r="W303" s="1436"/>
      <c r="X303" s="1436"/>
      <c r="Y303" s="1436"/>
      <c r="Z303" s="1436"/>
      <c r="AA303" s="1436"/>
      <c r="AB303" s="1436"/>
      <c r="AC303" s="1436"/>
      <c r="AD303" s="1436"/>
      <c r="AE303" s="1436"/>
      <c r="AF303" s="1436"/>
      <c r="AG303" s="1436"/>
      <c r="AH303" s="1436"/>
      <c r="AI303" s="1436"/>
    </row>
    <row r="304" ht="15.75" customHeight="1">
      <c r="A304" s="2079"/>
      <c r="B304" s="1436"/>
      <c r="C304" s="1436"/>
      <c r="D304" s="1436"/>
      <c r="E304" s="1436"/>
      <c r="F304" s="2079"/>
      <c r="G304" s="2079"/>
      <c r="H304" s="2079"/>
      <c r="I304" s="1436"/>
      <c r="J304" s="1436"/>
      <c r="K304" s="2079"/>
      <c r="L304" s="2079"/>
      <c r="M304" s="2079"/>
      <c r="N304" s="2079"/>
      <c r="O304" s="1436"/>
      <c r="P304" s="1436"/>
      <c r="Q304" s="1436"/>
      <c r="R304" s="1436"/>
      <c r="S304" s="2082"/>
      <c r="T304" s="2082"/>
      <c r="U304" s="2082"/>
      <c r="V304" s="1436"/>
      <c r="W304" s="1436"/>
      <c r="X304" s="1436"/>
      <c r="Y304" s="1436"/>
      <c r="Z304" s="1436"/>
      <c r="AA304" s="1436"/>
      <c r="AB304" s="1436"/>
      <c r="AC304" s="1436"/>
      <c r="AD304" s="1436"/>
      <c r="AE304" s="1436"/>
      <c r="AF304" s="1436"/>
      <c r="AG304" s="1436"/>
      <c r="AH304" s="1436"/>
      <c r="AI304" s="1436"/>
    </row>
    <row r="305" ht="15.75" customHeight="1">
      <c r="A305" s="2079"/>
      <c r="B305" s="1436"/>
      <c r="C305" s="1436"/>
      <c r="D305" s="1436"/>
      <c r="E305" s="1436"/>
      <c r="F305" s="2079"/>
      <c r="G305" s="2079"/>
      <c r="H305" s="2079"/>
      <c r="I305" s="1436"/>
      <c r="J305" s="1436"/>
      <c r="K305" s="2079"/>
      <c r="L305" s="2079"/>
      <c r="M305" s="2079"/>
      <c r="N305" s="2079"/>
      <c r="O305" s="1436"/>
      <c r="P305" s="1436"/>
      <c r="Q305" s="1436"/>
      <c r="R305" s="1436"/>
      <c r="S305" s="2082"/>
      <c r="T305" s="2082"/>
      <c r="U305" s="2082"/>
      <c r="V305" s="1436"/>
      <c r="W305" s="1436"/>
      <c r="X305" s="1436"/>
      <c r="Y305" s="1436"/>
      <c r="Z305" s="1436"/>
      <c r="AA305" s="1436"/>
      <c r="AB305" s="1436"/>
      <c r="AC305" s="1436"/>
      <c r="AD305" s="1436"/>
      <c r="AE305" s="1436"/>
      <c r="AF305" s="1436"/>
      <c r="AG305" s="1436"/>
      <c r="AH305" s="1436"/>
      <c r="AI305" s="1436"/>
    </row>
    <row r="306" ht="15.75" customHeight="1">
      <c r="A306" s="2079"/>
      <c r="B306" s="1436"/>
      <c r="C306" s="1436"/>
      <c r="D306" s="1436"/>
      <c r="E306" s="1436"/>
      <c r="F306" s="2079"/>
      <c r="G306" s="2079"/>
      <c r="H306" s="2079"/>
      <c r="I306" s="1436"/>
      <c r="J306" s="1436"/>
      <c r="K306" s="2079"/>
      <c r="L306" s="2079"/>
      <c r="M306" s="2079"/>
      <c r="N306" s="2079"/>
      <c r="O306" s="1436"/>
      <c r="P306" s="1436"/>
      <c r="Q306" s="1436"/>
      <c r="R306" s="1436"/>
      <c r="S306" s="2082"/>
      <c r="T306" s="2082"/>
      <c r="U306" s="2082"/>
      <c r="V306" s="1436"/>
      <c r="W306" s="1436"/>
      <c r="X306" s="1436"/>
      <c r="Y306" s="1436"/>
      <c r="Z306" s="1436"/>
      <c r="AA306" s="1436"/>
      <c r="AB306" s="1436"/>
      <c r="AC306" s="1436"/>
      <c r="AD306" s="1436"/>
      <c r="AE306" s="1436"/>
      <c r="AF306" s="1436"/>
      <c r="AG306" s="1436"/>
      <c r="AH306" s="1436"/>
      <c r="AI306" s="1436"/>
    </row>
    <row r="307" ht="15.75" customHeight="1">
      <c r="A307" s="2079"/>
      <c r="B307" s="1436"/>
      <c r="C307" s="1436"/>
      <c r="D307" s="1436"/>
      <c r="E307" s="1436"/>
      <c r="F307" s="2079"/>
      <c r="G307" s="2079"/>
      <c r="H307" s="2079"/>
      <c r="I307" s="1436"/>
      <c r="J307" s="1436"/>
      <c r="K307" s="2079"/>
      <c r="L307" s="2079"/>
      <c r="M307" s="2079"/>
      <c r="N307" s="2079"/>
      <c r="O307" s="1436"/>
      <c r="P307" s="1436"/>
      <c r="Q307" s="1436"/>
      <c r="R307" s="1436"/>
      <c r="S307" s="2082"/>
      <c r="T307" s="2082"/>
      <c r="U307" s="2082"/>
      <c r="V307" s="1436"/>
      <c r="W307" s="1436"/>
      <c r="X307" s="1436"/>
      <c r="Y307" s="1436"/>
      <c r="Z307" s="1436"/>
      <c r="AA307" s="1436"/>
      <c r="AB307" s="1436"/>
      <c r="AC307" s="1436"/>
      <c r="AD307" s="1436"/>
      <c r="AE307" s="1436"/>
      <c r="AF307" s="1436"/>
      <c r="AG307" s="1436"/>
      <c r="AH307" s="1436"/>
      <c r="AI307" s="1436"/>
    </row>
    <row r="308" ht="15.75" customHeight="1">
      <c r="A308" s="2079"/>
      <c r="B308" s="1436"/>
      <c r="C308" s="1436"/>
      <c r="D308" s="1436"/>
      <c r="E308" s="1436"/>
      <c r="F308" s="2079"/>
      <c r="G308" s="2079"/>
      <c r="H308" s="2079"/>
      <c r="I308" s="1436"/>
      <c r="J308" s="1436"/>
      <c r="K308" s="2079"/>
      <c r="L308" s="2079"/>
      <c r="M308" s="2079"/>
      <c r="N308" s="2079"/>
      <c r="O308" s="1436"/>
      <c r="P308" s="1436"/>
      <c r="Q308" s="1436"/>
      <c r="R308" s="1436"/>
      <c r="S308" s="2082"/>
      <c r="T308" s="2082"/>
      <c r="U308" s="2082"/>
      <c r="V308" s="1436"/>
      <c r="W308" s="1436"/>
      <c r="X308" s="1436"/>
      <c r="Y308" s="1436"/>
      <c r="Z308" s="1436"/>
      <c r="AA308" s="1436"/>
      <c r="AB308" s="1436"/>
      <c r="AC308" s="1436"/>
      <c r="AD308" s="1436"/>
      <c r="AE308" s="1436"/>
      <c r="AF308" s="1436"/>
      <c r="AG308" s="1436"/>
      <c r="AH308" s="1436"/>
      <c r="AI308" s="1436"/>
    </row>
    <row r="309" ht="15.75" customHeight="1">
      <c r="A309" s="2079"/>
      <c r="B309" s="1436"/>
      <c r="C309" s="1436"/>
      <c r="D309" s="1436"/>
      <c r="E309" s="1436"/>
      <c r="F309" s="2079"/>
      <c r="G309" s="2079"/>
      <c r="H309" s="2079"/>
      <c r="I309" s="1436"/>
      <c r="J309" s="1436"/>
      <c r="K309" s="2079"/>
      <c r="L309" s="2079"/>
      <c r="M309" s="2079"/>
      <c r="N309" s="2079"/>
      <c r="O309" s="1436"/>
      <c r="P309" s="1436"/>
      <c r="Q309" s="1436"/>
      <c r="R309" s="1436"/>
      <c r="S309" s="2082"/>
      <c r="T309" s="2082"/>
      <c r="U309" s="2082"/>
      <c r="V309" s="1436"/>
      <c r="W309" s="1436"/>
      <c r="X309" s="1436"/>
      <c r="Y309" s="1436"/>
      <c r="Z309" s="1436"/>
      <c r="AA309" s="1436"/>
      <c r="AB309" s="1436"/>
      <c r="AC309" s="1436"/>
      <c r="AD309" s="1436"/>
      <c r="AE309" s="1436"/>
      <c r="AF309" s="1436"/>
      <c r="AG309" s="1436"/>
      <c r="AH309" s="1436"/>
      <c r="AI309" s="1436"/>
    </row>
    <row r="310" ht="15.75" customHeight="1">
      <c r="A310" s="2079"/>
      <c r="B310" s="1436"/>
      <c r="C310" s="1436"/>
      <c r="D310" s="1436"/>
      <c r="E310" s="1436"/>
      <c r="F310" s="2079"/>
      <c r="G310" s="2079"/>
      <c r="H310" s="2079"/>
      <c r="I310" s="1436"/>
      <c r="J310" s="1436"/>
      <c r="K310" s="2079"/>
      <c r="L310" s="2079"/>
      <c r="M310" s="2079"/>
      <c r="N310" s="2079"/>
      <c r="O310" s="1436"/>
      <c r="P310" s="1436"/>
      <c r="Q310" s="1436"/>
      <c r="R310" s="1436"/>
      <c r="S310" s="2082"/>
      <c r="T310" s="2082"/>
      <c r="U310" s="2082"/>
      <c r="V310" s="1436"/>
      <c r="W310" s="1436"/>
      <c r="X310" s="1436"/>
      <c r="Y310" s="1436"/>
      <c r="Z310" s="1436"/>
      <c r="AA310" s="1436"/>
      <c r="AB310" s="1436"/>
      <c r="AC310" s="1436"/>
      <c r="AD310" s="1436"/>
      <c r="AE310" s="1436"/>
      <c r="AF310" s="1436"/>
      <c r="AG310" s="1436"/>
      <c r="AH310" s="1436"/>
      <c r="AI310" s="1436"/>
    </row>
    <row r="311" ht="15.75" customHeight="1">
      <c r="A311" s="2079"/>
      <c r="B311" s="1436"/>
      <c r="C311" s="1436"/>
      <c r="D311" s="1436"/>
      <c r="E311" s="1436"/>
      <c r="F311" s="2079"/>
      <c r="G311" s="2079"/>
      <c r="H311" s="2079"/>
      <c r="I311" s="1436"/>
      <c r="J311" s="1436"/>
      <c r="K311" s="2079"/>
      <c r="L311" s="2079"/>
      <c r="M311" s="2079"/>
      <c r="N311" s="2079"/>
      <c r="O311" s="1436"/>
      <c r="P311" s="1436"/>
      <c r="Q311" s="1436"/>
      <c r="R311" s="1436"/>
      <c r="S311" s="2082"/>
      <c r="T311" s="2082"/>
      <c r="U311" s="2082"/>
      <c r="V311" s="1436"/>
      <c r="W311" s="1436"/>
      <c r="X311" s="1436"/>
      <c r="Y311" s="1436"/>
      <c r="Z311" s="1436"/>
      <c r="AA311" s="1436"/>
      <c r="AB311" s="1436"/>
      <c r="AC311" s="1436"/>
      <c r="AD311" s="1436"/>
      <c r="AE311" s="1436"/>
      <c r="AF311" s="1436"/>
      <c r="AG311" s="1436"/>
      <c r="AH311" s="1436"/>
      <c r="AI311" s="1436"/>
    </row>
    <row r="312" ht="15.75" customHeight="1">
      <c r="A312" s="2079"/>
      <c r="B312" s="1436"/>
      <c r="C312" s="1436"/>
      <c r="D312" s="1436"/>
      <c r="E312" s="1436"/>
      <c r="F312" s="2079"/>
      <c r="G312" s="2079"/>
      <c r="H312" s="2079"/>
      <c r="I312" s="1436"/>
      <c r="J312" s="1436"/>
      <c r="K312" s="2079"/>
      <c r="L312" s="2079"/>
      <c r="M312" s="2079"/>
      <c r="N312" s="2079"/>
      <c r="O312" s="1436"/>
      <c r="P312" s="1436"/>
      <c r="Q312" s="1436"/>
      <c r="R312" s="1436"/>
      <c r="S312" s="2082"/>
      <c r="T312" s="2082"/>
      <c r="U312" s="2082"/>
      <c r="V312" s="1436"/>
      <c r="W312" s="1436"/>
      <c r="X312" s="1436"/>
      <c r="Y312" s="1436"/>
      <c r="Z312" s="1436"/>
      <c r="AA312" s="1436"/>
      <c r="AB312" s="1436"/>
      <c r="AC312" s="1436"/>
      <c r="AD312" s="1436"/>
      <c r="AE312" s="1436"/>
      <c r="AF312" s="1436"/>
      <c r="AG312" s="1436"/>
      <c r="AH312" s="1436"/>
      <c r="AI312" s="1436"/>
    </row>
    <row r="313" ht="15.75" customHeight="1">
      <c r="A313" s="2079"/>
      <c r="B313" s="1436"/>
      <c r="C313" s="1436"/>
      <c r="D313" s="1436"/>
      <c r="E313" s="1436"/>
      <c r="F313" s="2079"/>
      <c r="G313" s="2079"/>
      <c r="H313" s="2079"/>
      <c r="I313" s="1436"/>
      <c r="J313" s="1436"/>
      <c r="K313" s="2079"/>
      <c r="L313" s="2079"/>
      <c r="M313" s="2079"/>
      <c r="N313" s="2079"/>
      <c r="O313" s="1436"/>
      <c r="P313" s="1436"/>
      <c r="Q313" s="1436"/>
      <c r="R313" s="1436"/>
      <c r="S313" s="2082"/>
      <c r="T313" s="2082"/>
      <c r="U313" s="2082"/>
      <c r="V313" s="1436"/>
      <c r="W313" s="1436"/>
      <c r="X313" s="1436"/>
      <c r="Y313" s="1436"/>
      <c r="Z313" s="1436"/>
      <c r="AA313" s="1436"/>
      <c r="AB313" s="1436"/>
      <c r="AC313" s="1436"/>
      <c r="AD313" s="1436"/>
      <c r="AE313" s="1436"/>
      <c r="AF313" s="1436"/>
      <c r="AG313" s="1436"/>
      <c r="AH313" s="1436"/>
      <c r="AI313" s="1436"/>
    </row>
    <row r="314" ht="15.75" customHeight="1">
      <c r="A314" s="2079"/>
      <c r="B314" s="1436"/>
      <c r="C314" s="1436"/>
      <c r="D314" s="1436"/>
      <c r="E314" s="1436"/>
      <c r="F314" s="2079"/>
      <c r="G314" s="2079"/>
      <c r="H314" s="2079"/>
      <c r="I314" s="1436"/>
      <c r="J314" s="1436"/>
      <c r="K314" s="2079"/>
      <c r="L314" s="2079"/>
      <c r="M314" s="2079"/>
      <c r="N314" s="2079"/>
      <c r="O314" s="1436"/>
      <c r="P314" s="1436"/>
      <c r="Q314" s="1436"/>
      <c r="R314" s="1436"/>
      <c r="S314" s="2082"/>
      <c r="T314" s="2082"/>
      <c r="U314" s="2082"/>
      <c r="V314" s="1436"/>
      <c r="W314" s="1436"/>
      <c r="X314" s="1436"/>
      <c r="Y314" s="1436"/>
      <c r="Z314" s="1436"/>
      <c r="AA314" s="1436"/>
      <c r="AB314" s="1436"/>
      <c r="AC314" s="1436"/>
      <c r="AD314" s="1436"/>
      <c r="AE314" s="1436"/>
      <c r="AF314" s="1436"/>
      <c r="AG314" s="1436"/>
      <c r="AH314" s="1436"/>
      <c r="AI314" s="1436"/>
    </row>
    <row r="315" ht="15.75" customHeight="1">
      <c r="A315" s="2079"/>
      <c r="B315" s="1436"/>
      <c r="C315" s="1436"/>
      <c r="D315" s="1436"/>
      <c r="E315" s="1436"/>
      <c r="F315" s="2079"/>
      <c r="G315" s="2079"/>
      <c r="H315" s="2079"/>
      <c r="I315" s="1436"/>
      <c r="J315" s="1436"/>
      <c r="K315" s="2079"/>
      <c r="L315" s="2079"/>
      <c r="M315" s="2079"/>
      <c r="N315" s="2079"/>
      <c r="O315" s="1436"/>
      <c r="P315" s="1436"/>
      <c r="Q315" s="1436"/>
      <c r="R315" s="1436"/>
      <c r="S315" s="2082"/>
      <c r="T315" s="2082"/>
      <c r="U315" s="2082"/>
      <c r="V315" s="1436"/>
      <c r="W315" s="1436"/>
      <c r="X315" s="1436"/>
      <c r="Y315" s="1436"/>
      <c r="Z315" s="1436"/>
      <c r="AA315" s="1436"/>
      <c r="AB315" s="1436"/>
      <c r="AC315" s="1436"/>
      <c r="AD315" s="1436"/>
      <c r="AE315" s="1436"/>
      <c r="AF315" s="1436"/>
      <c r="AG315" s="1436"/>
      <c r="AH315" s="1436"/>
      <c r="AI315" s="1436"/>
    </row>
    <row r="316" ht="15.75" customHeight="1">
      <c r="A316" s="2079"/>
      <c r="B316" s="1436"/>
      <c r="C316" s="1436"/>
      <c r="D316" s="1436"/>
      <c r="E316" s="1436"/>
      <c r="F316" s="2079"/>
      <c r="G316" s="2079"/>
      <c r="H316" s="2079"/>
      <c r="I316" s="1436"/>
      <c r="J316" s="1436"/>
      <c r="K316" s="2079"/>
      <c r="L316" s="2079"/>
      <c r="M316" s="2079"/>
      <c r="N316" s="2079"/>
      <c r="O316" s="1436"/>
      <c r="P316" s="1436"/>
      <c r="Q316" s="1436"/>
      <c r="R316" s="1436"/>
      <c r="S316" s="2082"/>
      <c r="T316" s="2082"/>
      <c r="U316" s="2082"/>
      <c r="V316" s="1436"/>
      <c r="W316" s="1436"/>
      <c r="X316" s="1436"/>
      <c r="Y316" s="1436"/>
      <c r="Z316" s="1436"/>
      <c r="AA316" s="1436"/>
      <c r="AB316" s="1436"/>
      <c r="AC316" s="1436"/>
      <c r="AD316" s="1436"/>
      <c r="AE316" s="1436"/>
      <c r="AF316" s="1436"/>
      <c r="AG316" s="1436"/>
      <c r="AH316" s="1436"/>
      <c r="AI316" s="1436"/>
    </row>
    <row r="317" ht="15.75" customHeight="1">
      <c r="A317" s="2079"/>
      <c r="B317" s="1436"/>
      <c r="C317" s="1436"/>
      <c r="D317" s="1436"/>
      <c r="E317" s="1436"/>
      <c r="F317" s="2079"/>
      <c r="G317" s="2079"/>
      <c r="H317" s="2079"/>
      <c r="I317" s="1436"/>
      <c r="J317" s="1436"/>
      <c r="K317" s="2079"/>
      <c r="L317" s="2079"/>
      <c r="M317" s="2079"/>
      <c r="N317" s="2079"/>
      <c r="O317" s="1436"/>
      <c r="P317" s="1436"/>
      <c r="Q317" s="1436"/>
      <c r="R317" s="1436"/>
      <c r="S317" s="2082"/>
      <c r="T317" s="2082"/>
      <c r="U317" s="2082"/>
      <c r="V317" s="1436"/>
      <c r="W317" s="1436"/>
      <c r="X317" s="1436"/>
      <c r="Y317" s="1436"/>
      <c r="Z317" s="1436"/>
      <c r="AA317" s="1436"/>
      <c r="AB317" s="1436"/>
      <c r="AC317" s="1436"/>
      <c r="AD317" s="1436"/>
      <c r="AE317" s="1436"/>
      <c r="AF317" s="1436"/>
      <c r="AG317" s="1436"/>
      <c r="AH317" s="1436"/>
      <c r="AI317" s="1436"/>
    </row>
    <row r="318" ht="15.75" customHeight="1">
      <c r="A318" s="2079"/>
      <c r="B318" s="1436"/>
      <c r="C318" s="1436"/>
      <c r="D318" s="1436"/>
      <c r="E318" s="1436"/>
      <c r="F318" s="2079"/>
      <c r="G318" s="2079"/>
      <c r="H318" s="2079"/>
      <c r="I318" s="1436"/>
      <c r="J318" s="1436"/>
      <c r="K318" s="2079"/>
      <c r="L318" s="2079"/>
      <c r="M318" s="2079"/>
      <c r="N318" s="2079"/>
      <c r="O318" s="1436"/>
      <c r="P318" s="1436"/>
      <c r="Q318" s="1436"/>
      <c r="R318" s="1436"/>
      <c r="S318" s="2082"/>
      <c r="T318" s="2082"/>
      <c r="U318" s="2082"/>
      <c r="V318" s="1436"/>
      <c r="W318" s="1436"/>
      <c r="X318" s="1436"/>
      <c r="Y318" s="1436"/>
      <c r="Z318" s="1436"/>
      <c r="AA318" s="1436"/>
      <c r="AB318" s="1436"/>
      <c r="AC318" s="1436"/>
      <c r="AD318" s="1436"/>
      <c r="AE318" s="1436"/>
      <c r="AF318" s="1436"/>
      <c r="AG318" s="1436"/>
      <c r="AH318" s="1436"/>
      <c r="AI318" s="1436"/>
    </row>
    <row r="319" ht="15.75" customHeight="1">
      <c r="A319" s="2079"/>
      <c r="B319" s="1436"/>
      <c r="C319" s="1436"/>
      <c r="D319" s="1436"/>
      <c r="E319" s="1436"/>
      <c r="F319" s="2079"/>
      <c r="G319" s="2079"/>
      <c r="H319" s="2079"/>
      <c r="I319" s="1436"/>
      <c r="J319" s="1436"/>
      <c r="K319" s="2079"/>
      <c r="L319" s="2079"/>
      <c r="M319" s="2079"/>
      <c r="N319" s="2079"/>
      <c r="O319" s="1436"/>
      <c r="P319" s="1436"/>
      <c r="Q319" s="1436"/>
      <c r="R319" s="1436"/>
      <c r="S319" s="2082"/>
      <c r="T319" s="2082"/>
      <c r="U319" s="2082"/>
      <c r="V319" s="1436"/>
      <c r="W319" s="1436"/>
      <c r="X319" s="1436"/>
      <c r="Y319" s="1436"/>
      <c r="Z319" s="1436"/>
      <c r="AA319" s="1436"/>
      <c r="AB319" s="1436"/>
      <c r="AC319" s="1436"/>
      <c r="AD319" s="1436"/>
      <c r="AE319" s="1436"/>
      <c r="AF319" s="1436"/>
      <c r="AG319" s="1436"/>
      <c r="AH319" s="1436"/>
      <c r="AI319" s="1436"/>
    </row>
    <row r="320" ht="15.75" customHeight="1">
      <c r="A320" s="2079"/>
      <c r="B320" s="1436"/>
      <c r="C320" s="1436"/>
      <c r="D320" s="1436"/>
      <c r="E320" s="1436"/>
      <c r="F320" s="2079"/>
      <c r="G320" s="2079"/>
      <c r="H320" s="2079"/>
      <c r="I320" s="1436"/>
      <c r="J320" s="1436"/>
      <c r="K320" s="2079"/>
      <c r="L320" s="2079"/>
      <c r="M320" s="2079"/>
      <c r="N320" s="2079"/>
      <c r="O320" s="1436"/>
      <c r="P320" s="1436"/>
      <c r="Q320" s="1436"/>
      <c r="R320" s="1436"/>
      <c r="S320" s="2082"/>
      <c r="T320" s="2082"/>
      <c r="U320" s="2082"/>
      <c r="V320" s="1436"/>
      <c r="W320" s="1436"/>
      <c r="X320" s="1436"/>
      <c r="Y320" s="1436"/>
      <c r="Z320" s="1436"/>
      <c r="AA320" s="1436"/>
      <c r="AB320" s="1436"/>
      <c r="AC320" s="1436"/>
      <c r="AD320" s="1436"/>
      <c r="AE320" s="1436"/>
      <c r="AF320" s="1436"/>
      <c r="AG320" s="1436"/>
      <c r="AH320" s="1436"/>
      <c r="AI320" s="1436"/>
    </row>
    <row r="321" ht="15.75" customHeight="1">
      <c r="A321" s="2079"/>
      <c r="B321" s="1436"/>
      <c r="C321" s="1436"/>
      <c r="D321" s="1436"/>
      <c r="E321" s="1436"/>
      <c r="F321" s="2079"/>
      <c r="G321" s="2079"/>
      <c r="H321" s="2079"/>
      <c r="I321" s="1436"/>
      <c r="J321" s="1436"/>
      <c r="K321" s="2079"/>
      <c r="L321" s="2079"/>
      <c r="M321" s="2079"/>
      <c r="N321" s="2079"/>
      <c r="O321" s="1436"/>
      <c r="P321" s="1436"/>
      <c r="Q321" s="1436"/>
      <c r="R321" s="1436"/>
      <c r="S321" s="2082"/>
      <c r="T321" s="2082"/>
      <c r="U321" s="2082"/>
      <c r="V321" s="1436"/>
      <c r="W321" s="1436"/>
      <c r="X321" s="1436"/>
      <c r="Y321" s="1436"/>
      <c r="Z321" s="1436"/>
      <c r="AA321" s="1436"/>
      <c r="AB321" s="1436"/>
      <c r="AC321" s="1436"/>
      <c r="AD321" s="1436"/>
      <c r="AE321" s="1436"/>
      <c r="AF321" s="1436"/>
      <c r="AG321" s="1436"/>
      <c r="AH321" s="1436"/>
      <c r="AI321" s="1436"/>
    </row>
    <row r="322" ht="15.75" customHeight="1">
      <c r="A322" s="2079"/>
      <c r="B322" s="1436"/>
      <c r="C322" s="1436"/>
      <c r="D322" s="1436"/>
      <c r="E322" s="1436"/>
      <c r="F322" s="2079"/>
      <c r="G322" s="2079"/>
      <c r="H322" s="2079"/>
      <c r="I322" s="1436"/>
      <c r="J322" s="1436"/>
      <c r="K322" s="2079"/>
      <c r="L322" s="2079"/>
      <c r="M322" s="2079"/>
      <c r="N322" s="2079"/>
      <c r="O322" s="1436"/>
      <c r="P322" s="1436"/>
      <c r="Q322" s="1436"/>
      <c r="R322" s="1436"/>
      <c r="S322" s="2082"/>
      <c r="T322" s="2082"/>
      <c r="U322" s="2082"/>
      <c r="V322" s="1436"/>
      <c r="W322" s="1436"/>
      <c r="X322" s="1436"/>
      <c r="Y322" s="1436"/>
      <c r="Z322" s="1436"/>
      <c r="AA322" s="1436"/>
      <c r="AB322" s="1436"/>
      <c r="AC322" s="1436"/>
      <c r="AD322" s="1436"/>
      <c r="AE322" s="1436"/>
      <c r="AF322" s="1436"/>
      <c r="AG322" s="1436"/>
      <c r="AH322" s="1436"/>
      <c r="AI322" s="1436"/>
    </row>
    <row r="323" ht="15.75" customHeight="1">
      <c r="A323" s="2079"/>
      <c r="B323" s="1436"/>
      <c r="C323" s="1436"/>
      <c r="D323" s="1436"/>
      <c r="E323" s="1436"/>
      <c r="F323" s="2079"/>
      <c r="G323" s="2079"/>
      <c r="H323" s="2079"/>
      <c r="I323" s="1436"/>
      <c r="J323" s="1436"/>
      <c r="K323" s="2079"/>
      <c r="L323" s="2079"/>
      <c r="M323" s="2079"/>
      <c r="N323" s="2079"/>
      <c r="O323" s="1436"/>
      <c r="P323" s="1436"/>
      <c r="Q323" s="1436"/>
      <c r="R323" s="1436"/>
      <c r="S323" s="2082"/>
      <c r="T323" s="2082"/>
      <c r="U323" s="2082"/>
      <c r="V323" s="1436"/>
      <c r="W323" s="1436"/>
      <c r="X323" s="1436"/>
      <c r="Y323" s="1436"/>
      <c r="Z323" s="1436"/>
      <c r="AA323" s="1436"/>
      <c r="AB323" s="1436"/>
      <c r="AC323" s="1436"/>
      <c r="AD323" s="1436"/>
      <c r="AE323" s="1436"/>
      <c r="AF323" s="1436"/>
      <c r="AG323" s="1436"/>
      <c r="AH323" s="1436"/>
      <c r="AI323" s="1436"/>
    </row>
    <row r="324" ht="15.75" customHeight="1">
      <c r="A324" s="2079"/>
      <c r="B324" s="1436"/>
      <c r="C324" s="1436"/>
      <c r="D324" s="1436"/>
      <c r="E324" s="1436"/>
      <c r="F324" s="2079"/>
      <c r="G324" s="2079"/>
      <c r="H324" s="2079"/>
      <c r="I324" s="1436"/>
      <c r="J324" s="1436"/>
      <c r="K324" s="2079"/>
      <c r="L324" s="2079"/>
      <c r="M324" s="2079"/>
      <c r="N324" s="2079"/>
      <c r="O324" s="1436"/>
      <c r="P324" s="1436"/>
      <c r="Q324" s="1436"/>
      <c r="R324" s="1436"/>
      <c r="S324" s="2082"/>
      <c r="T324" s="2082"/>
      <c r="U324" s="2082"/>
      <c r="V324" s="1436"/>
      <c r="W324" s="1436"/>
      <c r="X324" s="1436"/>
      <c r="Y324" s="1436"/>
      <c r="Z324" s="1436"/>
      <c r="AA324" s="1436"/>
      <c r="AB324" s="1436"/>
      <c r="AC324" s="1436"/>
      <c r="AD324" s="1436"/>
      <c r="AE324" s="1436"/>
      <c r="AF324" s="1436"/>
      <c r="AG324" s="1436"/>
      <c r="AH324" s="1436"/>
      <c r="AI324" s="1436"/>
    </row>
    <row r="325" ht="15.75" customHeight="1">
      <c r="A325" s="2079"/>
      <c r="B325" s="1436"/>
      <c r="C325" s="1436"/>
      <c r="D325" s="1436"/>
      <c r="E325" s="1436"/>
      <c r="F325" s="2079"/>
      <c r="G325" s="2079"/>
      <c r="H325" s="2079"/>
      <c r="I325" s="1436"/>
      <c r="J325" s="1436"/>
      <c r="K325" s="2079"/>
      <c r="L325" s="2079"/>
      <c r="M325" s="2079"/>
      <c r="N325" s="2079"/>
      <c r="O325" s="1436"/>
      <c r="P325" s="1436"/>
      <c r="Q325" s="1436"/>
      <c r="R325" s="1436"/>
      <c r="S325" s="2082"/>
      <c r="T325" s="2082"/>
      <c r="U325" s="2082"/>
      <c r="V325" s="1436"/>
      <c r="W325" s="1436"/>
      <c r="X325" s="1436"/>
      <c r="Y325" s="1436"/>
      <c r="Z325" s="1436"/>
      <c r="AA325" s="1436"/>
      <c r="AB325" s="1436"/>
      <c r="AC325" s="1436"/>
      <c r="AD325" s="1436"/>
      <c r="AE325" s="1436"/>
      <c r="AF325" s="1436"/>
      <c r="AG325" s="1436"/>
      <c r="AH325" s="1436"/>
      <c r="AI325" s="1436"/>
    </row>
    <row r="326" ht="15.75" customHeight="1">
      <c r="A326" s="2079"/>
      <c r="B326" s="1436"/>
      <c r="C326" s="1436"/>
      <c r="D326" s="1436"/>
      <c r="E326" s="1436"/>
      <c r="F326" s="2079"/>
      <c r="G326" s="2079"/>
      <c r="H326" s="2079"/>
      <c r="I326" s="1436"/>
      <c r="J326" s="1436"/>
      <c r="K326" s="2079"/>
      <c r="L326" s="2079"/>
      <c r="M326" s="2079"/>
      <c r="N326" s="2079"/>
      <c r="O326" s="1436"/>
      <c r="P326" s="1436"/>
      <c r="Q326" s="1436"/>
      <c r="R326" s="1436"/>
      <c r="S326" s="2082"/>
      <c r="T326" s="2082"/>
      <c r="U326" s="2082"/>
      <c r="V326" s="1436"/>
      <c r="W326" s="1436"/>
      <c r="X326" s="1436"/>
      <c r="Y326" s="1436"/>
      <c r="Z326" s="1436"/>
      <c r="AA326" s="1436"/>
      <c r="AB326" s="1436"/>
      <c r="AC326" s="1436"/>
      <c r="AD326" s="1436"/>
      <c r="AE326" s="1436"/>
      <c r="AF326" s="1436"/>
      <c r="AG326" s="1436"/>
      <c r="AH326" s="1436"/>
      <c r="AI326" s="1436"/>
    </row>
    <row r="327" ht="15.75" customHeight="1">
      <c r="A327" s="2079"/>
      <c r="B327" s="1436"/>
      <c r="C327" s="1436"/>
      <c r="D327" s="1436"/>
      <c r="E327" s="1436"/>
      <c r="F327" s="2079"/>
      <c r="G327" s="2079"/>
      <c r="H327" s="2079"/>
      <c r="I327" s="1436"/>
      <c r="J327" s="1436"/>
      <c r="K327" s="2079"/>
      <c r="L327" s="2079"/>
      <c r="M327" s="2079"/>
      <c r="N327" s="2079"/>
      <c r="O327" s="1436"/>
      <c r="P327" s="1436"/>
      <c r="Q327" s="1436"/>
      <c r="R327" s="1436"/>
      <c r="S327" s="2082"/>
      <c r="T327" s="2082"/>
      <c r="U327" s="2082"/>
      <c r="V327" s="1436"/>
      <c r="W327" s="1436"/>
      <c r="X327" s="1436"/>
      <c r="Y327" s="1436"/>
      <c r="Z327" s="1436"/>
      <c r="AA327" s="1436"/>
      <c r="AB327" s="1436"/>
      <c r="AC327" s="1436"/>
      <c r="AD327" s="1436"/>
      <c r="AE327" s="1436"/>
      <c r="AF327" s="1436"/>
      <c r="AG327" s="1436"/>
      <c r="AH327" s="1436"/>
      <c r="AI327" s="1436"/>
    </row>
    <row r="328" ht="15.75" customHeight="1">
      <c r="A328" s="2079"/>
      <c r="B328" s="1436"/>
      <c r="C328" s="1436"/>
      <c r="D328" s="1436"/>
      <c r="E328" s="1436"/>
      <c r="F328" s="2079"/>
      <c r="G328" s="2079"/>
      <c r="H328" s="2079"/>
      <c r="I328" s="1436"/>
      <c r="J328" s="1436"/>
      <c r="K328" s="2079"/>
      <c r="L328" s="2079"/>
      <c r="M328" s="2079"/>
      <c r="N328" s="2079"/>
      <c r="O328" s="1436"/>
      <c r="P328" s="1436"/>
      <c r="Q328" s="1436"/>
      <c r="R328" s="1436"/>
      <c r="S328" s="2082"/>
      <c r="T328" s="2082"/>
      <c r="U328" s="2082"/>
      <c r="V328" s="1436"/>
      <c r="W328" s="1436"/>
      <c r="X328" s="1436"/>
      <c r="Y328" s="1436"/>
      <c r="Z328" s="1436"/>
      <c r="AA328" s="1436"/>
      <c r="AB328" s="1436"/>
      <c r="AC328" s="1436"/>
      <c r="AD328" s="1436"/>
      <c r="AE328" s="1436"/>
      <c r="AF328" s="1436"/>
      <c r="AG328" s="1436"/>
      <c r="AH328" s="1436"/>
      <c r="AI328" s="1436"/>
    </row>
    <row r="329" ht="15.75" customHeight="1">
      <c r="A329" s="2079"/>
      <c r="B329" s="1436"/>
      <c r="C329" s="1436"/>
      <c r="D329" s="1436"/>
      <c r="E329" s="1436"/>
      <c r="F329" s="2079"/>
      <c r="G329" s="2079"/>
      <c r="H329" s="2079"/>
      <c r="I329" s="1436"/>
      <c r="J329" s="1436"/>
      <c r="K329" s="2079"/>
      <c r="L329" s="2079"/>
      <c r="M329" s="2079"/>
      <c r="N329" s="2079"/>
      <c r="O329" s="1436"/>
      <c r="P329" s="1436"/>
      <c r="Q329" s="1436"/>
      <c r="R329" s="1436"/>
      <c r="S329" s="2082"/>
      <c r="T329" s="2082"/>
      <c r="U329" s="2082"/>
      <c r="V329" s="1436"/>
      <c r="W329" s="1436"/>
      <c r="X329" s="1436"/>
      <c r="Y329" s="1436"/>
      <c r="Z329" s="1436"/>
      <c r="AA329" s="1436"/>
      <c r="AB329" s="1436"/>
      <c r="AC329" s="1436"/>
      <c r="AD329" s="1436"/>
      <c r="AE329" s="1436"/>
      <c r="AF329" s="1436"/>
      <c r="AG329" s="1436"/>
      <c r="AH329" s="1436"/>
      <c r="AI329" s="1436"/>
    </row>
    <row r="330" ht="15.75" customHeight="1">
      <c r="A330" s="2079"/>
      <c r="B330" s="1436"/>
      <c r="C330" s="1436"/>
      <c r="D330" s="1436"/>
      <c r="E330" s="1436"/>
      <c r="F330" s="2079"/>
      <c r="G330" s="2079"/>
      <c r="H330" s="2079"/>
      <c r="I330" s="1436"/>
      <c r="J330" s="1436"/>
      <c r="K330" s="2079"/>
      <c r="L330" s="2079"/>
      <c r="M330" s="2079"/>
      <c r="N330" s="2079"/>
      <c r="O330" s="1436"/>
      <c r="P330" s="1436"/>
      <c r="Q330" s="1436"/>
      <c r="R330" s="1436"/>
      <c r="S330" s="2082"/>
      <c r="T330" s="2082"/>
      <c r="U330" s="2082"/>
      <c r="V330" s="1436"/>
      <c r="W330" s="1436"/>
      <c r="X330" s="1436"/>
      <c r="Y330" s="1436"/>
      <c r="Z330" s="1436"/>
      <c r="AA330" s="1436"/>
      <c r="AB330" s="1436"/>
      <c r="AC330" s="1436"/>
      <c r="AD330" s="1436"/>
      <c r="AE330" s="1436"/>
      <c r="AF330" s="1436"/>
      <c r="AG330" s="1436"/>
      <c r="AH330" s="1436"/>
      <c r="AI330" s="1436"/>
    </row>
    <row r="331" ht="15.75" customHeight="1">
      <c r="A331" s="2079"/>
      <c r="B331" s="1436"/>
      <c r="C331" s="1436"/>
      <c r="D331" s="1436"/>
      <c r="E331" s="1436"/>
      <c r="F331" s="2079"/>
      <c r="G331" s="2079"/>
      <c r="H331" s="2079"/>
      <c r="I331" s="1436"/>
      <c r="J331" s="1436"/>
      <c r="K331" s="2079"/>
      <c r="L331" s="2079"/>
      <c r="M331" s="2079"/>
      <c r="N331" s="2079"/>
      <c r="O331" s="1436"/>
      <c r="P331" s="1436"/>
      <c r="Q331" s="1436"/>
      <c r="R331" s="1436"/>
      <c r="S331" s="2082"/>
      <c r="T331" s="2082"/>
      <c r="U331" s="2082"/>
      <c r="V331" s="1436"/>
      <c r="W331" s="1436"/>
      <c r="X331" s="1436"/>
      <c r="Y331" s="1436"/>
      <c r="Z331" s="1436"/>
      <c r="AA331" s="1436"/>
      <c r="AB331" s="1436"/>
      <c r="AC331" s="1436"/>
      <c r="AD331" s="1436"/>
      <c r="AE331" s="1436"/>
      <c r="AF331" s="1436"/>
      <c r="AG331" s="1436"/>
      <c r="AH331" s="1436"/>
      <c r="AI331" s="1436"/>
    </row>
    <row r="332" ht="15.75" customHeight="1">
      <c r="A332" s="2079"/>
      <c r="B332" s="1436"/>
      <c r="C332" s="1436"/>
      <c r="D332" s="1436"/>
      <c r="E332" s="1436"/>
      <c r="F332" s="2079"/>
      <c r="G332" s="2079"/>
      <c r="H332" s="2079"/>
      <c r="I332" s="1436"/>
      <c r="J332" s="1436"/>
      <c r="K332" s="2079"/>
      <c r="L332" s="2079"/>
      <c r="M332" s="2079"/>
      <c r="N332" s="2079"/>
      <c r="O332" s="1436"/>
      <c r="P332" s="1436"/>
      <c r="Q332" s="1436"/>
      <c r="R332" s="1436"/>
      <c r="S332" s="2082"/>
      <c r="T332" s="2082"/>
      <c r="U332" s="2082"/>
      <c r="V332" s="1436"/>
      <c r="W332" s="1436"/>
      <c r="X332" s="1436"/>
      <c r="Y332" s="1436"/>
      <c r="Z332" s="1436"/>
      <c r="AA332" s="1436"/>
      <c r="AB332" s="1436"/>
      <c r="AC332" s="1436"/>
      <c r="AD332" s="1436"/>
      <c r="AE332" s="1436"/>
      <c r="AF332" s="1436"/>
      <c r="AG332" s="1436"/>
      <c r="AH332" s="1436"/>
      <c r="AI332" s="1436"/>
    </row>
    <row r="333" ht="15.75" customHeight="1">
      <c r="A333" s="2079"/>
      <c r="B333" s="1436"/>
      <c r="C333" s="1436"/>
      <c r="D333" s="1436"/>
      <c r="E333" s="1436"/>
      <c r="F333" s="2079"/>
      <c r="G333" s="2079"/>
      <c r="H333" s="2079"/>
      <c r="I333" s="1436"/>
      <c r="J333" s="1436"/>
      <c r="K333" s="2079"/>
      <c r="L333" s="2079"/>
      <c r="M333" s="2079"/>
      <c r="N333" s="2079"/>
      <c r="O333" s="1436"/>
      <c r="P333" s="1436"/>
      <c r="Q333" s="1436"/>
      <c r="R333" s="1436"/>
      <c r="S333" s="2082"/>
      <c r="T333" s="2082"/>
      <c r="U333" s="2082"/>
      <c r="V333" s="1436"/>
      <c r="W333" s="1436"/>
      <c r="X333" s="1436"/>
      <c r="Y333" s="1436"/>
      <c r="Z333" s="1436"/>
      <c r="AA333" s="1436"/>
      <c r="AB333" s="1436"/>
      <c r="AC333" s="1436"/>
      <c r="AD333" s="1436"/>
      <c r="AE333" s="1436"/>
      <c r="AF333" s="1436"/>
      <c r="AG333" s="1436"/>
      <c r="AH333" s="1436"/>
      <c r="AI333" s="1436"/>
    </row>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A1:U1"/>
    <mergeCell ref="A2:U2"/>
    <mergeCell ref="A3:U3"/>
    <mergeCell ref="A4:U4"/>
    <mergeCell ref="A5:U5"/>
    <mergeCell ref="A6:A7"/>
    <mergeCell ref="B6:B7"/>
    <mergeCell ref="E36:E37"/>
    <mergeCell ref="F36:F37"/>
    <mergeCell ref="A55:C55"/>
    <mergeCell ref="A86:C86"/>
    <mergeCell ref="A107:C107"/>
    <mergeCell ref="A123:C123"/>
    <mergeCell ref="A139:B139"/>
    <mergeCell ref="A140:B140"/>
    <mergeCell ref="E6:E7"/>
    <mergeCell ref="F6:I6"/>
    <mergeCell ref="A9:C9"/>
    <mergeCell ref="A36:A37"/>
    <mergeCell ref="B36:B37"/>
    <mergeCell ref="C36:C37"/>
    <mergeCell ref="D36:D37"/>
    <mergeCell ref="I36:I37"/>
    <mergeCell ref="R36:R37"/>
    <mergeCell ref="S36:S37"/>
    <mergeCell ref="T36:T37"/>
    <mergeCell ref="U36:U37"/>
    <mergeCell ref="G36:G37"/>
    <mergeCell ref="H36:H37"/>
    <mergeCell ref="M36:M37"/>
    <mergeCell ref="N36:N37"/>
    <mergeCell ref="O36:O37"/>
    <mergeCell ref="P36:P37"/>
    <mergeCell ref="Q36:Q37"/>
    <mergeCell ref="C6:C7"/>
    <mergeCell ref="D6:D7"/>
    <mergeCell ref="J6:J7"/>
    <mergeCell ref="K6:K7"/>
    <mergeCell ref="L6:L7"/>
    <mergeCell ref="M6:M7"/>
    <mergeCell ref="N6:N7"/>
    <mergeCell ref="O6:O7"/>
    <mergeCell ref="P6:P7"/>
    <mergeCell ref="Q6:Q7"/>
    <mergeCell ref="R6:R7"/>
    <mergeCell ref="S6:S7"/>
    <mergeCell ref="T6:T7"/>
    <mergeCell ref="U6:U7"/>
    <mergeCell ref="V6:W6"/>
    <mergeCell ref="X6:X7"/>
    <mergeCell ref="Y6:Z6"/>
    <mergeCell ref="AA6:AB6"/>
    <mergeCell ref="AC6:AC7"/>
  </mergeCells>
  <printOptions/>
  <pageMargins bottom="0.75" footer="0.0" header="0.0" left="0.7" right="0.7" top="0.75"/>
  <pageSetup paperSize="9" orientation="portrait"/>
  <drawing r:id="rId1"/>
</worksheet>
</file>